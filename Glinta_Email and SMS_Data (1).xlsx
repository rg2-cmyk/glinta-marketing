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ampaigns" sheetId="2" r:id="rId6"/>
    <sheet state="visible" name="Campaign Daily" sheetId="3" r:id="rId7"/>
    <sheet state="visible" name="Flow Monthly" sheetId="4" r:id="rId8"/>
    <sheet state="visible" name="Flow Messages" sheetId="5" r:id="rId9"/>
    <sheet state="visible" name="List Growth" sheetId="6" r:id="rId10"/>
    <sheet state="visible" name="Segments" sheetId="7" r:id="rId11"/>
    <sheet state="visible" name="Product Performance" sheetId="8" r:id="rId12"/>
    <sheet state="visible" name="Studio Performance" sheetId="9" r:id="rId13"/>
    <sheet state="visible" name="Events Sample" sheetId="10" r:id="rId14"/>
    <sheet state="visible" name="Benchmarks" sheetId="11" r:id="rId15"/>
  </sheets>
  <definedNames>
    <definedName hidden="1" localSheetId="1" name="_xlnm._FilterDatabase">Campaigns!$A$1:$AF$184</definedName>
    <definedName hidden="1" localSheetId="9" name="_xlnm._FilterDatabase">'Events Sample'!$A$1:$I$2001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tc={9526b127-6052-443c-8ca9-7588c06fc484}</author>
  </authors>
  <commentList>
    <comment authorId="0" xr:uid="{9526b127-6052-443c-8ca9-7588c06fc484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Most recent send — top of file for quick scan.
</t>
      </text>
    </comment>
  </commentList>
</comments>
</file>

<file path=xl/sharedStrings.xml><?xml version="1.0" encoding="utf-8"?>
<sst xmlns="http://schemas.openxmlformats.org/spreadsheetml/2006/main" count="16993" uniqueCount="5106">
  <si>
    <t>Glinta — Klaviyo Data Export (Synthetic)</t>
  </si>
  <si>
    <t>This workbook contains synthetic Klaviyo data generated for a candidate test.</t>
  </si>
  <si>
    <t>All brand names, studio names, campaigns, dates, audiences, and numbers are fabricated.</t>
  </si>
  <si>
    <t>Sheets:</t>
  </si>
  <si>
    <t xml:space="preserve">  1. Campaigns — 183 campaign-level sends (email + SMS), Feb 2025 – Apr 2026</t>
  </si>
  <si>
    <t xml:space="preserve">  2. Campaign Daily — day-of-send activity rollup for a subset of campaigns</t>
  </si>
  <si>
    <t xml:space="preserve">  3. Flow Monthly — 30 flows × 12 months of performance</t>
  </si>
  <si>
    <t xml:space="preserve">  4. Flow Messages — message-level breakdown within each flow (last 90 days)</t>
  </si>
  <si>
    <t xml:space="preserve">  5. List Growth — daily email + SMS list size, signups, unsubs, bounces</t>
  </si>
  <si>
    <t xml:space="preserve">  6. Segments — 27 segments/lists with size, engagement, LTV, churn</t>
  </si>
  <si>
    <t xml:space="preserve">  7. Product Performance — email-attributed revenue by product theme × month</t>
  </si>
  <si>
    <t xml:space="preserve">  8. Studio Performance — monthly email → appointment → ecom rollup by studio</t>
  </si>
  <si>
    <t xml:space="preserve">  9. Events Sample — raw event log sample (~2,000 rows)</t>
  </si>
  <si>
    <t xml:space="preserve">  10. Benchmarks — industry benchmark reference table</t>
  </si>
  <si>
    <t>Intentional quirks to watch for:</t>
  </si>
  <si>
    <t xml:space="preserve">  • Some campaigns have outlier metrics (zero revenue, very low delivery, very high unsub, outsized wins)</t>
  </si>
  <si>
    <t xml:space="preserve">  • A few flows are 'silent' (tagging / ops flows) with no customer-facing metrics</t>
  </si>
  <si>
    <t xml:space="preserve">  • Occasional list growth spikes (paid signup bursts) and unsub spikes (bad sends)</t>
  </si>
  <si>
    <t xml:space="preserve">  • SMS campaigns have no open data (by design — SMS has no opens)</t>
  </si>
  <si>
    <t xml:space="preserve">  • Welcome / Abandoned Checkout flows have the usual step-decay pattern</t>
  </si>
  <si>
    <t>Date of generation: Apr 2026   |   Rows total: ~6,000+</t>
  </si>
  <si>
    <t>Campaign ID</t>
  </si>
  <si>
    <t>Campaign Name</t>
  </si>
  <si>
    <t>Subject Line</t>
  </si>
  <si>
    <t>Category</t>
  </si>
  <si>
    <t>Channel</t>
  </si>
  <si>
    <t>Send Date</t>
  </si>
  <si>
    <t>Send Time</t>
  </si>
  <si>
    <t>Day of Week</t>
  </si>
  <si>
    <t>Audiences</t>
  </si>
  <si>
    <t># Audiences</t>
  </si>
  <si>
    <t>Recipients</t>
  </si>
  <si>
    <t>Delivered</t>
  </si>
  <si>
    <t>Bounces</t>
  </si>
  <si>
    <t>Delivery Rate</t>
  </si>
  <si>
    <t>Opens</t>
  </si>
  <si>
    <t>Unique Opens</t>
  </si>
  <si>
    <t>Open Rate</t>
  </si>
  <si>
    <t>Clicks</t>
  </si>
  <si>
    <t>Unique Clicks</t>
  </si>
  <si>
    <t>Click Rate</t>
  </si>
  <si>
    <t>CTOR</t>
  </si>
  <si>
    <t>Conversions</t>
  </si>
  <si>
    <t>Unique Conversions</t>
  </si>
  <si>
    <t>Conversion Rate</t>
  </si>
  <si>
    <t>Revenue</t>
  </si>
  <si>
    <t>AOV</t>
  </si>
  <si>
    <t>RPR</t>
  </si>
  <si>
    <t>Unsubscribes</t>
  </si>
  <si>
    <t>Unsub Rate</t>
  </si>
  <si>
    <t>Spam Complaints</t>
  </si>
  <si>
    <t>Primary Product</t>
  </si>
  <si>
    <t>Primary Studio</t>
  </si>
  <si>
    <t>C01171</t>
  </si>
  <si>
    <t>04.19.26 - SMS Summer Refresh</t>
  </si>
  <si>
    <t>Scape Before Summer ☀️ - shop now 💕</t>
  </si>
  <si>
    <t>Holiday</t>
  </si>
  <si>
    <t>sms</t>
  </si>
  <si>
    <t>18:00</t>
  </si>
  <si>
    <t>Sunday</t>
  </si>
  <si>
    <t>Non-Buyers, Gold Lovers, Houston Metro</t>
  </si>
  <si>
    <t>Cat Flatbacks</t>
  </si>
  <si>
    <t>C01019</t>
  </si>
  <si>
    <t>04.12.26 - Markdowns Launch</t>
  </si>
  <si>
    <t>Double up and save 🙌</t>
  </si>
  <si>
    <t>Sale</t>
  </si>
  <si>
    <t>email</t>
  </si>
  <si>
    <t>22:00</t>
  </si>
  <si>
    <t>Browse Abandoners, Lapsed Piercing Customers</t>
  </si>
  <si>
    <t>Heart Collection</t>
  </si>
  <si>
    <t>C01040</t>
  </si>
  <si>
    <t>04.09.26 - Piercing Trends 2026</t>
  </si>
  <si>
    <t>The 2026 Piercing Trend to Know</t>
  </si>
  <si>
    <t>Editorial</t>
  </si>
  <si>
    <t>16:00</t>
  </si>
  <si>
    <t>Thursday</t>
  </si>
  <si>
    <t>SF Bay Area, NY Metro</t>
  </si>
  <si>
    <t>Starter Sets</t>
  </si>
  <si>
    <t>C01168</t>
  </si>
  <si>
    <t>04.08.26 - SMS Studio Reminder</t>
  </si>
  <si>
    <t>Your piercing appt is tmrw at Glinta Mockingbird</t>
  </si>
  <si>
    <t>Studio</t>
  </si>
  <si>
    <t>Wednesday</t>
  </si>
  <si>
    <t>LA Metro, Phoenix Metro, Browse Abandoners</t>
  </si>
  <si>
    <t>14K Gold</t>
  </si>
  <si>
    <t>Mockingbird</t>
  </si>
  <si>
    <t>C01102</t>
  </si>
  <si>
    <t>04.07.26 - Summer House Mystery Sets</t>
  </si>
  <si>
    <t>3 Earrings for $45 👀</t>
  </si>
  <si>
    <t>Mystery Set</t>
  </si>
  <si>
    <t>20:30</t>
  </si>
  <si>
    <t>Tuesday</t>
  </si>
  <si>
    <t>Charlotte Metro, Piercing Fans</t>
  </si>
  <si>
    <t>Silver Edit</t>
  </si>
  <si>
    <t>C01095</t>
  </si>
  <si>
    <t>04.06.26 - Hoops &amp; Huggies Launch</t>
  </si>
  <si>
    <t>New Drop: Hoops &amp; Huggies ✨</t>
  </si>
  <si>
    <t>Product Launch</t>
  </si>
  <si>
    <t>Monday</t>
  </si>
  <si>
    <t>Lapsed Piercing Customers</t>
  </si>
  <si>
    <t>Hoops &amp; Huggies</t>
  </si>
  <si>
    <t>C01181</t>
  </si>
  <si>
    <t>04.04.26 - SMS Opals Back In Stock</t>
  </si>
  <si>
    <t>Back in stock: Opals. Grab yours!</t>
  </si>
  <si>
    <t>Restock</t>
  </si>
  <si>
    <t>Saturday</t>
  </si>
  <si>
    <t>DC Metro, SF Bay Area, Atlanta Metro</t>
  </si>
  <si>
    <t>Opals</t>
  </si>
  <si>
    <t>C01175</t>
  </si>
  <si>
    <t>04.04.26 - SMS Studio Reminder</t>
  </si>
  <si>
    <t>Your piercing appt is tmrw at Glinta Rittenhouse</t>
  </si>
  <si>
    <t>Non-Buyers, NY Metro, Houston Metro</t>
  </si>
  <si>
    <t>Earscape Sets</t>
  </si>
  <si>
    <t>Rittenhouse</t>
  </si>
  <si>
    <t>C01060</t>
  </si>
  <si>
    <t>04.04.26 - Snakebite Anatomy</t>
  </si>
  <si>
    <t>Do You Have the Anatomy for a Snakebite?</t>
  </si>
  <si>
    <t>Educational</t>
  </si>
  <si>
    <t>14:30</t>
  </si>
  <si>
    <t>Flatback Fans, Recent Purchasers 30D, Hoop Heads, Charlotte Metro</t>
  </si>
  <si>
    <t>C01061</t>
  </si>
  <si>
    <t>04.02.26 - PLAIN TEXT SALE Engager (No Purchase)</t>
  </si>
  <si>
    <t>You clicked. You didn't check out. 💔</t>
  </si>
  <si>
    <t>Winback</t>
  </si>
  <si>
    <t>17:00</t>
  </si>
  <si>
    <t>Phoenix Metro</t>
  </si>
  <si>
    <t>Pearls</t>
  </si>
  <si>
    <t>C01077</t>
  </si>
  <si>
    <t>04.01.26 - Touch Grass</t>
  </si>
  <si>
    <t>TOUCH GRASS 🌱 (Then Touch Up Your Earscape)</t>
  </si>
  <si>
    <t>SF Bay Area, NY Metro, Hoop Heads, Gold Lovers</t>
  </si>
  <si>
    <t>C01138</t>
  </si>
  <si>
    <t>03.27.26 - IN STUDIOS Celestial Drop</t>
  </si>
  <si>
    <t>Stop By for Something Small</t>
  </si>
  <si>
    <t>In-Studio</t>
  </si>
  <si>
    <t>Friday</t>
  </si>
  <si>
    <t>Piercing Fans, All Engaged 60D</t>
  </si>
  <si>
    <t>Celestial Drop</t>
  </si>
  <si>
    <t>Venice Beach</t>
  </si>
  <si>
    <t>C01089</t>
  </si>
  <si>
    <t>03.22.26 - Flatbacks Launch</t>
  </si>
  <si>
    <t>New Drop: Flatbacks ✨</t>
  </si>
  <si>
    <t>21:30</t>
  </si>
  <si>
    <t>Houston Metro, Piercing Fans</t>
  </si>
  <si>
    <t>Flatbacks</t>
  </si>
  <si>
    <t>C01083</t>
  </si>
  <si>
    <t>03.22.26 - M Street Advanced Apprentice Piercings</t>
  </si>
  <si>
    <t>FREE Advanced Piercings at Glinta M Street</t>
  </si>
  <si>
    <t>13:30</t>
  </si>
  <si>
    <t>LA Metro</t>
  </si>
  <si>
    <t>Mystery Sets</t>
  </si>
  <si>
    <t>M Street</t>
  </si>
  <si>
    <t>C01015</t>
  </si>
  <si>
    <t>03.18.26 - Mother's Day</t>
  </si>
  <si>
    <t>Mom Deserves More Than Flowers 💐</t>
  </si>
  <si>
    <t>21:00</t>
  </si>
  <si>
    <t>Browse Abandoners, Recent Purchasers 30D, Flatback Fans</t>
  </si>
  <si>
    <t>C01155</t>
  </si>
  <si>
    <t>03.18.26 - SMS Flash Sale</t>
  </si>
  <si>
    <t>⚡ 2hr flash sale - 25% off everything</t>
  </si>
  <si>
    <t>Flatback Fans, Gold Lovers, Lapsed Piercing Customers</t>
  </si>
  <si>
    <t>C01144</t>
  </si>
  <si>
    <t>03.18.26 - Markdowns Launch</t>
  </si>
  <si>
    <t>13:00</t>
  </si>
  <si>
    <t>Austin, Cart Abandoners, Recent Purchasers 30D</t>
  </si>
  <si>
    <t>C01065</t>
  </si>
  <si>
    <t>03.13.26 - Silver Edit Launch</t>
  </si>
  <si>
    <t>New Drop: Silver Edit ✨</t>
  </si>
  <si>
    <t>14:00</t>
  </si>
  <si>
    <t>Silver Fans, Atlanta Metro</t>
  </si>
  <si>
    <t>C01142</t>
  </si>
  <si>
    <t>03.13.26 - Touch Grass</t>
  </si>
  <si>
    <t>Flatback Fans, Recent Purchasers 30D</t>
  </si>
  <si>
    <t>C01134</t>
  </si>
  <si>
    <t>03.10.26 - M Street NSO Now Open</t>
  </si>
  <si>
    <t>Now Open: Glinta M Street</t>
  </si>
  <si>
    <t>NSO</t>
  </si>
  <si>
    <t>Boston Metro, DC Metro</t>
  </si>
  <si>
    <t>C01008</t>
  </si>
  <si>
    <t>03.09.26 - Harvard Square NSO Coming Soon</t>
  </si>
  <si>
    <t>Glinta Harvard Square Opens Soon ✨</t>
  </si>
  <si>
    <t>17:30</t>
  </si>
  <si>
    <t>Gold Lovers, All Engaged 60D</t>
  </si>
  <si>
    <t>Harvard Square</t>
  </si>
  <si>
    <t>C01153</t>
  </si>
  <si>
    <t>03.07.26 - PLAIN TEXT Micros Reminder</t>
  </si>
  <si>
    <t>Did you forget? 20% off Micros</t>
  </si>
  <si>
    <t>Reminder</t>
  </si>
  <si>
    <t>20:00</t>
  </si>
  <si>
    <t>All Engaged 60D, Multi-Buyers</t>
  </si>
  <si>
    <t>Micros</t>
  </si>
  <si>
    <t>C01041</t>
  </si>
  <si>
    <t>03.05.26 - Pink Diamonds Back In Stock</t>
  </si>
  <si>
    <t>The Pink Diamonds you love? It's back 😻</t>
  </si>
  <si>
    <t>Gold Lovers, Silver Fans, Houston Metro</t>
  </si>
  <si>
    <t>Pink Diamonds</t>
  </si>
  <si>
    <t>C01113</t>
  </si>
  <si>
    <t>03.04.26 - 20% Off Heart Collection</t>
  </si>
  <si>
    <t>The Internet's Favorite — 20% Off Heart Collection</t>
  </si>
  <si>
    <t>Promo</t>
  </si>
  <si>
    <t>Chicago Metro, Flatback Fans</t>
  </si>
  <si>
    <t>C01105</t>
  </si>
  <si>
    <t>03.03.26 - Piercing Trends 2026</t>
  </si>
  <si>
    <t>Non-Buyers, Multi-Buyers, Flatback Fans, Gold Lovers</t>
  </si>
  <si>
    <t>C01161</t>
  </si>
  <si>
    <t>03.03.26 - SMS 20% Off Heart Collection</t>
  </si>
  <si>
    <t>🎉 20% off Heart Collection - today only!</t>
  </si>
  <si>
    <t>Gold Lovers</t>
  </si>
  <si>
    <t>C01156</t>
  </si>
  <si>
    <t>02.28.26 - SMS Studio Reminder</t>
  </si>
  <si>
    <t>Your piercing appt is tmrw at Glinta Burlingame</t>
  </si>
  <si>
    <t>Gold Lovers, Browse Abandoners</t>
  </si>
  <si>
    <t>Burlingame</t>
  </si>
  <si>
    <t>C01130</t>
  </si>
  <si>
    <t>02.27.26 - Pink Diamonds Launch</t>
  </si>
  <si>
    <t>New Drop: Pink Diamonds ✨</t>
  </si>
  <si>
    <t>Piercing Fans, DC Metro, SF Bay Area</t>
  </si>
  <si>
    <t>C01062</t>
  </si>
  <si>
    <t>02.24.26 - PLAIN TEXT SALE Engager (No Purchase)</t>
  </si>
  <si>
    <t>Lapsed Piercing Customers, Philly Metro</t>
  </si>
  <si>
    <t>C01022</t>
  </si>
  <si>
    <t>02.21.26 - Pearls Back In Stock</t>
  </si>
  <si>
    <t>The Pearls you love? It's back 😻</t>
  </si>
  <si>
    <t>C01064</t>
  </si>
  <si>
    <t>02.18.26 - Venice Beach NSO Now Open</t>
  </si>
  <si>
    <t>Now Open: Glinta Venice Beach</t>
  </si>
  <si>
    <t>DC Metro</t>
  </si>
  <si>
    <t>Clickers</t>
  </si>
  <si>
    <t>C01049</t>
  </si>
  <si>
    <t>02.17.26 - PLAIN TEXT SALE Non-Engager</t>
  </si>
  <si>
    <t>You really skipped 20% off?</t>
  </si>
  <si>
    <t>Chicago Metro, DC Metro, Houston Metro</t>
  </si>
  <si>
    <t>Statement Pieces</t>
  </si>
  <si>
    <t>C01054</t>
  </si>
  <si>
    <t>02.17.26 - Silver Edit Back In Stock</t>
  </si>
  <si>
    <t>The Silver Edit you love? It's back 😻</t>
  </si>
  <si>
    <t>Recent Purchasers 30D, Silver Fans</t>
  </si>
  <si>
    <t>C01123</t>
  </si>
  <si>
    <t>02.14.26 - Heart Collection Back In Stock</t>
  </si>
  <si>
    <t>The Heart Collection you love? It's back 😻</t>
  </si>
  <si>
    <t>Chicago Metro, All Engaged 90D</t>
  </si>
  <si>
    <t>C01066</t>
  </si>
  <si>
    <t>01.21.26 - Snakebite Anatomy</t>
  </si>
  <si>
    <t>Flatback Fans, VIPs, Philly Metro</t>
  </si>
  <si>
    <t>Birthstone Edit</t>
  </si>
  <si>
    <t>C01013</t>
  </si>
  <si>
    <t>01.18.26 - The Grove Advanced Apprentice Piercings</t>
  </si>
  <si>
    <t>FREE Advanced Piercings at Glinta The Grove</t>
  </si>
  <si>
    <t>All Engaged 60D, All Engaged 90D, LA Metro</t>
  </si>
  <si>
    <t>The Grove</t>
  </si>
  <si>
    <t>C01164</t>
  </si>
  <si>
    <t>01.12.26 - SMS Flash Sale</t>
  </si>
  <si>
    <t>C01043</t>
  </si>
  <si>
    <t>01.11.26 - Pearl Color Story</t>
  </si>
  <si>
    <t>Fresh picks from the garden 💜💚</t>
  </si>
  <si>
    <t>Charlotte Metro, Philly Metro</t>
  </si>
  <si>
    <t>C01037</t>
  </si>
  <si>
    <t>01.06.26 - IN STUDIOS Celestial Drop</t>
  </si>
  <si>
    <t>Austin, Multi-Buyers, Phoenix Metro</t>
  </si>
  <si>
    <t>Back Bay South</t>
  </si>
  <si>
    <t>C01137</t>
  </si>
  <si>
    <t>01.05.26 - Stacked Lobe Anatomy</t>
  </si>
  <si>
    <t>Do You Have the Anatomy for a Stacked Lobe?</t>
  </si>
  <si>
    <t>Cart Abandoners, Austin</t>
  </si>
  <si>
    <t>C01002</t>
  </si>
  <si>
    <t>01.05.26 - Clickers Launch</t>
  </si>
  <si>
    <t>New Drop: Clickers ✨</t>
  </si>
  <si>
    <t>Flatback Fans, DC Metro</t>
  </si>
  <si>
    <t>C01088</t>
  </si>
  <si>
    <t>01.01.26 - PLAIN TEXT SALE Engager (No Purchase)</t>
  </si>
  <si>
    <t>22:30</t>
  </si>
  <si>
    <t>Browse Abandoners, Flatback Fans, All Engaged 90D</t>
  </si>
  <si>
    <t>C01082</t>
  </si>
  <si>
    <t>12.31.25 - PLAIN TEXT Hoops &amp; Huggies Reminder</t>
  </si>
  <si>
    <t>Did you forget? 20% off Hoops &amp; Huggies</t>
  </si>
  <si>
    <t>VIPs, Gold Lovers, NY Metro</t>
  </si>
  <si>
    <t>C01106</t>
  </si>
  <si>
    <t>12.29.25 - CBK Mystery Sets</t>
  </si>
  <si>
    <t>Austin, Browse Abandoners</t>
  </si>
  <si>
    <t>C01163</t>
  </si>
  <si>
    <t>12.21.25 - SMS Studio Reminder</t>
  </si>
  <si>
    <t>Your piercing appt is tmrw at Glinta The Pearl</t>
  </si>
  <si>
    <t>Lapsed Piercing Customers, Piercing Fans, Atlanta Metro, VIPs</t>
  </si>
  <si>
    <t>The Pearl</t>
  </si>
  <si>
    <t>C01024</t>
  </si>
  <si>
    <t>12.16.25 - 20% Off Statement Pieces</t>
  </si>
  <si>
    <t>The Internet's Favorite — 20% Off Statement Pieces</t>
  </si>
  <si>
    <t>Cart Abandoners, Silver Fans</t>
  </si>
  <si>
    <t>C01026</t>
  </si>
  <si>
    <t>12.13.25 - NorthPark NSO Now Open</t>
  </si>
  <si>
    <t>Now Open: Glinta NorthPark</t>
  </si>
  <si>
    <t>Flatback Fans, Non-Buyers, Cart Abandoners</t>
  </si>
  <si>
    <t>NorthPark</t>
  </si>
  <si>
    <t>C01182</t>
  </si>
  <si>
    <t>12.07.25 - SMS Flash Sale</t>
  </si>
  <si>
    <t>Cart Abandoners, Recent Purchasers 30D</t>
  </si>
  <si>
    <t>C01131</t>
  </si>
  <si>
    <t>12.06.25 - SoHo NSO Coming Soon</t>
  </si>
  <si>
    <t>Glinta SoHo Opens Soon ✨</t>
  </si>
  <si>
    <t>LA Metro, Piercing Fans, VIPs</t>
  </si>
  <si>
    <t>SoHo</t>
  </si>
  <si>
    <t>C01092</t>
  </si>
  <si>
    <t>12.06.25 - Markdowns Launch</t>
  </si>
  <si>
    <t>LA Metro, NY Metro</t>
  </si>
  <si>
    <t>C01090</t>
  </si>
  <si>
    <t>12.04.25 - Friends and Family Sale</t>
  </si>
  <si>
    <t>Spend $200. Get Pierced For Free. 💅</t>
  </si>
  <si>
    <t>All Engaged 60D, Philly Metro</t>
  </si>
  <si>
    <t>C01058</t>
  </si>
  <si>
    <t>12.02.25 - PLAIN TEXT SALE Engager (No Purchase)</t>
  </si>
  <si>
    <t>Chicago Metro, Phoenix Metro, DC Metro</t>
  </si>
  <si>
    <t>C01011</t>
  </si>
  <si>
    <t>12.02.25 - Friends and Family Sale</t>
  </si>
  <si>
    <t>Recent Purchasers 30D, Houston Metro, Piercing Fans, LA Metro</t>
  </si>
  <si>
    <t>C01132</t>
  </si>
  <si>
    <t>11.28.25 - IN STUDIOS 14K Gold</t>
  </si>
  <si>
    <t>Dallas, Atlanta Metro, LA Metro</t>
  </si>
  <si>
    <t>C01033</t>
  </si>
  <si>
    <t>11.27.25 - Hayes Valley Apprentice Piercings</t>
  </si>
  <si>
    <t>Hey Bay Area, get a free piercing on us ✨</t>
  </si>
  <si>
    <t>VIPs, LA Metro, Chicago Metro</t>
  </si>
  <si>
    <t>Hayes Valley</t>
  </si>
  <si>
    <t>C01146</t>
  </si>
  <si>
    <t>11.26.25 - Silver Edit Launch</t>
  </si>
  <si>
    <t>Houston Metro, DC Metro, Phoenix Metro, NY Metro</t>
  </si>
  <si>
    <t>C01074</t>
  </si>
  <si>
    <t>11.23.25 - Pearl Mystery Sets</t>
  </si>
  <si>
    <t>NY Metro, Dallas</t>
  </si>
  <si>
    <t>C01107</t>
  </si>
  <si>
    <t>11.23.25 - PLAIN TEXT Pink Diamonds Reminder</t>
  </si>
  <si>
    <t>Did you forget? 20% off Pink Diamonds</t>
  </si>
  <si>
    <t>Dallas, Phoenix Metro, Atlanta Metro</t>
  </si>
  <si>
    <t>C01080</t>
  </si>
  <si>
    <t>11.21.25 - PLAIN TEXT SALE Non-Engager</t>
  </si>
  <si>
    <t>Piercing Fans, Non-Buyers</t>
  </si>
  <si>
    <t>C01140</t>
  </si>
  <si>
    <t>11.18.25 - PLAIN TEXT SALE Engager (No Purchase)</t>
  </si>
  <si>
    <t>Cart Abandoners, Boston Metro, Atlanta Metro</t>
  </si>
  <si>
    <t>C01103</t>
  </si>
  <si>
    <t>11.16.25 - PLAIN TEXT SALE Non-Engager</t>
  </si>
  <si>
    <t>Non-Buyers, Flatback Fans, Hoop Heads</t>
  </si>
  <si>
    <t>C01076</t>
  </si>
  <si>
    <t>11.13.25 - CBK Mystery Sets</t>
  </si>
  <si>
    <t>C01027</t>
  </si>
  <si>
    <t>11.12.25 - NorthPark NSO Now Open</t>
  </si>
  <si>
    <t>Atlanta Metro, Piercing Fans, Dallas</t>
  </si>
  <si>
    <t>C01014</t>
  </si>
  <si>
    <t>11.10.25 - Friends and Family Sale</t>
  </si>
  <si>
    <t>Browse Abandoners, Houston Metro</t>
  </si>
  <si>
    <t>C01166</t>
  </si>
  <si>
    <t>11.10.25 - SMS Flatbacks Back In Stock</t>
  </si>
  <si>
    <t>Back in stock: Flatbacks. Grab yours!</t>
  </si>
  <si>
    <t>Atlanta Metro, Piercing Fans, DC Metro</t>
  </si>
  <si>
    <t>C01110</t>
  </si>
  <si>
    <t>11.09.25 - Rook Anatomy</t>
  </si>
  <si>
    <t>Do You Have the Anatomy for a Rook?</t>
  </si>
  <si>
    <t>Austin, Philly Metro, Recent Purchasers 30D</t>
  </si>
  <si>
    <t>C01129</t>
  </si>
  <si>
    <t>11.06.25 - Conch Anatomy</t>
  </si>
  <si>
    <t>Do You Have the Anatomy for a Conch?</t>
  </si>
  <si>
    <t>LA Metro, Charlotte Metro</t>
  </si>
  <si>
    <t>C01098</t>
  </si>
  <si>
    <t>11.06.25 - Burlingame NSO Now Open</t>
  </si>
  <si>
    <t>Now Open: Glinta Burlingame</t>
  </si>
  <si>
    <t>Piercing Fans, Flatback Fans, Boston Metro</t>
  </si>
  <si>
    <t>C01104</t>
  </si>
  <si>
    <t>11.06.25 - Halloween Drop</t>
  </si>
  <si>
    <t>Get Spooky, Get Pierced 🎃</t>
  </si>
  <si>
    <t>Atlanta Metro, Houston Metro</t>
  </si>
  <si>
    <t>C01021</t>
  </si>
  <si>
    <t>11.04.25 - Valentine's Mystery Sets</t>
  </si>
  <si>
    <t>Chicago Metro</t>
  </si>
  <si>
    <t>C01044</t>
  </si>
  <si>
    <t>11.03.25 - Scottsdale Quarter NSO Coming Soon</t>
  </si>
  <si>
    <t>Glinta Scottsdale Quarter Opens Soon ✨</t>
  </si>
  <si>
    <t>Atlanta Metro, Multi-Buyers, Flatback Fans</t>
  </si>
  <si>
    <t>Scottsdale Quarter</t>
  </si>
  <si>
    <t>C01096</t>
  </si>
  <si>
    <t>11.02.25 - Kierland Commons NSO Now Open</t>
  </si>
  <si>
    <t>Now Open: Glinta Kierland Commons</t>
  </si>
  <si>
    <t>Phoenix Metro, Lapsed Piercing Customers, Browse Abandoners, Recent Purchasers 30D</t>
  </si>
  <si>
    <t>Kierland Commons</t>
  </si>
  <si>
    <t>C01068</t>
  </si>
  <si>
    <t>10.30.25 - PLAIN TEXT SALE Engager (No Purchase)</t>
  </si>
  <si>
    <t>16:30</t>
  </si>
  <si>
    <t>Dallas, Phoenix Metro, Boston Metro</t>
  </si>
  <si>
    <t>C01052</t>
  </si>
  <si>
    <t>10.28.25 - Rook Anatomy</t>
  </si>
  <si>
    <t>C01150</t>
  </si>
  <si>
    <t>10.27.25 - Markdowns Launch</t>
  </si>
  <si>
    <t>Hoop Heads, Boston Metro, All Engaged 90D, Browse Abandoners</t>
  </si>
  <si>
    <t>C01071</t>
  </si>
  <si>
    <t>10.24.25 - PLAIN TEXT SALE Non-Engager</t>
  </si>
  <si>
    <t>Cart Abandoners, Recent Purchasers 30D, Atlanta Metro</t>
  </si>
  <si>
    <t>C01056</t>
  </si>
  <si>
    <t>10.18.25 - Markdowns Launch</t>
  </si>
  <si>
    <t>All Engaged 60D, Austin</t>
  </si>
  <si>
    <t>C01048</t>
  </si>
  <si>
    <t>10.17.25 - Piercing Trends 2025</t>
  </si>
  <si>
    <t>The 2025 Piercing Trend to Know</t>
  </si>
  <si>
    <t>Browse Abandoners, Chicago Metro</t>
  </si>
  <si>
    <t>C01157</t>
  </si>
  <si>
    <t>10.17.25 - SMS Mother's Day</t>
  </si>
  <si>
    <t>Mom Deserves More Than Flowers 💐 - shop now 💕</t>
  </si>
  <si>
    <t>Cart Abandoners, All Engaged 60D</t>
  </si>
  <si>
    <t>C01086</t>
  </si>
  <si>
    <t>10.17.25 - Moonstone Collab</t>
  </si>
  <si>
    <t>The Wellness Edit • Moonstone</t>
  </si>
  <si>
    <t>Partnership</t>
  </si>
  <si>
    <t>Dallas, Non-Buyers, Phoenix Metro</t>
  </si>
  <si>
    <t>C01032</t>
  </si>
  <si>
    <t>10.15.25 - The Pearl NSO Now Open</t>
  </si>
  <si>
    <t>Now Open: Glinta The Pearl</t>
  </si>
  <si>
    <t>All Engaged 90D, Non-Buyers, Browse Abandoners</t>
  </si>
  <si>
    <t>C01121</t>
  </si>
  <si>
    <t>10.14.25 - Pink Diamonds Launch</t>
  </si>
  <si>
    <t>Phoenix Metro, All Engaged 90D</t>
  </si>
  <si>
    <t>C01145</t>
  </si>
  <si>
    <t>10.05.25 - PLAIN TEXT SALE Non-Engager</t>
  </si>
  <si>
    <t>Phoenix Metro, Silver Fans</t>
  </si>
  <si>
    <t>C01115</t>
  </si>
  <si>
    <t>10.03.25 - Scottsdale Quarter Advanced Apprentice Piercings</t>
  </si>
  <si>
    <t>FREE Advanced Piercings at Glinta Scottsdale Quarter</t>
  </si>
  <si>
    <t>Flatback Fans, Multi-Buyers, Chicago Metro</t>
  </si>
  <si>
    <t>C01055</t>
  </si>
  <si>
    <t>09.26.25 - Orbital Anatomy</t>
  </si>
  <si>
    <t>Do You Have the Anatomy for a Orbital?</t>
  </si>
  <si>
    <t>Austin</t>
  </si>
  <si>
    <t>C01034</t>
  </si>
  <si>
    <t>09.25.25 - Drift Collab</t>
  </si>
  <si>
    <t>The Wellness Edit • Drift</t>
  </si>
  <si>
    <t>Recent Purchasers 30D, Cart Abandoners, Philly Metro</t>
  </si>
  <si>
    <t>C01035</t>
  </si>
  <si>
    <t>09.25.25 - PLAIN TEXT SALE Non-Engager</t>
  </si>
  <si>
    <t>Dallas, Browse Abandoners</t>
  </si>
  <si>
    <t>C01051</t>
  </si>
  <si>
    <t>09.21.25 - Halloween Drop</t>
  </si>
  <si>
    <t>Lapsed Piercing Customers, VIPs, Silver Fans</t>
  </si>
  <si>
    <t>C01007</t>
  </si>
  <si>
    <t>09.20.25 - Touch Grass</t>
  </si>
  <si>
    <t>All Engaged 90D, Non-Buyers</t>
  </si>
  <si>
    <t>C01158</t>
  </si>
  <si>
    <t>09.17.25 - SMS Flash Sale</t>
  </si>
  <si>
    <t>Philly Metro, All Engaged 90D</t>
  </si>
  <si>
    <t>C01143</t>
  </si>
  <si>
    <t>09.17.25 - Markdowns Launch</t>
  </si>
  <si>
    <t>Boston Metro, All Engaged 60D</t>
  </si>
  <si>
    <t>C01009</t>
  </si>
  <si>
    <t>09.15.25 - PLAIN TEXT Hoops &amp; Huggies Reminder</t>
  </si>
  <si>
    <t>Dallas, Recent Purchasers 30D</t>
  </si>
  <si>
    <t>C01053</t>
  </si>
  <si>
    <t>09.12.25 - Clickers Launch</t>
  </si>
  <si>
    <t>Chicago Metro, NY Metro, Multi-Buyers</t>
  </si>
  <si>
    <t>C01018</t>
  </si>
  <si>
    <t>09.09.25 - M Street Advanced Apprentice Piercings</t>
  </si>
  <si>
    <t>Hoop Heads, Gold Lovers, VIPs</t>
  </si>
  <si>
    <t>C01075</t>
  </si>
  <si>
    <t>09.09.25 - PLAIN TEXT SALE Non-Engager</t>
  </si>
  <si>
    <t>Philly Metro</t>
  </si>
  <si>
    <t>C01118</t>
  </si>
  <si>
    <t>09.04.25 - Friends and Family Sale</t>
  </si>
  <si>
    <t>Recent Purchasers 30D</t>
  </si>
  <si>
    <t>C01133</t>
  </si>
  <si>
    <t>08.20.25 - Friends and Family Sale</t>
  </si>
  <si>
    <t>Lapsed Piercing Customers, LA Metro, Gold Lovers, Non-Buyers</t>
  </si>
  <si>
    <t>C01057</t>
  </si>
  <si>
    <t>08.18.25 - Hoops &amp; Huggies Back In Stock</t>
  </si>
  <si>
    <t>The Hoops &amp; Huggies you love? It's back 😻</t>
  </si>
  <si>
    <t>Houston Metro</t>
  </si>
  <si>
    <t>C01170</t>
  </si>
  <si>
    <t>08.17.25 - SMS 20% Off 14K Gold</t>
  </si>
  <si>
    <t>🎉 20% off 14K Gold - today only!</t>
  </si>
  <si>
    <t>NY Metro, Atlanta Metro</t>
  </si>
  <si>
    <t>C01149</t>
  </si>
  <si>
    <t>08.16.25 - Daith Anatomy</t>
  </si>
  <si>
    <t>Do You Have the Anatomy for a Daith?</t>
  </si>
  <si>
    <t>All Engaged 90D</t>
  </si>
  <si>
    <t>C01093</t>
  </si>
  <si>
    <t>08.14.25 - 14K Gold Back In Stock</t>
  </si>
  <si>
    <t>The 14K Gold you love? It's back 😻</t>
  </si>
  <si>
    <t>C01038</t>
  </si>
  <si>
    <t>08.14.25 - Herbal Theory Collab</t>
  </si>
  <si>
    <t>The Wellness Edit • Herbal Theory</t>
  </si>
  <si>
    <t>Gold Lovers, Non-Buyers, Chicago Metro, Multi-Buyers</t>
  </si>
  <si>
    <t>C01141</t>
  </si>
  <si>
    <t>08.10.25 - The Grove NSO Now Open</t>
  </si>
  <si>
    <t>Now Open: Glinta The Grove</t>
  </si>
  <si>
    <t>Browse Abandoners, Lapsed Piercing Customers, NY Metro, Gold Lovers</t>
  </si>
  <si>
    <t>C01085</t>
  </si>
  <si>
    <t>08.08.25 - Pearls Back In Stock</t>
  </si>
  <si>
    <t>Philly Metro, Dallas</t>
  </si>
  <si>
    <t>C01050</t>
  </si>
  <si>
    <t>08.08.25 - Pressed Flow Collab</t>
  </si>
  <si>
    <t>The Wellness Edit • Pressed Flow</t>
  </si>
  <si>
    <t>Houston Metro, Flatback Fans, Piercing Fans</t>
  </si>
  <si>
    <t>C01179</t>
  </si>
  <si>
    <t>08.06.25 - SMS Flash Sale</t>
  </si>
  <si>
    <t>Lapsed Piercing Customers, Austin, VIPs</t>
  </si>
  <si>
    <t>C01017</t>
  </si>
  <si>
    <t>08.06.25 - Burlingame Advanced Apprentice Piercings</t>
  </si>
  <si>
    <t>FREE Advanced Piercings at Glinta Burlingame</t>
  </si>
  <si>
    <t>Houston Metro, Chicago Metro</t>
  </si>
  <si>
    <t>C01159</t>
  </si>
  <si>
    <t>08.06.25 - SMS Pearls Back In Stock</t>
  </si>
  <si>
    <t>Back in stock: Pearls. Grab yours!</t>
  </si>
  <si>
    <t>DC Metro, Piercing Fans, Austin</t>
  </si>
  <si>
    <t>C01004</t>
  </si>
  <si>
    <t>08.05.25 - IN STUDIOS Birthstone Edit</t>
  </si>
  <si>
    <t>Hoop Heads, Houston Metro, Chicago Metro</t>
  </si>
  <si>
    <t>14th Street</t>
  </si>
  <si>
    <t>C01154</t>
  </si>
  <si>
    <t>08.03.25 - Spring Mystery Sets</t>
  </si>
  <si>
    <t>Austin, Cart Abandoners</t>
  </si>
  <si>
    <t>C01148</t>
  </si>
  <si>
    <t>07.26.25 - Kierland Commons Advanced Apprentice Piercings</t>
  </si>
  <si>
    <t>FREE Advanced Piercings at Glinta Kierland Commons</t>
  </si>
  <si>
    <t>VIPs, LA Metro</t>
  </si>
  <si>
    <t>C01135</t>
  </si>
  <si>
    <t>07.26.25 - PLAIN TEXT Mystery Sets Reminder</t>
  </si>
  <si>
    <t>Did you forget? 20% off Mystery Sets</t>
  </si>
  <si>
    <t>Charlotte Metro, Dallas</t>
  </si>
  <si>
    <t>C01001</t>
  </si>
  <si>
    <t>07.25.25 - Mother's Day</t>
  </si>
  <si>
    <t>C01169</t>
  </si>
  <si>
    <t>07.20.25 - SMS 14K Gold Back In Stock</t>
  </si>
  <si>
    <t>Back in stock: 14K Gold. Grab yours!</t>
  </si>
  <si>
    <t>C01016</t>
  </si>
  <si>
    <t>07.20.25 - Moonstone Collab</t>
  </si>
  <si>
    <t>DC Metro, Gold Lovers</t>
  </si>
  <si>
    <t>C01125</t>
  </si>
  <si>
    <t>07.13.25 - Pop Culture Mystery Sets</t>
  </si>
  <si>
    <t>VIPs, Austin</t>
  </si>
  <si>
    <t>C01079</t>
  </si>
  <si>
    <t>07.11.25 - IN STUDIOS Silver Edit</t>
  </si>
  <si>
    <t>Browse Abandoners, Cart Abandoners</t>
  </si>
  <si>
    <t>C01091</t>
  </si>
  <si>
    <t>07.04.25 - PLAIN TEXT SALE Engager (No Purchase)</t>
  </si>
  <si>
    <t>All Engaged 60D, Philly Metro, Chicago Metro</t>
  </si>
  <si>
    <t>C01136</t>
  </si>
  <si>
    <t>07.03.25 - Hoops &amp; Huggies Back In Stock</t>
  </si>
  <si>
    <t>C01117</t>
  </si>
  <si>
    <t>06.26.25 - Markdowns Launch</t>
  </si>
  <si>
    <t>NY Metro, Atlanta Metro, All Engaged 60D</t>
  </si>
  <si>
    <t>C01036</t>
  </si>
  <si>
    <t>06.25.25 - 20% Off Celestial Drop</t>
  </si>
  <si>
    <t>The Internet's Favorite — 20% Off Celestial Drop</t>
  </si>
  <si>
    <t>Philly Metro, Silver Fans</t>
  </si>
  <si>
    <t>C01046</t>
  </si>
  <si>
    <t>06.22.25 - 20% Off Statement Pieces</t>
  </si>
  <si>
    <t>C01112</t>
  </si>
  <si>
    <t>06.22.25 - Statement Pieces Launch</t>
  </si>
  <si>
    <t>New Drop: Statement Pieces ✨</t>
  </si>
  <si>
    <t>SF Bay Area, Atlanta Metro</t>
  </si>
  <si>
    <t>C01067</t>
  </si>
  <si>
    <t>06.21.25 - Black Friday</t>
  </si>
  <si>
    <t>BFCM: Up to 40% Off</t>
  </si>
  <si>
    <t>Lapsed Piercing Customers, Charlotte Metro, Houston Metro, Hoop Heads</t>
  </si>
  <si>
    <t>C01128</t>
  </si>
  <si>
    <t>06.21.25 - The Pearl Apprentice Piercings</t>
  </si>
  <si>
    <t>Hey Houston, get a free piercing on us ✨</t>
  </si>
  <si>
    <t>Dallas, Chicago Metro, Philly Metro</t>
  </si>
  <si>
    <t>C01029</t>
  </si>
  <si>
    <t>06.21.25 - PLAIN TEXT SALE Engager (No Purchase)</t>
  </si>
  <si>
    <t>Dallas, Austin</t>
  </si>
  <si>
    <t>C01028</t>
  </si>
  <si>
    <t>06.19.25 - Piercing Trends 2025</t>
  </si>
  <si>
    <t>Silver Fans, Piercing Fans, VIPs</t>
  </si>
  <si>
    <t>C01172</t>
  </si>
  <si>
    <t>06.13.25 - SMS Black Friday</t>
  </si>
  <si>
    <t>BFCM: Up to 40% Off - shop now 💕</t>
  </si>
  <si>
    <t>C01122</t>
  </si>
  <si>
    <t>06.08.25 - Pearl Mystery Sets</t>
  </si>
  <si>
    <t>All Engaged 60D, VIPs</t>
  </si>
  <si>
    <t>C01030</t>
  </si>
  <si>
    <t>06.08.25 - PLAIN TEXT Pearls Reminder</t>
  </si>
  <si>
    <t>Did you forget? 20% off Pearls</t>
  </si>
  <si>
    <t>SF Bay Area, Chicago Metro</t>
  </si>
  <si>
    <t>C01084</t>
  </si>
  <si>
    <t>06.08.25 - Valentine's Mystery Sets</t>
  </si>
  <si>
    <t>SF Bay Area, All Engaged 90D</t>
  </si>
  <si>
    <t>C01101</t>
  </si>
  <si>
    <t>06.05.25 - Radia Skin Collab</t>
  </si>
  <si>
    <t>The Wellness Edit • Radia Skin</t>
  </si>
  <si>
    <t>Non-Buyers, VIPs</t>
  </si>
  <si>
    <t>C01006</t>
  </si>
  <si>
    <t>06.03.25 - Clickers Back In Stock</t>
  </si>
  <si>
    <t>The Clickers you love? It's back 😻</t>
  </si>
  <si>
    <t>Dallas</t>
  </si>
  <si>
    <t>C01031</t>
  </si>
  <si>
    <t>05.30.25 - Heart Collection Launch</t>
  </si>
  <si>
    <t>New Drop: Heart Collection ✨</t>
  </si>
  <si>
    <t>Philly Metro, Browse Abandoners</t>
  </si>
  <si>
    <t>C01180</t>
  </si>
  <si>
    <t>05.30.25 - SMS Flash Sale</t>
  </si>
  <si>
    <t>Hoop Heads, DC Metro</t>
  </si>
  <si>
    <t>C01081</t>
  </si>
  <si>
    <t>05.27.25 - Touch Grass</t>
  </si>
  <si>
    <t>Silver Fans</t>
  </si>
  <si>
    <t>C01047</t>
  </si>
  <si>
    <t>05.25.25 - Touch Grass</t>
  </si>
  <si>
    <t>Chicago Metro, Houston Metro, Multi-Buyers</t>
  </si>
  <si>
    <t>C01147</t>
  </si>
  <si>
    <t>05.25.25 - PLAIN TEXT 14K Gold Reminder</t>
  </si>
  <si>
    <t>Did you forget? 20% off 14K Gold</t>
  </si>
  <si>
    <t>Multi-Buyers, Dallas</t>
  </si>
  <si>
    <t>C01003</t>
  </si>
  <si>
    <t>05.24.25 - Drift Collab</t>
  </si>
  <si>
    <t>SF Bay Area</t>
  </si>
  <si>
    <t>C01126</t>
  </si>
  <si>
    <t>05.22.25 - Statement Pieces Launch</t>
  </si>
  <si>
    <t>Houston Metro, NY Metro</t>
  </si>
  <si>
    <t>C01111</t>
  </si>
  <si>
    <t>05.19.25 - The Pearl NSO Coming Soon</t>
  </si>
  <si>
    <t>Glinta The Pearl Opens Soon ✨</t>
  </si>
  <si>
    <t>SF Bay Area, DC Metro, Philly Metro</t>
  </si>
  <si>
    <t>C01165</t>
  </si>
  <si>
    <t>05.16.25 - SMS Hoops &amp; Huggies Back In Stock</t>
  </si>
  <si>
    <t>Back in stock: Hoops &amp; Huggies. Grab yours!</t>
  </si>
  <si>
    <t>Philly Metro, Boston Metro, Browse Abandoners</t>
  </si>
  <si>
    <t>C01073</t>
  </si>
  <si>
    <t>05.16.25 - Piercing Trends 2025</t>
  </si>
  <si>
    <t>Lapsed Piercing Customers, Silver Fans, DC Metro, Phoenix Metro</t>
  </si>
  <si>
    <t>C01094</t>
  </si>
  <si>
    <t>05.12.25 - PLAIN TEXT SALE Engager (No Purchase)</t>
  </si>
  <si>
    <t>Flatback Fans, Dallas</t>
  </si>
  <si>
    <t>C01023</t>
  </si>
  <si>
    <t>05.05.25 - Piercing Trends 2025</t>
  </si>
  <si>
    <t>Boston Metro, Cart Abandoners, Silver Fans</t>
  </si>
  <si>
    <t>C01167</t>
  </si>
  <si>
    <t>04.30.25 - SMS Valentine's Day</t>
  </si>
  <si>
    <t>Lobe You, Mean It 💘 - shop now 💕</t>
  </si>
  <si>
    <t>Lapsed Piercing Customers, VIPs</t>
  </si>
  <si>
    <t>C01039</t>
  </si>
  <si>
    <t>04.29.25 - Scottsdale Quarter Apprentice Piercings</t>
  </si>
  <si>
    <t>Hey Phoenix, get a free piercing on us ✨</t>
  </si>
  <si>
    <t>Atlanta Metro, Cart Abandoners</t>
  </si>
  <si>
    <t>C01120</t>
  </si>
  <si>
    <t>04.25.25 - 20% Off Birthstone Edit</t>
  </si>
  <si>
    <t>The Internet's Favorite — 20% Off Birthstone Edit</t>
  </si>
  <si>
    <t>C01010</t>
  </si>
  <si>
    <t>04.21.25 - Helix Anatomy</t>
  </si>
  <si>
    <t>Do You Have the Anatomy for a Helix?</t>
  </si>
  <si>
    <t>C01100</t>
  </si>
  <si>
    <t>04.20.25 - Hayes Valley NSO Now Open</t>
  </si>
  <si>
    <t>Now Open: Glinta Hayes Valley</t>
  </si>
  <si>
    <t>Austin, DC Metro, Silver Fans, Cart Abandoners</t>
  </si>
  <si>
    <t>C01078</t>
  </si>
  <si>
    <t>04.17.25 - IN STUDIOS Hoops &amp; Huggies</t>
  </si>
  <si>
    <t>Chicago Metro, Lapsed Piercing Customers</t>
  </si>
  <si>
    <t>C01020</t>
  </si>
  <si>
    <t>04.10.25 - Piercing Trends 2025</t>
  </si>
  <si>
    <t>Philly Metro, Austin, VIPs</t>
  </si>
  <si>
    <t>C01177</t>
  </si>
  <si>
    <t>04.10.25 - SMS Silver Edit Back In Stock</t>
  </si>
  <si>
    <t>Back in stock: Silver Edit. Grab yours!</t>
  </si>
  <si>
    <t>Multi-Buyers, VIPs</t>
  </si>
  <si>
    <t>C01042</t>
  </si>
  <si>
    <t>04.09.25 - The Grove Advanced Apprentice Piercings</t>
  </si>
  <si>
    <t>NY Metro, Gold Lovers, LA Metro, Hoop Heads</t>
  </si>
  <si>
    <t>C01012</t>
  </si>
  <si>
    <t>04.09.25 - La Jolla NSO Now Open</t>
  </si>
  <si>
    <t>Now Open: Glinta La Jolla</t>
  </si>
  <si>
    <t>Hoop Heads, Atlanta Metro, Phoenix Metro</t>
  </si>
  <si>
    <t>La Jolla</t>
  </si>
  <si>
    <t>C01127</t>
  </si>
  <si>
    <t>04.08.25 - Domain Northside NSO Coming Soon</t>
  </si>
  <si>
    <t>Glinta Domain Northside Opens Soon ✨</t>
  </si>
  <si>
    <t>Non-Buyers, All Engaged 90D, Recent Purchasers 30D, Atlanta Metro</t>
  </si>
  <si>
    <t>Domain Northside</t>
  </si>
  <si>
    <t>C01152</t>
  </si>
  <si>
    <t>04.02.25 - Markdowns Launch</t>
  </si>
  <si>
    <t>Recent Purchasers 30D, DC Metro, Piercing Fans</t>
  </si>
  <si>
    <t>C01108</t>
  </si>
  <si>
    <t>04.02.25 - Valentine's Mystery Sets</t>
  </si>
  <si>
    <t>Lapsed Piercing Customers, SF Bay Area</t>
  </si>
  <si>
    <t>C01005</t>
  </si>
  <si>
    <t>03.30.25 - Summer House Mystery Sets</t>
  </si>
  <si>
    <t>Multi-Buyers, Atlanta Metro</t>
  </si>
  <si>
    <t>C01173</t>
  </si>
  <si>
    <t>03.27.25 - SMS Studio Reminder</t>
  </si>
  <si>
    <t>Your piercing appt is tmrw at Glinta 14th Street</t>
  </si>
  <si>
    <t>Houston Metro, All Engaged 90D</t>
  </si>
  <si>
    <t>C01162</t>
  </si>
  <si>
    <t>03.26.25 - SMS Black Friday</t>
  </si>
  <si>
    <t>C01097</t>
  </si>
  <si>
    <t>03.20.25 - Starter Sets Launch</t>
  </si>
  <si>
    <t>New Drop: Starter Sets ✨</t>
  </si>
  <si>
    <t>Non-Buyers, Dallas, Chicago Metro</t>
  </si>
  <si>
    <t>C01069</t>
  </si>
  <si>
    <t>03.17.25 - Piercing Trends 2025</t>
  </si>
  <si>
    <t>VIPs, Piercing Fans, Atlanta Metro</t>
  </si>
  <si>
    <t>C01139</t>
  </si>
  <si>
    <t>03.13.25 - Spring Sale</t>
  </si>
  <si>
    <t>SPRING SALE 🌸 20% Off Sitewide</t>
  </si>
  <si>
    <t>Gold Lovers, Hoop Heads</t>
  </si>
  <si>
    <t>C01119</t>
  </si>
  <si>
    <t>03.13.25 - Statement Pieces Back In Stock</t>
  </si>
  <si>
    <t>The Statement Pieces you love? It's back 😻</t>
  </si>
  <si>
    <t>Chicago Metro, Gold Lovers</t>
  </si>
  <si>
    <t>C01025</t>
  </si>
  <si>
    <t>03.11.25 - La Jolla Advanced Apprentice Piercings</t>
  </si>
  <si>
    <t>FREE Advanced Piercings at Glinta La Jolla</t>
  </si>
  <si>
    <t>Chicago Metro, Houston Metro</t>
  </si>
  <si>
    <t>C01116</t>
  </si>
  <si>
    <t>03.08.25 - PLAIN TEXT SALE Engager (No Purchase)</t>
  </si>
  <si>
    <t>Charlotte Metro, Houston Metro, Austin, Recent Purchasers 30D</t>
  </si>
  <si>
    <t>C01176</t>
  </si>
  <si>
    <t>03.08.25 - SMS Studio Reminder</t>
  </si>
  <si>
    <t>Your piercing appt is tmrw at Glinta M Street</t>
  </si>
  <si>
    <t>Lapsed Piercing Customers, SF Bay Area, DC Metro</t>
  </si>
  <si>
    <t>C01070</t>
  </si>
  <si>
    <t>03.06.25 - PLAIN TEXT Celestial Drop Reminder</t>
  </si>
  <si>
    <t>Did you forget? 20% off Celestial Drop</t>
  </si>
  <si>
    <t>C01045</t>
  </si>
  <si>
    <t>03.04.25 - Pop Culture Color Story</t>
  </si>
  <si>
    <t>Charlotte Metro, All Engaged 90D, All Engaged 60D</t>
  </si>
  <si>
    <t>C01124</t>
  </si>
  <si>
    <t>03.03.25 - Helix Anatomy</t>
  </si>
  <si>
    <t>Gold Lovers, Non-Buyers</t>
  </si>
  <si>
    <t>C01099</t>
  </si>
  <si>
    <t>02.28.25 - Pearl Color Story</t>
  </si>
  <si>
    <t>LA Metro, All Engaged 90D, Atlanta Metro, Cart Abandoners</t>
  </si>
  <si>
    <t>C01151</t>
  </si>
  <si>
    <t>02.25.25 - Markdowns Launch</t>
  </si>
  <si>
    <t>Philly Metro, Cart Abandoners</t>
  </si>
  <si>
    <t>C01087</t>
  </si>
  <si>
    <t>02.24.25 - PLAIN TEXT Clickers Reminder</t>
  </si>
  <si>
    <t>Did you forget? 20% off Clickers</t>
  </si>
  <si>
    <t>VIPs, Silver Fans</t>
  </si>
  <si>
    <t>C01160</t>
  </si>
  <si>
    <t>02.24.25 - SMS 20% Off Celestial Drop</t>
  </si>
  <si>
    <t>🎉 20% off Celestial Drop - today only!</t>
  </si>
  <si>
    <t>Recent Purchasers 30D, Multi-Buyers, Boston Metro</t>
  </si>
  <si>
    <t>C01072</t>
  </si>
  <si>
    <t>02.22.25 - Friends and Family Sale</t>
  </si>
  <si>
    <t>Chicago Metro, Charlotte Metro, Atlanta Metro</t>
  </si>
  <si>
    <t>C01059</t>
  </si>
  <si>
    <t>02.20.25 - Touch Grass</t>
  </si>
  <si>
    <t>Silver Fans, Charlotte Metro, Hoop Heads</t>
  </si>
  <si>
    <t>C01000</t>
  </si>
  <si>
    <t>02.13.25 - PLAIN TEXT SALE Non-Engager</t>
  </si>
  <si>
    <t>All Engaged 60D, All Engaged 90D</t>
  </si>
  <si>
    <t>C01178</t>
  </si>
  <si>
    <t>02.10.25 - SMS 20% Off Flatbacks</t>
  </si>
  <si>
    <t>🎉 20% off Flatbacks - today only!</t>
  </si>
  <si>
    <t>Philly Metro, Cart Abandoners, Dallas, Atlanta Metro</t>
  </si>
  <si>
    <t>C01063</t>
  </si>
  <si>
    <t>02.09.25 - Pressed Flow Collab</t>
  </si>
  <si>
    <t>Chicago Metro, VIPs</t>
  </si>
  <si>
    <t>C01114</t>
  </si>
  <si>
    <t>02.09.25 - Piercing Trends 2025</t>
  </si>
  <si>
    <t>NY Metro, VIPs, Cart Abandoners</t>
  </si>
  <si>
    <t>C01174</t>
  </si>
  <si>
    <t>02.06.25 - SMS Statement Pieces Back In Stock</t>
  </si>
  <si>
    <t>Back in stock: Statement Pieces. Grab yours!</t>
  </si>
  <si>
    <t>Non-Buyers, NY Metro</t>
  </si>
  <si>
    <t>C01109</t>
  </si>
  <si>
    <t>02.05.25 - Pearl Color Story</t>
  </si>
  <si>
    <t>Dallas, Chicago Metro</t>
  </si>
  <si>
    <t>Hours Since Send</t>
  </si>
  <si>
    <t>Cumulative Opens</t>
  </si>
  <si>
    <t>Cumulative Clicks</t>
  </si>
  <si>
    <t>Cumulative Conversions</t>
  </si>
  <si>
    <t>Cumulative Revenue</t>
  </si>
  <si>
    <t>Flow ID</t>
  </si>
  <si>
    <t>Flow Name</t>
  </si>
  <si>
    <t>Trigger Type</t>
  </si>
  <si>
    <t># Messages</t>
  </si>
  <si>
    <t>Status</t>
  </si>
  <si>
    <t>Month</t>
  </si>
  <si>
    <t>F001</t>
  </si>
  <si>
    <t>Welcome Series - 2026</t>
  </si>
  <si>
    <t>Added to List</t>
  </si>
  <si>
    <t>live</t>
  </si>
  <si>
    <t>F002</t>
  </si>
  <si>
    <t>Welcome Series SMS - 2026</t>
  </si>
  <si>
    <t>Metric</t>
  </si>
  <si>
    <t>F003</t>
  </si>
  <si>
    <t>Abandoned Cart Flow</t>
  </si>
  <si>
    <t>F004</t>
  </si>
  <si>
    <t>Abandoned Cart Reminder SMS</t>
  </si>
  <si>
    <t>F005</t>
  </si>
  <si>
    <t>Abandoned Checkout Flow</t>
  </si>
  <si>
    <t>F006</t>
  </si>
  <si>
    <t>Browse Abandonment Flow</t>
  </si>
  <si>
    <t>F007</t>
  </si>
  <si>
    <t>Browse Abandonment SMS</t>
  </si>
  <si>
    <t>F008</t>
  </si>
  <si>
    <t>Back In Stock Flow</t>
  </si>
  <si>
    <t>F009</t>
  </si>
  <si>
    <t>Post-Purchase Welcome - Ecom</t>
  </si>
  <si>
    <t>F010</t>
  </si>
  <si>
    <t>Post-Piercing Review Flow - Northeast</t>
  </si>
  <si>
    <t>F011</t>
  </si>
  <si>
    <t>Post-Piercing Review Flow - West</t>
  </si>
  <si>
    <t>F012</t>
  </si>
  <si>
    <t>Post-Piercing Review Flow - South</t>
  </si>
  <si>
    <t>F013</t>
  </si>
  <si>
    <t>Post-Piercing Review Flow - Midwest</t>
  </si>
  <si>
    <t>F014</t>
  </si>
  <si>
    <t>Happy Birthday Flow</t>
  </si>
  <si>
    <t>Date Based</t>
  </si>
  <si>
    <t>F015</t>
  </si>
  <si>
    <t>Flatback Post Purchase Flow</t>
  </si>
  <si>
    <t>F016</t>
  </si>
  <si>
    <t>Acuity Appointment Scheduled</t>
  </si>
  <si>
    <t>F017</t>
  </si>
  <si>
    <t>Acuity Appointment Rescheduled</t>
  </si>
  <si>
    <t>F018</t>
  </si>
  <si>
    <t>Acuity Waitlist: Added</t>
  </si>
  <si>
    <t>F019</t>
  </si>
  <si>
    <t>Acuity Waitlist: Availability</t>
  </si>
  <si>
    <t>F020</t>
  </si>
  <si>
    <t>Canceled Appointment Flow</t>
  </si>
  <si>
    <t>F021</t>
  </si>
  <si>
    <t>Inclement Weather Cancellation</t>
  </si>
  <si>
    <t>F022</t>
  </si>
  <si>
    <t>Facilities Cancellation</t>
  </si>
  <si>
    <t>F023</t>
  </si>
  <si>
    <t>Staffing Cancellation</t>
  </si>
  <si>
    <t>F024</t>
  </si>
  <si>
    <t>Spend $200 - Free Piercing (PIERCE200)</t>
  </si>
  <si>
    <t>F025</t>
  </si>
  <si>
    <t>Piercing Customer Tagging</t>
  </si>
  <si>
    <t>F026</t>
  </si>
  <si>
    <t>Daily Statistics (Acuity)</t>
  </si>
  <si>
    <t>F027</t>
  </si>
  <si>
    <t>2026 CSAT Surveys</t>
  </si>
  <si>
    <t>F028</t>
  </si>
  <si>
    <t>VIP Winback Flow</t>
  </si>
  <si>
    <t>F029</t>
  </si>
  <si>
    <t>Lapsed Browser 45D</t>
  </si>
  <si>
    <t>F030</t>
  </si>
  <si>
    <t>First Lobe Anniversary</t>
  </si>
  <si>
    <t>Message ID</t>
  </si>
  <si>
    <t>Message Name</t>
  </si>
  <si>
    <t>Step #</t>
  </si>
  <si>
    <t>Recipients 90d</t>
  </si>
  <si>
    <t>Delivered 90d</t>
  </si>
  <si>
    <t>F001-M1</t>
  </si>
  <si>
    <t>Welcome - Meet Glinta</t>
  </si>
  <si>
    <t>F001-M2</t>
  </si>
  <si>
    <t>Welcome - Piercing 101</t>
  </si>
  <si>
    <t>F001-M3</t>
  </si>
  <si>
    <t>Welcome - Shop Starter Sets</t>
  </si>
  <si>
    <t>F001-M4</t>
  </si>
  <si>
    <t>Welcome - 10% Off</t>
  </si>
  <si>
    <t>F001-M5</t>
  </si>
  <si>
    <t>Welcome - Last Reminder</t>
  </si>
  <si>
    <t>F001-M6</t>
  </si>
  <si>
    <t>Welcome - Final Nudge</t>
  </si>
  <si>
    <t>F002-M1</t>
  </si>
  <si>
    <t>F002-M2</t>
  </si>
  <si>
    <t>F002-M3</t>
  </si>
  <si>
    <t>F003-M1</t>
  </si>
  <si>
    <t>Cart - Reminder 1hr</t>
  </si>
  <si>
    <t>F003-M2</t>
  </si>
  <si>
    <t>Cart - Reminder 24hr</t>
  </si>
  <si>
    <t>F003-M3</t>
  </si>
  <si>
    <t>Cart - 10% Off</t>
  </si>
  <si>
    <t>F003-M4</t>
  </si>
  <si>
    <t>Cart - Last Chance</t>
  </si>
  <si>
    <t>F004-M1</t>
  </si>
  <si>
    <t>F004-M2</t>
  </si>
  <si>
    <t>F005-M1</t>
  </si>
  <si>
    <t>Checkout - Back to Cart</t>
  </si>
  <si>
    <t>F005-M2</t>
  </si>
  <si>
    <t>Checkout - 10% Off</t>
  </si>
  <si>
    <t>F005-M3</t>
  </si>
  <si>
    <t>Checkout - Final</t>
  </si>
  <si>
    <t>F006-M1</t>
  </si>
  <si>
    <t>Browse - You Left Something</t>
  </si>
  <si>
    <t>F006-M2</t>
  </si>
  <si>
    <t>Browse - Still Thinking?</t>
  </si>
  <si>
    <t>F006-M3</t>
  </si>
  <si>
    <t>Browse - 10% Off</t>
  </si>
  <si>
    <t>F007-M1</t>
  </si>
  <si>
    <t>F007-M2</t>
  </si>
  <si>
    <t>F008-M1</t>
  </si>
  <si>
    <t>BIS - It's Back</t>
  </si>
  <si>
    <t>F008-M2</t>
  </si>
  <si>
    <t>BIS - Selling Fast</t>
  </si>
  <si>
    <t>F009-M1</t>
  </si>
  <si>
    <t>F009-M2</t>
  </si>
  <si>
    <t>F009-M3</t>
  </si>
  <si>
    <t>F009-M4</t>
  </si>
  <si>
    <t>F010-M1</t>
  </si>
  <si>
    <t>PP Pierce - Healing Day 1</t>
  </si>
  <si>
    <t>F010-M2</t>
  </si>
  <si>
    <t>PP Pierce - Week 2</t>
  </si>
  <si>
    <t>F010-M3</t>
  </si>
  <si>
    <t>PP Pierce - Month 3 Review</t>
  </si>
  <si>
    <t>F011-M1</t>
  </si>
  <si>
    <t>F011-M2</t>
  </si>
  <si>
    <t>F011-M3</t>
  </si>
  <si>
    <t>F012-M1</t>
  </si>
  <si>
    <t>F012-M2</t>
  </si>
  <si>
    <t>F012-M3</t>
  </si>
  <si>
    <t>F013-M1</t>
  </si>
  <si>
    <t>F013-M2</t>
  </si>
  <si>
    <t>F013-M3</t>
  </si>
  <si>
    <t>F014-M1</t>
  </si>
  <si>
    <t>Birthday - Gift From Us</t>
  </si>
  <si>
    <t>F014-M2</t>
  </si>
  <si>
    <t>Birthday - Last Day</t>
  </si>
  <si>
    <t>F015-M1</t>
  </si>
  <si>
    <t>PP - Thanks</t>
  </si>
  <si>
    <t>F015-M2</t>
  </si>
  <si>
    <t>PP - Care Guide</t>
  </si>
  <si>
    <t>F015-M3</t>
  </si>
  <si>
    <t>PP - Cross-Sell</t>
  </si>
  <si>
    <t>F016-M1</t>
  </si>
  <si>
    <t>Confirmation</t>
  </si>
  <si>
    <t>F016-M2</t>
  </si>
  <si>
    <t>Reminder 24hr</t>
  </si>
  <si>
    <t>F017-M1</t>
  </si>
  <si>
    <t>F018-M1</t>
  </si>
  <si>
    <t>F019-M1</t>
  </si>
  <si>
    <t>F020-M1</t>
  </si>
  <si>
    <t>Cancel - Apology + Rebook</t>
  </si>
  <si>
    <t>F020-M2</t>
  </si>
  <si>
    <t>F021-M1</t>
  </si>
  <si>
    <t>F022-M1</t>
  </si>
  <si>
    <t>F023-M1</t>
  </si>
  <si>
    <t>F024-M1</t>
  </si>
  <si>
    <t>PIERCE200 - Reminder 1</t>
  </si>
  <si>
    <t>F024-M2</t>
  </si>
  <si>
    <t>PIERCE200 - Reminder 2</t>
  </si>
  <si>
    <t>F024-M3</t>
  </si>
  <si>
    <t>PIERCE200 - Last Chance</t>
  </si>
  <si>
    <t>F027-M1</t>
  </si>
  <si>
    <t>CSAT - Survey</t>
  </si>
  <si>
    <t>F027-M2</t>
  </si>
  <si>
    <t>CSAT - Thanks</t>
  </si>
  <si>
    <t>F028-M1</t>
  </si>
  <si>
    <t>VIP - We Miss You</t>
  </si>
  <si>
    <t>F028-M2</t>
  </si>
  <si>
    <t>VIP - Exclusive</t>
  </si>
  <si>
    <t>F028-M3</t>
  </si>
  <si>
    <t>VIP - Last Call</t>
  </si>
  <si>
    <t>F029-M1</t>
  </si>
  <si>
    <t>F029-M2</t>
  </si>
  <si>
    <t>F030-M1</t>
  </si>
  <si>
    <t>Anniv - Happy First Lobe</t>
  </si>
  <si>
    <t>Date</t>
  </si>
  <si>
    <t>Email Signups</t>
  </si>
  <si>
    <t>Email Unsubs</t>
  </si>
  <si>
    <t>Email Bounces</t>
  </si>
  <si>
    <t>Email Spam</t>
  </si>
  <si>
    <t>Email Net Change</t>
  </si>
  <si>
    <t>Email List Size</t>
  </si>
  <si>
    <t>SMS Signups</t>
  </si>
  <si>
    <t>SMS Unsubs</t>
  </si>
  <si>
    <t>SMS Net Change</t>
  </si>
  <si>
    <t>SMS List Size</t>
  </si>
  <si>
    <t>Segment ID</t>
  </si>
  <si>
    <t>Segment Name</t>
  </si>
  <si>
    <t>Type</t>
  </si>
  <si>
    <t>Created Date</t>
  </si>
  <si>
    <t>Current Size</t>
  </si>
  <si>
    <t>Size 30d Ago</t>
  </si>
  <si>
    <t>Size 90d Ago</t>
  </si>
  <si>
    <t>30d Growth %</t>
  </si>
  <si>
    <t>90d Growth %</t>
  </si>
  <si>
    <t>Active 30d</t>
  </si>
  <si>
    <t>Active Rate 30d</t>
  </si>
  <si>
    <t>Purchasers 90d</t>
  </si>
  <si>
    <t>Purchaser Rate 90d</t>
  </si>
  <si>
    <t>Est. LTV</t>
  </si>
  <si>
    <t>Churn Rate 90d</t>
  </si>
  <si>
    <t>Last Send Date</t>
  </si>
  <si>
    <t>S2000</t>
  </si>
  <si>
    <t>List</t>
  </si>
  <si>
    <t>S2001</t>
  </si>
  <si>
    <t>All Engaged 60D</t>
  </si>
  <si>
    <t>S2002</t>
  </si>
  <si>
    <t>Non-Buyers</t>
  </si>
  <si>
    <t>Segment</t>
  </si>
  <si>
    <t>S2003</t>
  </si>
  <si>
    <t>Multi-Buyers</t>
  </si>
  <si>
    <t>S2004</t>
  </si>
  <si>
    <t>S2005</t>
  </si>
  <si>
    <t>VIPs</t>
  </si>
  <si>
    <t>S2006</t>
  </si>
  <si>
    <t>S2007</t>
  </si>
  <si>
    <t>Browse Abandoners</t>
  </si>
  <si>
    <t>S2008</t>
  </si>
  <si>
    <t>Cart Abandoners</t>
  </si>
  <si>
    <t>S2009</t>
  </si>
  <si>
    <t>NY Metro</t>
  </si>
  <si>
    <t>S2010</t>
  </si>
  <si>
    <t>S2011</t>
  </si>
  <si>
    <t>S2012</t>
  </si>
  <si>
    <t>Boston Metro</t>
  </si>
  <si>
    <t>S2013</t>
  </si>
  <si>
    <t>S2014</t>
  </si>
  <si>
    <t>S2015</t>
  </si>
  <si>
    <t>S2016</t>
  </si>
  <si>
    <t>S2017</t>
  </si>
  <si>
    <t>S2018</t>
  </si>
  <si>
    <t>S2019</t>
  </si>
  <si>
    <t>Charlotte Metro</t>
  </si>
  <si>
    <t>S2020</t>
  </si>
  <si>
    <t>Atlanta Metro</t>
  </si>
  <si>
    <t>S2021</t>
  </si>
  <si>
    <t>S2022</t>
  </si>
  <si>
    <t>Piercing Fans</t>
  </si>
  <si>
    <t>S2023</t>
  </si>
  <si>
    <t>S2024</t>
  </si>
  <si>
    <t>S2025</t>
  </si>
  <si>
    <t>Hoop Heads</t>
  </si>
  <si>
    <t>S2026</t>
  </si>
  <si>
    <t>Flatback Fans</t>
  </si>
  <si>
    <t>Product Theme</t>
  </si>
  <si>
    <t>Emails Sent</t>
  </si>
  <si>
    <t>Returns Count</t>
  </si>
  <si>
    <t>Returns Value</t>
  </si>
  <si>
    <t>Net Revenue</t>
  </si>
  <si>
    <t>Return Rate</t>
  </si>
  <si>
    <t>Region</t>
  </si>
  <si>
    <t>City</t>
  </si>
  <si>
    <t>Email Sends</t>
  </si>
  <si>
    <t>Appts Booked</t>
  </si>
  <si>
    <t>Appts Completed</t>
  </si>
  <si>
    <t>No-Show Rate</t>
  </si>
  <si>
    <t>Ecom Conversions</t>
  </si>
  <si>
    <t>Ecom Revenue</t>
  </si>
  <si>
    <t>Northeast</t>
  </si>
  <si>
    <t>NYC</t>
  </si>
  <si>
    <t>Williamsburg</t>
  </si>
  <si>
    <t>Boston</t>
  </si>
  <si>
    <t>Philly</t>
  </si>
  <si>
    <t>Silver Lake</t>
  </si>
  <si>
    <t>West</t>
  </si>
  <si>
    <t>LA</t>
  </si>
  <si>
    <t>San Diego</t>
  </si>
  <si>
    <t>Bay Area</t>
  </si>
  <si>
    <t>River North</t>
  </si>
  <si>
    <t>Midwest</t>
  </si>
  <si>
    <t>Chicago</t>
  </si>
  <si>
    <t>Wicker Park</t>
  </si>
  <si>
    <t>Mid-Atlantic</t>
  </si>
  <si>
    <t>D.C.</t>
  </si>
  <si>
    <t>The Wharf</t>
  </si>
  <si>
    <t>Dilworth</t>
  </si>
  <si>
    <t>Southeast</t>
  </si>
  <si>
    <t>Charlotte</t>
  </si>
  <si>
    <t>Ponce City</t>
  </si>
  <si>
    <t>Atlanta</t>
  </si>
  <si>
    <t>South</t>
  </si>
  <si>
    <t>Houston</t>
  </si>
  <si>
    <t>Southwest</t>
  </si>
  <si>
    <t>Phoenix</t>
  </si>
  <si>
    <t>Event ID</t>
  </si>
  <si>
    <t>Timestamp</t>
  </si>
  <si>
    <t>Profile ID</t>
  </si>
  <si>
    <t>Event Type</t>
  </si>
  <si>
    <t>Source</t>
  </si>
  <si>
    <t>Campaign/Flow</t>
  </si>
  <si>
    <t>Product</t>
  </si>
  <si>
    <t>Value</t>
  </si>
  <si>
    <t>E1000000</t>
  </si>
  <si>
    <t>P166191</t>
  </si>
  <si>
    <t>Viewed Product</t>
  </si>
  <si>
    <t>Site</t>
  </si>
  <si>
    <t>E1000001</t>
  </si>
  <si>
    <t>P925026</t>
  </si>
  <si>
    <t>E1000002</t>
  </si>
  <si>
    <t>P700073</t>
  </si>
  <si>
    <t>E1000003</t>
  </si>
  <si>
    <t>P120339</t>
  </si>
  <si>
    <t>Clicked SMS</t>
  </si>
  <si>
    <t>SMS Campaign</t>
  </si>
  <si>
    <t>E1000004</t>
  </si>
  <si>
    <t>P731871</t>
  </si>
  <si>
    <t>Unsubscribed</t>
  </si>
  <si>
    <t>E1000005</t>
  </si>
  <si>
    <t>P481453</t>
  </si>
  <si>
    <t>Added to Cart</t>
  </si>
  <si>
    <t>E1000006</t>
  </si>
  <si>
    <t>P921752</t>
  </si>
  <si>
    <t>Scheduled Appointment</t>
  </si>
  <si>
    <t>E1000007</t>
  </si>
  <si>
    <t>P297336</t>
  </si>
  <si>
    <t>E1000008</t>
  </si>
  <si>
    <t>P543538</t>
  </si>
  <si>
    <t>Canceled Appointment</t>
  </si>
  <si>
    <t>E1000009</t>
  </si>
  <si>
    <t>P775270</t>
  </si>
  <si>
    <t>Received Email</t>
  </si>
  <si>
    <t>Flow</t>
  </si>
  <si>
    <t>E1000010</t>
  </si>
  <si>
    <t>P565713</t>
  </si>
  <si>
    <t>Bounced</t>
  </si>
  <si>
    <t>E1000011</t>
  </si>
  <si>
    <t>P270814</t>
  </si>
  <si>
    <t>E1000012</t>
  </si>
  <si>
    <t>P430583</t>
  </si>
  <si>
    <t>E1000013</t>
  </si>
  <si>
    <t>P976686</t>
  </si>
  <si>
    <t>E1000014</t>
  </si>
  <si>
    <t>P171192</t>
  </si>
  <si>
    <t>E1000015</t>
  </si>
  <si>
    <t>P454584</t>
  </si>
  <si>
    <t>Opened Email</t>
  </si>
  <si>
    <t>Campaign</t>
  </si>
  <si>
    <t>E1000016</t>
  </si>
  <si>
    <t>P828326</t>
  </si>
  <si>
    <t>E1000017</t>
  </si>
  <si>
    <t>P776078</t>
  </si>
  <si>
    <t>Placed Order</t>
  </si>
  <si>
    <t>E1000018</t>
  </si>
  <si>
    <t>P244360</t>
  </si>
  <si>
    <t>E1000019</t>
  </si>
  <si>
    <t>P616137</t>
  </si>
  <si>
    <t>E1000020</t>
  </si>
  <si>
    <t>P318981</t>
  </si>
  <si>
    <t>E1000021</t>
  </si>
  <si>
    <t>P633881</t>
  </si>
  <si>
    <t>SMS Flow</t>
  </si>
  <si>
    <t>E1000022</t>
  </si>
  <si>
    <t>P492482</t>
  </si>
  <si>
    <t>E1000023</t>
  </si>
  <si>
    <t>P372988</t>
  </si>
  <si>
    <t>E1000024</t>
  </si>
  <si>
    <t>P804481</t>
  </si>
  <si>
    <t>E1000025</t>
  </si>
  <si>
    <t>P871440</t>
  </si>
  <si>
    <t>Clicked Email</t>
  </si>
  <si>
    <t>E1000026</t>
  </si>
  <si>
    <t>P327337</t>
  </si>
  <si>
    <t>E1000027</t>
  </si>
  <si>
    <t>P854914</t>
  </si>
  <si>
    <t>E1000028</t>
  </si>
  <si>
    <t>P933621</t>
  </si>
  <si>
    <t>E1000029</t>
  </si>
  <si>
    <t>P387552</t>
  </si>
  <si>
    <t>E1000030</t>
  </si>
  <si>
    <t>P543721</t>
  </si>
  <si>
    <t>E1000031</t>
  </si>
  <si>
    <t>P225909</t>
  </si>
  <si>
    <t>E1000032</t>
  </si>
  <si>
    <t>P218055</t>
  </si>
  <si>
    <t>E1000033</t>
  </si>
  <si>
    <t>P825406</t>
  </si>
  <si>
    <t>E1000034</t>
  </si>
  <si>
    <t>P532458</t>
  </si>
  <si>
    <t>E1000035</t>
  </si>
  <si>
    <t>P312544</t>
  </si>
  <si>
    <t>E1000036</t>
  </si>
  <si>
    <t>P975972</t>
  </si>
  <si>
    <t>E1000037</t>
  </si>
  <si>
    <t>P727099</t>
  </si>
  <si>
    <t>E1000038</t>
  </si>
  <si>
    <t>P667035</t>
  </si>
  <si>
    <t>E1000039</t>
  </si>
  <si>
    <t>P464314</t>
  </si>
  <si>
    <t>E1000040</t>
  </si>
  <si>
    <t>P190644</t>
  </si>
  <si>
    <t>E1000041</t>
  </si>
  <si>
    <t>P813385</t>
  </si>
  <si>
    <t>E1000042</t>
  </si>
  <si>
    <t>P246298</t>
  </si>
  <si>
    <t>Received SMS</t>
  </si>
  <si>
    <t>E1000043</t>
  </si>
  <si>
    <t>P144017</t>
  </si>
  <si>
    <t>E1000044</t>
  </si>
  <si>
    <t>P867405</t>
  </si>
  <si>
    <t>E1000045</t>
  </si>
  <si>
    <t>P336783</t>
  </si>
  <si>
    <t>E1000046</t>
  </si>
  <si>
    <t>P175714</t>
  </si>
  <si>
    <t>E1000047</t>
  </si>
  <si>
    <t>P132608</t>
  </si>
  <si>
    <t>E1000048</t>
  </si>
  <si>
    <t>P224731</t>
  </si>
  <si>
    <t>E1000049</t>
  </si>
  <si>
    <t>P749338</t>
  </si>
  <si>
    <t>E1000050</t>
  </si>
  <si>
    <t>P132548</t>
  </si>
  <si>
    <t>E1000051</t>
  </si>
  <si>
    <t>P750360</t>
  </si>
  <si>
    <t>E1000052</t>
  </si>
  <si>
    <t>P670147</t>
  </si>
  <si>
    <t>E1000053</t>
  </si>
  <si>
    <t>P136010</t>
  </si>
  <si>
    <t>E1000054</t>
  </si>
  <si>
    <t>P234620</t>
  </si>
  <si>
    <t>E1000055</t>
  </si>
  <si>
    <t>P585679</t>
  </si>
  <si>
    <t>E1000056</t>
  </si>
  <si>
    <t>P223384</t>
  </si>
  <si>
    <t>E1000057</t>
  </si>
  <si>
    <t>P730320</t>
  </si>
  <si>
    <t>E1000058</t>
  </si>
  <si>
    <t>P913422</t>
  </si>
  <si>
    <t>E1000059</t>
  </si>
  <si>
    <t>P711917</t>
  </si>
  <si>
    <t>E1000060</t>
  </si>
  <si>
    <t>P238410</t>
  </si>
  <si>
    <t>E1000061</t>
  </si>
  <si>
    <t>P650686</t>
  </si>
  <si>
    <t>E1000062</t>
  </si>
  <si>
    <t>P836150</t>
  </si>
  <si>
    <t>E1000063</t>
  </si>
  <si>
    <t>P355047</t>
  </si>
  <si>
    <t>E1000064</t>
  </si>
  <si>
    <t>P672437</t>
  </si>
  <si>
    <t>E1000065</t>
  </si>
  <si>
    <t>P312281</t>
  </si>
  <si>
    <t>E1000066</t>
  </si>
  <si>
    <t>P798258</t>
  </si>
  <si>
    <t>E1000067</t>
  </si>
  <si>
    <t>P603724</t>
  </si>
  <si>
    <t>E1000068</t>
  </si>
  <si>
    <t>P764164</t>
  </si>
  <si>
    <t>E1000069</t>
  </si>
  <si>
    <t>P600892</t>
  </si>
  <si>
    <t>E1000070</t>
  </si>
  <si>
    <t>P968195</t>
  </si>
  <si>
    <t>E1000071</t>
  </si>
  <si>
    <t>P491834</t>
  </si>
  <si>
    <t>E1000072</t>
  </si>
  <si>
    <t>P526279</t>
  </si>
  <si>
    <t>E1000073</t>
  </si>
  <si>
    <t>P553762</t>
  </si>
  <si>
    <t>E1000074</t>
  </si>
  <si>
    <t>P512370</t>
  </si>
  <si>
    <t>E1000075</t>
  </si>
  <si>
    <t>P894210</t>
  </si>
  <si>
    <t>E1000076</t>
  </si>
  <si>
    <t>P363814</t>
  </si>
  <si>
    <t>E1000077</t>
  </si>
  <si>
    <t>P465442</t>
  </si>
  <si>
    <t>E1000078</t>
  </si>
  <si>
    <t>P297502</t>
  </si>
  <si>
    <t>E1000079</t>
  </si>
  <si>
    <t>P314396</t>
  </si>
  <si>
    <t>E1000080</t>
  </si>
  <si>
    <t>P970726</t>
  </si>
  <si>
    <t>E1000081</t>
  </si>
  <si>
    <t>P457983</t>
  </si>
  <si>
    <t>E1000082</t>
  </si>
  <si>
    <t>P169778</t>
  </si>
  <si>
    <t>E1000083</t>
  </si>
  <si>
    <t>P548483</t>
  </si>
  <si>
    <t>E1000084</t>
  </si>
  <si>
    <t>P289902</t>
  </si>
  <si>
    <t>E1000085</t>
  </si>
  <si>
    <t>P661221</t>
  </si>
  <si>
    <t>E1000086</t>
  </si>
  <si>
    <t>P454005</t>
  </si>
  <si>
    <t>E1000087</t>
  </si>
  <si>
    <t>P679459</t>
  </si>
  <si>
    <t>E1000088</t>
  </si>
  <si>
    <t>P746233</t>
  </si>
  <si>
    <t>E1000089</t>
  </si>
  <si>
    <t>P331707</t>
  </si>
  <si>
    <t>E1000090</t>
  </si>
  <si>
    <t>P556333</t>
  </si>
  <si>
    <t>E1000091</t>
  </si>
  <si>
    <t>P564023</t>
  </si>
  <si>
    <t>E1000092</t>
  </si>
  <si>
    <t>P615395</t>
  </si>
  <si>
    <t>E1000093</t>
  </si>
  <si>
    <t>P736017</t>
  </si>
  <si>
    <t>E1000094</t>
  </si>
  <si>
    <t>P470425</t>
  </si>
  <si>
    <t>E1000095</t>
  </si>
  <si>
    <t>P125455</t>
  </si>
  <si>
    <t>E1000096</t>
  </si>
  <si>
    <t>P614806</t>
  </si>
  <si>
    <t>E1000097</t>
  </si>
  <si>
    <t>P484402</t>
  </si>
  <si>
    <t>E1000098</t>
  </si>
  <si>
    <t>P949495</t>
  </si>
  <si>
    <t>E1000099</t>
  </si>
  <si>
    <t>P196864</t>
  </si>
  <si>
    <t>E1000100</t>
  </si>
  <si>
    <t>P392042</t>
  </si>
  <si>
    <t>E1000101</t>
  </si>
  <si>
    <t>P786420</t>
  </si>
  <si>
    <t>E1000102</t>
  </si>
  <si>
    <t>P946964</t>
  </si>
  <si>
    <t>E1000103</t>
  </si>
  <si>
    <t>P659890</t>
  </si>
  <si>
    <t>E1000104</t>
  </si>
  <si>
    <t>P357579</t>
  </si>
  <si>
    <t>E1000105</t>
  </si>
  <si>
    <t>P512935</t>
  </si>
  <si>
    <t>E1000106</t>
  </si>
  <si>
    <t>P584867</t>
  </si>
  <si>
    <t>E1000107</t>
  </si>
  <si>
    <t>P242505</t>
  </si>
  <si>
    <t>E1000108</t>
  </si>
  <si>
    <t>P644898</t>
  </si>
  <si>
    <t>E1000109</t>
  </si>
  <si>
    <t>P999601</t>
  </si>
  <si>
    <t>E1000110</t>
  </si>
  <si>
    <t>P501156</t>
  </si>
  <si>
    <t>E1000111</t>
  </si>
  <si>
    <t>P886796</t>
  </si>
  <si>
    <t>E1000112</t>
  </si>
  <si>
    <t>P117173</t>
  </si>
  <si>
    <t>E1000113</t>
  </si>
  <si>
    <t>P585804</t>
  </si>
  <si>
    <t>E1000114</t>
  </si>
  <si>
    <t>P785173</t>
  </si>
  <si>
    <t>E1000115</t>
  </si>
  <si>
    <t>P302877</t>
  </si>
  <si>
    <t>E1000116</t>
  </si>
  <si>
    <t>P634256</t>
  </si>
  <si>
    <t>E1000117</t>
  </si>
  <si>
    <t>P442406</t>
  </si>
  <si>
    <t>E1000118</t>
  </si>
  <si>
    <t>P137912</t>
  </si>
  <si>
    <t>E1000119</t>
  </si>
  <si>
    <t>P561228</t>
  </si>
  <si>
    <t>E1000120</t>
  </si>
  <si>
    <t>P389155</t>
  </si>
  <si>
    <t>E1000121</t>
  </si>
  <si>
    <t>P303071</t>
  </si>
  <si>
    <t>E1000122</t>
  </si>
  <si>
    <t>P378404</t>
  </si>
  <si>
    <t>E1000123</t>
  </si>
  <si>
    <t>P801934</t>
  </si>
  <si>
    <t>E1000124</t>
  </si>
  <si>
    <t>P953939</t>
  </si>
  <si>
    <t>E1000125</t>
  </si>
  <si>
    <t>P945350</t>
  </si>
  <si>
    <t>E1000126</t>
  </si>
  <si>
    <t>P415169</t>
  </si>
  <si>
    <t>E1000127</t>
  </si>
  <si>
    <t>P681974</t>
  </si>
  <si>
    <t>E1000128</t>
  </si>
  <si>
    <t>P519273</t>
  </si>
  <si>
    <t>E1000129</t>
  </si>
  <si>
    <t>P169542</t>
  </si>
  <si>
    <t>E1000130</t>
  </si>
  <si>
    <t>P223969</t>
  </si>
  <si>
    <t>E1000131</t>
  </si>
  <si>
    <t>P990712</t>
  </si>
  <si>
    <t>E1000132</t>
  </si>
  <si>
    <t>P205549</t>
  </si>
  <si>
    <t>E1000133</t>
  </si>
  <si>
    <t>P594097</t>
  </si>
  <si>
    <t>E1000134</t>
  </si>
  <si>
    <t>P446178</t>
  </si>
  <si>
    <t>E1000135</t>
  </si>
  <si>
    <t>P964226</t>
  </si>
  <si>
    <t>E1000136</t>
  </si>
  <si>
    <t>P398262</t>
  </si>
  <si>
    <t>E1000137</t>
  </si>
  <si>
    <t>P993550</t>
  </si>
  <si>
    <t>E1000138</t>
  </si>
  <si>
    <t>P954209</t>
  </si>
  <si>
    <t>E1000139</t>
  </si>
  <si>
    <t>P583694</t>
  </si>
  <si>
    <t>E1000140</t>
  </si>
  <si>
    <t>P570726</t>
  </si>
  <si>
    <t>E1000141</t>
  </si>
  <si>
    <t>P853549</t>
  </si>
  <si>
    <t>E1000142</t>
  </si>
  <si>
    <t>P481901</t>
  </si>
  <si>
    <t>E1000143</t>
  </si>
  <si>
    <t>P951987</t>
  </si>
  <si>
    <t>E1000144</t>
  </si>
  <si>
    <t>P881484</t>
  </si>
  <si>
    <t>E1000145</t>
  </si>
  <si>
    <t>P362773</t>
  </si>
  <si>
    <t>E1000146</t>
  </si>
  <si>
    <t>P619420</t>
  </si>
  <si>
    <t>E1000147</t>
  </si>
  <si>
    <t>P939079</t>
  </si>
  <si>
    <t>E1000148</t>
  </si>
  <si>
    <t>P448670</t>
  </si>
  <si>
    <t>E1000149</t>
  </si>
  <si>
    <t>P719682</t>
  </si>
  <si>
    <t>E1000150</t>
  </si>
  <si>
    <t>P597567</t>
  </si>
  <si>
    <t>E1000151</t>
  </si>
  <si>
    <t>P414869</t>
  </si>
  <si>
    <t>E1000152</t>
  </si>
  <si>
    <t>P104493</t>
  </si>
  <si>
    <t>E1000153</t>
  </si>
  <si>
    <t>P661258</t>
  </si>
  <si>
    <t>E1000154</t>
  </si>
  <si>
    <t>P620760</t>
  </si>
  <si>
    <t>E1000155</t>
  </si>
  <si>
    <t>P444548</t>
  </si>
  <si>
    <t>E1000156</t>
  </si>
  <si>
    <t>P236186</t>
  </si>
  <si>
    <t>E1000157</t>
  </si>
  <si>
    <t>P478986</t>
  </si>
  <si>
    <t>E1000158</t>
  </si>
  <si>
    <t>P169187</t>
  </si>
  <si>
    <t>E1000159</t>
  </si>
  <si>
    <t>P604618</t>
  </si>
  <si>
    <t>E1000160</t>
  </si>
  <si>
    <t>P945783</t>
  </si>
  <si>
    <t>E1000161</t>
  </si>
  <si>
    <t>P954817</t>
  </si>
  <si>
    <t>E1000162</t>
  </si>
  <si>
    <t>P931169</t>
  </si>
  <si>
    <t>E1000163</t>
  </si>
  <si>
    <t>P911035</t>
  </si>
  <si>
    <t>E1000164</t>
  </si>
  <si>
    <t>P506087</t>
  </si>
  <si>
    <t>E1000165</t>
  </si>
  <si>
    <t>P490633</t>
  </si>
  <si>
    <t>E1000166</t>
  </si>
  <si>
    <t>P903340</t>
  </si>
  <si>
    <t>E1000167</t>
  </si>
  <si>
    <t>P663170</t>
  </si>
  <si>
    <t>E1000168</t>
  </si>
  <si>
    <t>P829711</t>
  </si>
  <si>
    <t>E1000169</t>
  </si>
  <si>
    <t>P481456</t>
  </si>
  <si>
    <t>E1000170</t>
  </si>
  <si>
    <t>P846376</t>
  </si>
  <si>
    <t>E1000171</t>
  </si>
  <si>
    <t>P433774</t>
  </si>
  <si>
    <t>E1000172</t>
  </si>
  <si>
    <t>P891507</t>
  </si>
  <si>
    <t>E1000173</t>
  </si>
  <si>
    <t>P888845</t>
  </si>
  <si>
    <t>E1000174</t>
  </si>
  <si>
    <t>P716881</t>
  </si>
  <si>
    <t>E1000175</t>
  </si>
  <si>
    <t>P377120</t>
  </si>
  <si>
    <t>E1000176</t>
  </si>
  <si>
    <t>P593161</t>
  </si>
  <si>
    <t>E1000177</t>
  </si>
  <si>
    <t>P913970</t>
  </si>
  <si>
    <t>E1000178</t>
  </si>
  <si>
    <t>P406924</t>
  </si>
  <si>
    <t>E1000179</t>
  </si>
  <si>
    <t>P367386</t>
  </si>
  <si>
    <t>E1000180</t>
  </si>
  <si>
    <t>P824880</t>
  </si>
  <si>
    <t>E1000181</t>
  </si>
  <si>
    <t>P881063</t>
  </si>
  <si>
    <t>E1000182</t>
  </si>
  <si>
    <t>P783517</t>
  </si>
  <si>
    <t>E1000183</t>
  </si>
  <si>
    <t>P254127</t>
  </si>
  <si>
    <t>E1000184</t>
  </si>
  <si>
    <t>P644070</t>
  </si>
  <si>
    <t>E1000185</t>
  </si>
  <si>
    <t>P297133</t>
  </si>
  <si>
    <t>E1000186</t>
  </si>
  <si>
    <t>P884674</t>
  </si>
  <si>
    <t>E1000187</t>
  </si>
  <si>
    <t>P285660</t>
  </si>
  <si>
    <t>E1000188</t>
  </si>
  <si>
    <t>P571170</t>
  </si>
  <si>
    <t>E1000189</t>
  </si>
  <si>
    <t>P239970</t>
  </si>
  <si>
    <t>E1000190</t>
  </si>
  <si>
    <t>P215159</t>
  </si>
  <si>
    <t>E1000191</t>
  </si>
  <si>
    <t>P121285</t>
  </si>
  <si>
    <t>E1000192</t>
  </si>
  <si>
    <t>P291834</t>
  </si>
  <si>
    <t>E1000193</t>
  </si>
  <si>
    <t>P101531</t>
  </si>
  <si>
    <t>E1000194</t>
  </si>
  <si>
    <t>P521478</t>
  </si>
  <si>
    <t>E1000195</t>
  </si>
  <si>
    <t>P440488</t>
  </si>
  <si>
    <t>E1000196</t>
  </si>
  <si>
    <t>P117229</t>
  </si>
  <si>
    <t>E1000197</t>
  </si>
  <si>
    <t>P660967</t>
  </si>
  <si>
    <t>E1000198</t>
  </si>
  <si>
    <t>P201561</t>
  </si>
  <si>
    <t>E1000199</t>
  </si>
  <si>
    <t>P348207</t>
  </si>
  <si>
    <t>E1000200</t>
  </si>
  <si>
    <t>P822465</t>
  </si>
  <si>
    <t>E1000201</t>
  </si>
  <si>
    <t>P446810</t>
  </si>
  <si>
    <t>E1000202</t>
  </si>
  <si>
    <t>P465909</t>
  </si>
  <si>
    <t>E1000203</t>
  </si>
  <si>
    <t>P388628</t>
  </si>
  <si>
    <t>E1000204</t>
  </si>
  <si>
    <t>P409329</t>
  </si>
  <si>
    <t>E1000205</t>
  </si>
  <si>
    <t>P975295</t>
  </si>
  <si>
    <t>E1000206</t>
  </si>
  <si>
    <t>P817686</t>
  </si>
  <si>
    <t>E1000207</t>
  </si>
  <si>
    <t>P340393</t>
  </si>
  <si>
    <t>E1000208</t>
  </si>
  <si>
    <t>P694850</t>
  </si>
  <si>
    <t>E1000209</t>
  </si>
  <si>
    <t>P735732</t>
  </si>
  <si>
    <t>E1000210</t>
  </si>
  <si>
    <t>P587449</t>
  </si>
  <si>
    <t>E1000211</t>
  </si>
  <si>
    <t>P687270</t>
  </si>
  <si>
    <t>E1000212</t>
  </si>
  <si>
    <t>P937752</t>
  </si>
  <si>
    <t>E1000213</t>
  </si>
  <si>
    <t>P663679</t>
  </si>
  <si>
    <t>E1000214</t>
  </si>
  <si>
    <t>P246499</t>
  </si>
  <si>
    <t>E1000215</t>
  </si>
  <si>
    <t>P673284</t>
  </si>
  <si>
    <t>E1000216</t>
  </si>
  <si>
    <t>P902663</t>
  </si>
  <si>
    <t>E1000217</t>
  </si>
  <si>
    <t>P894357</t>
  </si>
  <si>
    <t>E1000218</t>
  </si>
  <si>
    <t>P779002</t>
  </si>
  <si>
    <t>E1000219</t>
  </si>
  <si>
    <t>P776968</t>
  </si>
  <si>
    <t>E1000220</t>
  </si>
  <si>
    <t>P666245</t>
  </si>
  <si>
    <t>E1000221</t>
  </si>
  <si>
    <t>P429372</t>
  </si>
  <si>
    <t>E1000222</t>
  </si>
  <si>
    <t>P357543</t>
  </si>
  <si>
    <t>E1000223</t>
  </si>
  <si>
    <t>P524865</t>
  </si>
  <si>
    <t>E1000224</t>
  </si>
  <si>
    <t>P487518</t>
  </si>
  <si>
    <t>E1000225</t>
  </si>
  <si>
    <t>P155613</t>
  </si>
  <si>
    <t>E1000226</t>
  </si>
  <si>
    <t>P997744</t>
  </si>
  <si>
    <t>E1000227</t>
  </si>
  <si>
    <t>P365095</t>
  </si>
  <si>
    <t>E1000228</t>
  </si>
  <si>
    <t>P622659</t>
  </si>
  <si>
    <t>E1000229</t>
  </si>
  <si>
    <t>P519124</t>
  </si>
  <si>
    <t>E1000230</t>
  </si>
  <si>
    <t>P647066</t>
  </si>
  <si>
    <t>E1000231</t>
  </si>
  <si>
    <t>P893226</t>
  </si>
  <si>
    <t>E1000232</t>
  </si>
  <si>
    <t>P142759</t>
  </si>
  <si>
    <t>E1000233</t>
  </si>
  <si>
    <t>P926968</t>
  </si>
  <si>
    <t>E1000234</t>
  </si>
  <si>
    <t>P124394</t>
  </si>
  <si>
    <t>E1000235</t>
  </si>
  <si>
    <t>P954297</t>
  </si>
  <si>
    <t>E1000236</t>
  </si>
  <si>
    <t>P970753</t>
  </si>
  <si>
    <t>E1000237</t>
  </si>
  <si>
    <t>P770125</t>
  </si>
  <si>
    <t>E1000238</t>
  </si>
  <si>
    <t>P370235</t>
  </si>
  <si>
    <t>E1000239</t>
  </si>
  <si>
    <t>P728993</t>
  </si>
  <si>
    <t>E1000240</t>
  </si>
  <si>
    <t>P195859</t>
  </si>
  <si>
    <t>E1000241</t>
  </si>
  <si>
    <t>P996336</t>
  </si>
  <si>
    <t>E1000242</t>
  </si>
  <si>
    <t>P508253</t>
  </si>
  <si>
    <t>E1000243</t>
  </si>
  <si>
    <t>P318841</t>
  </si>
  <si>
    <t>E1000244</t>
  </si>
  <si>
    <t>P234120</t>
  </si>
  <si>
    <t>E1000245</t>
  </si>
  <si>
    <t>P963020</t>
  </si>
  <si>
    <t>E1000246</t>
  </si>
  <si>
    <t>P179955</t>
  </si>
  <si>
    <t>E1000247</t>
  </si>
  <si>
    <t>P655628</t>
  </si>
  <si>
    <t>E1000248</t>
  </si>
  <si>
    <t>P630424</t>
  </si>
  <si>
    <t>E1000249</t>
  </si>
  <si>
    <t>P829197</t>
  </si>
  <si>
    <t>E1000250</t>
  </si>
  <si>
    <t>P514708</t>
  </si>
  <si>
    <t>E1000251</t>
  </si>
  <si>
    <t>P547234</t>
  </si>
  <si>
    <t>E1000252</t>
  </si>
  <si>
    <t>P517155</t>
  </si>
  <si>
    <t>E1000253</t>
  </si>
  <si>
    <t>P323193</t>
  </si>
  <si>
    <t>E1000254</t>
  </si>
  <si>
    <t>P557431</t>
  </si>
  <si>
    <t>E1000255</t>
  </si>
  <si>
    <t>P142301</t>
  </si>
  <si>
    <t>E1000256</t>
  </si>
  <si>
    <t>P348958</t>
  </si>
  <si>
    <t>E1000257</t>
  </si>
  <si>
    <t>P744358</t>
  </si>
  <si>
    <t>E1000258</t>
  </si>
  <si>
    <t>P632046</t>
  </si>
  <si>
    <t>E1000259</t>
  </si>
  <si>
    <t>P367642</t>
  </si>
  <si>
    <t>E1000260</t>
  </si>
  <si>
    <t>P410810</t>
  </si>
  <si>
    <t>E1000261</t>
  </si>
  <si>
    <t>P921591</t>
  </si>
  <si>
    <t>E1000262</t>
  </si>
  <si>
    <t>P909814</t>
  </si>
  <si>
    <t>E1000263</t>
  </si>
  <si>
    <t>P408733</t>
  </si>
  <si>
    <t>E1000264</t>
  </si>
  <si>
    <t>P517326</t>
  </si>
  <si>
    <t>E1000265</t>
  </si>
  <si>
    <t>P424536</t>
  </si>
  <si>
    <t>E1000266</t>
  </si>
  <si>
    <t>P645478</t>
  </si>
  <si>
    <t>E1000267</t>
  </si>
  <si>
    <t>P223527</t>
  </si>
  <si>
    <t>E1000268</t>
  </si>
  <si>
    <t>P900173</t>
  </si>
  <si>
    <t>E1000269</t>
  </si>
  <si>
    <t>P461462</t>
  </si>
  <si>
    <t>E1000270</t>
  </si>
  <si>
    <t>P946444</t>
  </si>
  <si>
    <t>E1000271</t>
  </si>
  <si>
    <t>P716155</t>
  </si>
  <si>
    <t>E1000272</t>
  </si>
  <si>
    <t>P101025</t>
  </si>
  <si>
    <t>E1000273</t>
  </si>
  <si>
    <t>P974208</t>
  </si>
  <si>
    <t>E1000274</t>
  </si>
  <si>
    <t>P150243</t>
  </si>
  <si>
    <t>E1000275</t>
  </si>
  <si>
    <t>P437004</t>
  </si>
  <si>
    <t>E1000276</t>
  </si>
  <si>
    <t>P152742</t>
  </si>
  <si>
    <t>E1000277</t>
  </si>
  <si>
    <t>P509718</t>
  </si>
  <si>
    <t>E1000278</t>
  </si>
  <si>
    <t>P461287</t>
  </si>
  <si>
    <t>E1000279</t>
  </si>
  <si>
    <t>P731031</t>
  </si>
  <si>
    <t>E1000280</t>
  </si>
  <si>
    <t>P308078</t>
  </si>
  <si>
    <t>E1000281</t>
  </si>
  <si>
    <t>P213994</t>
  </si>
  <si>
    <t>E1000282</t>
  </si>
  <si>
    <t>P498280</t>
  </si>
  <si>
    <t>E1000283</t>
  </si>
  <si>
    <t>P494244</t>
  </si>
  <si>
    <t>E1000284</t>
  </si>
  <si>
    <t>P706922</t>
  </si>
  <si>
    <t>E1000285</t>
  </si>
  <si>
    <t>P347996</t>
  </si>
  <si>
    <t>E1000286</t>
  </si>
  <si>
    <t>P248660</t>
  </si>
  <si>
    <t>E1000287</t>
  </si>
  <si>
    <t>P770105</t>
  </si>
  <si>
    <t>E1000288</t>
  </si>
  <si>
    <t>P279956</t>
  </si>
  <si>
    <t>E1000289</t>
  </si>
  <si>
    <t>P966473</t>
  </si>
  <si>
    <t>E1000290</t>
  </si>
  <si>
    <t>P528264</t>
  </si>
  <si>
    <t>E1000291</t>
  </si>
  <si>
    <t>P767576</t>
  </si>
  <si>
    <t>E1000292</t>
  </si>
  <si>
    <t>P643453</t>
  </si>
  <si>
    <t>E1000293</t>
  </si>
  <si>
    <t>P289214</t>
  </si>
  <si>
    <t>E1000294</t>
  </si>
  <si>
    <t>P665260</t>
  </si>
  <si>
    <t>E1000295</t>
  </si>
  <si>
    <t>P907498</t>
  </si>
  <si>
    <t>E1000296</t>
  </si>
  <si>
    <t>P660211</t>
  </si>
  <si>
    <t>E1000297</t>
  </si>
  <si>
    <t>P992204</t>
  </si>
  <si>
    <t>E1000298</t>
  </si>
  <si>
    <t>P727282</t>
  </si>
  <si>
    <t>E1000299</t>
  </si>
  <si>
    <t>P739348</t>
  </si>
  <si>
    <t>E1000300</t>
  </si>
  <si>
    <t>P829054</t>
  </si>
  <si>
    <t>E1000301</t>
  </si>
  <si>
    <t>P509464</t>
  </si>
  <si>
    <t>E1000302</t>
  </si>
  <si>
    <t>P918149</t>
  </si>
  <si>
    <t>E1000303</t>
  </si>
  <si>
    <t>P257199</t>
  </si>
  <si>
    <t>E1000304</t>
  </si>
  <si>
    <t>P704823</t>
  </si>
  <si>
    <t>E1000305</t>
  </si>
  <si>
    <t>P815484</t>
  </si>
  <si>
    <t>E1000306</t>
  </si>
  <si>
    <t>P749633</t>
  </si>
  <si>
    <t>E1000307</t>
  </si>
  <si>
    <t>P459275</t>
  </si>
  <si>
    <t>E1000308</t>
  </si>
  <si>
    <t>P966614</t>
  </si>
  <si>
    <t>E1000309</t>
  </si>
  <si>
    <t>P970641</t>
  </si>
  <si>
    <t>E1000310</t>
  </si>
  <si>
    <t>P813586</t>
  </si>
  <si>
    <t>E1000311</t>
  </si>
  <si>
    <t>P280205</t>
  </si>
  <si>
    <t>E1000312</t>
  </si>
  <si>
    <t>P628986</t>
  </si>
  <si>
    <t>E1000313</t>
  </si>
  <si>
    <t>P991417</t>
  </si>
  <si>
    <t>E1000314</t>
  </si>
  <si>
    <t>P303591</t>
  </si>
  <si>
    <t>E1000315</t>
  </si>
  <si>
    <t>P272820</t>
  </si>
  <si>
    <t>E1000316</t>
  </si>
  <si>
    <t>P320395</t>
  </si>
  <si>
    <t>E1000317</t>
  </si>
  <si>
    <t>P312123</t>
  </si>
  <si>
    <t>E1000318</t>
  </si>
  <si>
    <t>P937606</t>
  </si>
  <si>
    <t>E1000319</t>
  </si>
  <si>
    <t>P136901</t>
  </si>
  <si>
    <t>E1000320</t>
  </si>
  <si>
    <t>P734463</t>
  </si>
  <si>
    <t>E1000321</t>
  </si>
  <si>
    <t>P652372</t>
  </si>
  <si>
    <t>E1000322</t>
  </si>
  <si>
    <t>P440215</t>
  </si>
  <si>
    <t>E1000323</t>
  </si>
  <si>
    <t>P413157</t>
  </si>
  <si>
    <t>E1000324</t>
  </si>
  <si>
    <t>P868488</t>
  </si>
  <si>
    <t>E1000325</t>
  </si>
  <si>
    <t>P235158</t>
  </si>
  <si>
    <t>E1000326</t>
  </si>
  <si>
    <t>P992351</t>
  </si>
  <si>
    <t>E1000327</t>
  </si>
  <si>
    <t>P176281</t>
  </si>
  <si>
    <t>E1000328</t>
  </si>
  <si>
    <t>P456442</t>
  </si>
  <si>
    <t>E1000329</t>
  </si>
  <si>
    <t>P398176</t>
  </si>
  <si>
    <t>E1000330</t>
  </si>
  <si>
    <t>P991648</t>
  </si>
  <si>
    <t>E1000331</t>
  </si>
  <si>
    <t>P236038</t>
  </si>
  <si>
    <t>E1000332</t>
  </si>
  <si>
    <t>P651370</t>
  </si>
  <si>
    <t>E1000333</t>
  </si>
  <si>
    <t>P736044</t>
  </si>
  <si>
    <t>E1000334</t>
  </si>
  <si>
    <t>P535544</t>
  </si>
  <si>
    <t>E1000335</t>
  </si>
  <si>
    <t>P273077</t>
  </si>
  <si>
    <t>E1000336</t>
  </si>
  <si>
    <t>P603399</t>
  </si>
  <si>
    <t>E1000337</t>
  </si>
  <si>
    <t>P262272</t>
  </si>
  <si>
    <t>E1000338</t>
  </si>
  <si>
    <t>P680701</t>
  </si>
  <si>
    <t>E1000339</t>
  </si>
  <si>
    <t>P579374</t>
  </si>
  <si>
    <t>E1000340</t>
  </si>
  <si>
    <t>P441649</t>
  </si>
  <si>
    <t>E1000341</t>
  </si>
  <si>
    <t>P938234</t>
  </si>
  <si>
    <t>E1000342</t>
  </si>
  <si>
    <t>P440894</t>
  </si>
  <si>
    <t>E1000343</t>
  </si>
  <si>
    <t>P423025</t>
  </si>
  <si>
    <t>E1000344</t>
  </si>
  <si>
    <t>P403922</t>
  </si>
  <si>
    <t>E1000345</t>
  </si>
  <si>
    <t>P222136</t>
  </si>
  <si>
    <t>E1000346</t>
  </si>
  <si>
    <t>P269963</t>
  </si>
  <si>
    <t>E1000347</t>
  </si>
  <si>
    <t>P842306</t>
  </si>
  <si>
    <t>E1000348</t>
  </si>
  <si>
    <t>P516422</t>
  </si>
  <si>
    <t>E1000349</t>
  </si>
  <si>
    <t>P950219</t>
  </si>
  <si>
    <t>E1000350</t>
  </si>
  <si>
    <t>P348298</t>
  </si>
  <si>
    <t>E1000351</t>
  </si>
  <si>
    <t>P776758</t>
  </si>
  <si>
    <t>E1000352</t>
  </si>
  <si>
    <t>P863319</t>
  </si>
  <si>
    <t>E1000353</t>
  </si>
  <si>
    <t>P796263</t>
  </si>
  <si>
    <t>E1000354</t>
  </si>
  <si>
    <t>P592932</t>
  </si>
  <si>
    <t>E1000355</t>
  </si>
  <si>
    <t>P764053</t>
  </si>
  <si>
    <t>E1000356</t>
  </si>
  <si>
    <t>P246417</t>
  </si>
  <si>
    <t>E1000357</t>
  </si>
  <si>
    <t>P289485</t>
  </si>
  <si>
    <t>E1000358</t>
  </si>
  <si>
    <t>P360753</t>
  </si>
  <si>
    <t>E1000359</t>
  </si>
  <si>
    <t>P318525</t>
  </si>
  <si>
    <t>E1000360</t>
  </si>
  <si>
    <t>P901489</t>
  </si>
  <si>
    <t>E1000361</t>
  </si>
  <si>
    <t>P109166</t>
  </si>
  <si>
    <t>E1000362</t>
  </si>
  <si>
    <t>P988010</t>
  </si>
  <si>
    <t>E1000363</t>
  </si>
  <si>
    <t>P696503</t>
  </si>
  <si>
    <t>E1000364</t>
  </si>
  <si>
    <t>P224413</t>
  </si>
  <si>
    <t>E1000365</t>
  </si>
  <si>
    <t>P899614</t>
  </si>
  <si>
    <t>E1000366</t>
  </si>
  <si>
    <t>P479398</t>
  </si>
  <si>
    <t>E1000367</t>
  </si>
  <si>
    <t>P856597</t>
  </si>
  <si>
    <t>E1000368</t>
  </si>
  <si>
    <t>P656843</t>
  </si>
  <si>
    <t>E1000369</t>
  </si>
  <si>
    <t>P844836</t>
  </si>
  <si>
    <t>E1000370</t>
  </si>
  <si>
    <t>P573404</t>
  </si>
  <si>
    <t>E1000371</t>
  </si>
  <si>
    <t>P984479</t>
  </si>
  <si>
    <t>E1000372</t>
  </si>
  <si>
    <t>P215930</t>
  </si>
  <si>
    <t>E1000373</t>
  </si>
  <si>
    <t>P127939</t>
  </si>
  <si>
    <t>E1000374</t>
  </si>
  <si>
    <t>P612737</t>
  </si>
  <si>
    <t>E1000375</t>
  </si>
  <si>
    <t>P802749</t>
  </si>
  <si>
    <t>E1000376</t>
  </si>
  <si>
    <t>P585968</t>
  </si>
  <si>
    <t>E1000377</t>
  </si>
  <si>
    <t>P847237</t>
  </si>
  <si>
    <t>E1000378</t>
  </si>
  <si>
    <t>P838265</t>
  </si>
  <si>
    <t>E1000379</t>
  </si>
  <si>
    <t>P837576</t>
  </si>
  <si>
    <t>E1000380</t>
  </si>
  <si>
    <t>P308629</t>
  </si>
  <si>
    <t>E1000381</t>
  </si>
  <si>
    <t>P512744</t>
  </si>
  <si>
    <t>E1000382</t>
  </si>
  <si>
    <t>P160377</t>
  </si>
  <si>
    <t>E1000383</t>
  </si>
  <si>
    <t>P933726</t>
  </si>
  <si>
    <t>E1000384</t>
  </si>
  <si>
    <t>P885407</t>
  </si>
  <si>
    <t>E1000385</t>
  </si>
  <si>
    <t>P430350</t>
  </si>
  <si>
    <t>E1000386</t>
  </si>
  <si>
    <t>P947073</t>
  </si>
  <si>
    <t>E1000387</t>
  </si>
  <si>
    <t>P769915</t>
  </si>
  <si>
    <t>E1000388</t>
  </si>
  <si>
    <t>P886334</t>
  </si>
  <si>
    <t>E1000389</t>
  </si>
  <si>
    <t>P379103</t>
  </si>
  <si>
    <t>E1000390</t>
  </si>
  <si>
    <t>P711177</t>
  </si>
  <si>
    <t>E1000391</t>
  </si>
  <si>
    <t>P989319</t>
  </si>
  <si>
    <t>E1000392</t>
  </si>
  <si>
    <t>P985261</t>
  </si>
  <si>
    <t>E1000393</t>
  </si>
  <si>
    <t>P938007</t>
  </si>
  <si>
    <t>E1000394</t>
  </si>
  <si>
    <t>P866463</t>
  </si>
  <si>
    <t>E1000395</t>
  </si>
  <si>
    <t>P673170</t>
  </si>
  <si>
    <t>E1000396</t>
  </si>
  <si>
    <t>P647300</t>
  </si>
  <si>
    <t>E1000397</t>
  </si>
  <si>
    <t>P951307</t>
  </si>
  <si>
    <t>E1000398</t>
  </si>
  <si>
    <t>P498720</t>
  </si>
  <si>
    <t>E1000399</t>
  </si>
  <si>
    <t>P383551</t>
  </si>
  <si>
    <t>E1000400</t>
  </si>
  <si>
    <t>P888693</t>
  </si>
  <si>
    <t>E1000401</t>
  </si>
  <si>
    <t>P223641</t>
  </si>
  <si>
    <t>E1000402</t>
  </si>
  <si>
    <t>P773528</t>
  </si>
  <si>
    <t>E1000403</t>
  </si>
  <si>
    <t>P709258</t>
  </si>
  <si>
    <t>E1000404</t>
  </si>
  <si>
    <t>P836111</t>
  </si>
  <si>
    <t>E1000405</t>
  </si>
  <si>
    <t>P550162</t>
  </si>
  <si>
    <t>E1000406</t>
  </si>
  <si>
    <t>P504682</t>
  </si>
  <si>
    <t>E1000407</t>
  </si>
  <si>
    <t>P231132</t>
  </si>
  <si>
    <t>E1000408</t>
  </si>
  <si>
    <t>P557082</t>
  </si>
  <si>
    <t>E1000409</t>
  </si>
  <si>
    <t>P973485</t>
  </si>
  <si>
    <t>E1000410</t>
  </si>
  <si>
    <t>P360345</t>
  </si>
  <si>
    <t>E1000411</t>
  </si>
  <si>
    <t>P323707</t>
  </si>
  <si>
    <t>E1000412</t>
  </si>
  <si>
    <t>P436821</t>
  </si>
  <si>
    <t>E1000413</t>
  </si>
  <si>
    <t>P886931</t>
  </si>
  <si>
    <t>E1000414</t>
  </si>
  <si>
    <t>P386890</t>
  </si>
  <si>
    <t>E1000415</t>
  </si>
  <si>
    <t>P232935</t>
  </si>
  <si>
    <t>E1000416</t>
  </si>
  <si>
    <t>P252526</t>
  </si>
  <si>
    <t>E1000417</t>
  </si>
  <si>
    <t>P757027</t>
  </si>
  <si>
    <t>E1000418</t>
  </si>
  <si>
    <t>P426752</t>
  </si>
  <si>
    <t>E1000419</t>
  </si>
  <si>
    <t>P373907</t>
  </si>
  <si>
    <t>E1000420</t>
  </si>
  <si>
    <t>P161434</t>
  </si>
  <si>
    <t>E1000421</t>
  </si>
  <si>
    <t>P173802</t>
  </si>
  <si>
    <t>E1000422</t>
  </si>
  <si>
    <t>P946729</t>
  </si>
  <si>
    <t>E1000423</t>
  </si>
  <si>
    <t>P728614</t>
  </si>
  <si>
    <t>E1000424</t>
  </si>
  <si>
    <t>P362372</t>
  </si>
  <si>
    <t>E1000425</t>
  </si>
  <si>
    <t>P621670</t>
  </si>
  <si>
    <t>E1000426</t>
  </si>
  <si>
    <t>P481878</t>
  </si>
  <si>
    <t>E1000427</t>
  </si>
  <si>
    <t>P944381</t>
  </si>
  <si>
    <t>E1000428</t>
  </si>
  <si>
    <t>P995786</t>
  </si>
  <si>
    <t>E1000429</t>
  </si>
  <si>
    <t>P463880</t>
  </si>
  <si>
    <t>E1000430</t>
  </si>
  <si>
    <t>P408399</t>
  </si>
  <si>
    <t>E1000431</t>
  </si>
  <si>
    <t>P900911</t>
  </si>
  <si>
    <t>E1000432</t>
  </si>
  <si>
    <t>P204768</t>
  </si>
  <si>
    <t>E1000433</t>
  </si>
  <si>
    <t>P897434</t>
  </si>
  <si>
    <t>E1000434</t>
  </si>
  <si>
    <t>P685975</t>
  </si>
  <si>
    <t>E1000435</t>
  </si>
  <si>
    <t>P853169</t>
  </si>
  <si>
    <t>E1000436</t>
  </si>
  <si>
    <t>P654447</t>
  </si>
  <si>
    <t>E1000437</t>
  </si>
  <si>
    <t>P150429</t>
  </si>
  <si>
    <t>E1000438</t>
  </si>
  <si>
    <t>P229400</t>
  </si>
  <si>
    <t>E1000439</t>
  </si>
  <si>
    <t>P808649</t>
  </si>
  <si>
    <t>E1000440</t>
  </si>
  <si>
    <t>P216815</t>
  </si>
  <si>
    <t>E1000441</t>
  </si>
  <si>
    <t>P866479</t>
  </si>
  <si>
    <t>E1000442</t>
  </si>
  <si>
    <t>P407725</t>
  </si>
  <si>
    <t>E1000443</t>
  </si>
  <si>
    <t>P665073</t>
  </si>
  <si>
    <t>E1000444</t>
  </si>
  <si>
    <t>P163730</t>
  </si>
  <si>
    <t>E1000445</t>
  </si>
  <si>
    <t>P766204</t>
  </si>
  <si>
    <t>E1000446</t>
  </si>
  <si>
    <t>P420427</t>
  </si>
  <si>
    <t>E1000447</t>
  </si>
  <si>
    <t>P400527</t>
  </si>
  <si>
    <t>E1000448</t>
  </si>
  <si>
    <t>P476925</t>
  </si>
  <si>
    <t>E1000449</t>
  </si>
  <si>
    <t>P572211</t>
  </si>
  <si>
    <t>E1000450</t>
  </si>
  <si>
    <t>P578667</t>
  </si>
  <si>
    <t>E1000451</t>
  </si>
  <si>
    <t>P653327</t>
  </si>
  <si>
    <t>E1000452</t>
  </si>
  <si>
    <t>P978193</t>
  </si>
  <si>
    <t>E1000453</t>
  </si>
  <si>
    <t>P949581</t>
  </si>
  <si>
    <t>E1000454</t>
  </si>
  <si>
    <t>P972039</t>
  </si>
  <si>
    <t>E1000455</t>
  </si>
  <si>
    <t>P258280</t>
  </si>
  <si>
    <t>E1000456</t>
  </si>
  <si>
    <t>P642198</t>
  </si>
  <si>
    <t>E1000457</t>
  </si>
  <si>
    <t>P115626</t>
  </si>
  <si>
    <t>E1000458</t>
  </si>
  <si>
    <t>P220181</t>
  </si>
  <si>
    <t>E1000459</t>
  </si>
  <si>
    <t>P957556</t>
  </si>
  <si>
    <t>E1000460</t>
  </si>
  <si>
    <t>P346658</t>
  </si>
  <si>
    <t>E1000461</t>
  </si>
  <si>
    <t>P921075</t>
  </si>
  <si>
    <t>E1000462</t>
  </si>
  <si>
    <t>P868957</t>
  </si>
  <si>
    <t>E1000463</t>
  </si>
  <si>
    <t>P445426</t>
  </si>
  <si>
    <t>E1000464</t>
  </si>
  <si>
    <t>P508875</t>
  </si>
  <si>
    <t>E1000465</t>
  </si>
  <si>
    <t>P843397</t>
  </si>
  <si>
    <t>E1000466</t>
  </si>
  <si>
    <t>P381924</t>
  </si>
  <si>
    <t>E1000467</t>
  </si>
  <si>
    <t>P247667</t>
  </si>
  <si>
    <t>E1000468</t>
  </si>
  <si>
    <t>P653600</t>
  </si>
  <si>
    <t>E1000469</t>
  </si>
  <si>
    <t>P132122</t>
  </si>
  <si>
    <t>E1000470</t>
  </si>
  <si>
    <t>P124509</t>
  </si>
  <si>
    <t>E1000471</t>
  </si>
  <si>
    <t>P901112</t>
  </si>
  <si>
    <t>E1000472</t>
  </si>
  <si>
    <t>P898021</t>
  </si>
  <si>
    <t>E1000473</t>
  </si>
  <si>
    <t>P223499</t>
  </si>
  <si>
    <t>E1000474</t>
  </si>
  <si>
    <t>P731371</t>
  </si>
  <si>
    <t>E1000475</t>
  </si>
  <si>
    <t>P556909</t>
  </si>
  <si>
    <t>E1000476</t>
  </si>
  <si>
    <t>P377174</t>
  </si>
  <si>
    <t>E1000477</t>
  </si>
  <si>
    <t>P973924</t>
  </si>
  <si>
    <t>E1000478</t>
  </si>
  <si>
    <t>P621084</t>
  </si>
  <si>
    <t>E1000479</t>
  </si>
  <si>
    <t>P458792</t>
  </si>
  <si>
    <t>E1000480</t>
  </si>
  <si>
    <t>P270870</t>
  </si>
  <si>
    <t>E1000481</t>
  </si>
  <si>
    <t>P956505</t>
  </si>
  <si>
    <t>E1000482</t>
  </si>
  <si>
    <t>P668585</t>
  </si>
  <si>
    <t>E1000483</t>
  </si>
  <si>
    <t>P889638</t>
  </si>
  <si>
    <t>E1000484</t>
  </si>
  <si>
    <t>P955933</t>
  </si>
  <si>
    <t>E1000485</t>
  </si>
  <si>
    <t>P242778</t>
  </si>
  <si>
    <t>E1000486</t>
  </si>
  <si>
    <t>P115420</t>
  </si>
  <si>
    <t>E1000487</t>
  </si>
  <si>
    <t>P443124</t>
  </si>
  <si>
    <t>E1000488</t>
  </si>
  <si>
    <t>P682308</t>
  </si>
  <si>
    <t>E1000489</t>
  </si>
  <si>
    <t>P192369</t>
  </si>
  <si>
    <t>E1000490</t>
  </si>
  <si>
    <t>P911017</t>
  </si>
  <si>
    <t>E1000491</t>
  </si>
  <si>
    <t>P522871</t>
  </si>
  <si>
    <t>E1000492</t>
  </si>
  <si>
    <t>P901050</t>
  </si>
  <si>
    <t>E1000493</t>
  </si>
  <si>
    <t>P672176</t>
  </si>
  <si>
    <t>E1000494</t>
  </si>
  <si>
    <t>P673741</t>
  </si>
  <si>
    <t>E1000495</t>
  </si>
  <si>
    <t>P666432</t>
  </si>
  <si>
    <t>E1000496</t>
  </si>
  <si>
    <t>P749985</t>
  </si>
  <si>
    <t>E1000497</t>
  </si>
  <si>
    <t>P964710</t>
  </si>
  <si>
    <t>E1000498</t>
  </si>
  <si>
    <t>P759495</t>
  </si>
  <si>
    <t>E1000499</t>
  </si>
  <si>
    <t>P916745</t>
  </si>
  <si>
    <t>E1000500</t>
  </si>
  <si>
    <t>P156605</t>
  </si>
  <si>
    <t>E1000501</t>
  </si>
  <si>
    <t>P430434</t>
  </si>
  <si>
    <t>E1000502</t>
  </si>
  <si>
    <t>P291093</t>
  </si>
  <si>
    <t>E1000503</t>
  </si>
  <si>
    <t>P216385</t>
  </si>
  <si>
    <t>E1000504</t>
  </si>
  <si>
    <t>P747637</t>
  </si>
  <si>
    <t>E1000505</t>
  </si>
  <si>
    <t>P838390</t>
  </si>
  <si>
    <t>E1000506</t>
  </si>
  <si>
    <t>P341801</t>
  </si>
  <si>
    <t>E1000507</t>
  </si>
  <si>
    <t>P910403</t>
  </si>
  <si>
    <t>E1000508</t>
  </si>
  <si>
    <t>P549218</t>
  </si>
  <si>
    <t>E1000509</t>
  </si>
  <si>
    <t>P198351</t>
  </si>
  <si>
    <t>E1000510</t>
  </si>
  <si>
    <t>P819349</t>
  </si>
  <si>
    <t>E1000511</t>
  </si>
  <si>
    <t>P610544</t>
  </si>
  <si>
    <t>E1000512</t>
  </si>
  <si>
    <t>P505649</t>
  </si>
  <si>
    <t>E1000513</t>
  </si>
  <si>
    <t>P794379</t>
  </si>
  <si>
    <t>E1000514</t>
  </si>
  <si>
    <t>P580747</t>
  </si>
  <si>
    <t>E1000515</t>
  </si>
  <si>
    <t>P176418</t>
  </si>
  <si>
    <t>E1000516</t>
  </si>
  <si>
    <t>P292697</t>
  </si>
  <si>
    <t>E1000517</t>
  </si>
  <si>
    <t>P173131</t>
  </si>
  <si>
    <t>E1000518</t>
  </si>
  <si>
    <t>P105891</t>
  </si>
  <si>
    <t>E1000519</t>
  </si>
  <si>
    <t>P511652</t>
  </si>
  <si>
    <t>E1000520</t>
  </si>
  <si>
    <t>P450760</t>
  </si>
  <si>
    <t>E1000521</t>
  </si>
  <si>
    <t>P722245</t>
  </si>
  <si>
    <t>E1000522</t>
  </si>
  <si>
    <t>P943167</t>
  </si>
  <si>
    <t>E1000523</t>
  </si>
  <si>
    <t>P368261</t>
  </si>
  <si>
    <t>E1000524</t>
  </si>
  <si>
    <t>P982747</t>
  </si>
  <si>
    <t>E1000525</t>
  </si>
  <si>
    <t>P933892</t>
  </si>
  <si>
    <t>E1000526</t>
  </si>
  <si>
    <t>P211585</t>
  </si>
  <si>
    <t>E1000527</t>
  </si>
  <si>
    <t>P428149</t>
  </si>
  <si>
    <t>E1000528</t>
  </si>
  <si>
    <t>P886864</t>
  </si>
  <si>
    <t>E1000529</t>
  </si>
  <si>
    <t>P633222</t>
  </si>
  <si>
    <t>E1000530</t>
  </si>
  <si>
    <t>P638877</t>
  </si>
  <si>
    <t>E1000531</t>
  </si>
  <si>
    <t>P744918</t>
  </si>
  <si>
    <t>E1000532</t>
  </si>
  <si>
    <t>P392302</t>
  </si>
  <si>
    <t>E1000533</t>
  </si>
  <si>
    <t>P305817</t>
  </si>
  <si>
    <t>E1000534</t>
  </si>
  <si>
    <t>P829681</t>
  </si>
  <si>
    <t>E1000535</t>
  </si>
  <si>
    <t>P852722</t>
  </si>
  <si>
    <t>E1000536</t>
  </si>
  <si>
    <t>P526936</t>
  </si>
  <si>
    <t>E1000537</t>
  </si>
  <si>
    <t>P579113</t>
  </si>
  <si>
    <t>E1000538</t>
  </si>
  <si>
    <t>P817002</t>
  </si>
  <si>
    <t>E1000539</t>
  </si>
  <si>
    <t>P737658</t>
  </si>
  <si>
    <t>E1000540</t>
  </si>
  <si>
    <t>P667502</t>
  </si>
  <si>
    <t>E1000541</t>
  </si>
  <si>
    <t>P224272</t>
  </si>
  <si>
    <t>E1000542</t>
  </si>
  <si>
    <t>P582874</t>
  </si>
  <si>
    <t>E1000543</t>
  </si>
  <si>
    <t>P479637</t>
  </si>
  <si>
    <t>E1000544</t>
  </si>
  <si>
    <t>P562396</t>
  </si>
  <si>
    <t>E1000545</t>
  </si>
  <si>
    <t>P416985</t>
  </si>
  <si>
    <t>E1000546</t>
  </si>
  <si>
    <t>P554914</t>
  </si>
  <si>
    <t>E1000547</t>
  </si>
  <si>
    <t>P460209</t>
  </si>
  <si>
    <t>E1000548</t>
  </si>
  <si>
    <t>P659730</t>
  </si>
  <si>
    <t>E1000549</t>
  </si>
  <si>
    <t>P859541</t>
  </si>
  <si>
    <t>E1000550</t>
  </si>
  <si>
    <t>P240486</t>
  </si>
  <si>
    <t>E1000551</t>
  </si>
  <si>
    <t>P335838</t>
  </si>
  <si>
    <t>E1000552</t>
  </si>
  <si>
    <t>P129349</t>
  </si>
  <si>
    <t>E1000553</t>
  </si>
  <si>
    <t>P934735</t>
  </si>
  <si>
    <t>E1000554</t>
  </si>
  <si>
    <t>P557793</t>
  </si>
  <si>
    <t>E1000555</t>
  </si>
  <si>
    <t>P551839</t>
  </si>
  <si>
    <t>E1000556</t>
  </si>
  <si>
    <t>P700505</t>
  </si>
  <si>
    <t>E1000557</t>
  </si>
  <si>
    <t>P924733</t>
  </si>
  <si>
    <t>E1000558</t>
  </si>
  <si>
    <t>P114204</t>
  </si>
  <si>
    <t>E1000559</t>
  </si>
  <si>
    <t>P503498</t>
  </si>
  <si>
    <t>E1000560</t>
  </si>
  <si>
    <t>P535637</t>
  </si>
  <si>
    <t>E1000561</t>
  </si>
  <si>
    <t>P330697</t>
  </si>
  <si>
    <t>E1000562</t>
  </si>
  <si>
    <t>P961878</t>
  </si>
  <si>
    <t>E1000563</t>
  </si>
  <si>
    <t>P394493</t>
  </si>
  <si>
    <t>E1000564</t>
  </si>
  <si>
    <t>P985146</t>
  </si>
  <si>
    <t>E1000565</t>
  </si>
  <si>
    <t>P779587</t>
  </si>
  <si>
    <t>E1000566</t>
  </si>
  <si>
    <t>P585280</t>
  </si>
  <si>
    <t>E1000567</t>
  </si>
  <si>
    <t>P590765</t>
  </si>
  <si>
    <t>E1000568</t>
  </si>
  <si>
    <t>P663095</t>
  </si>
  <si>
    <t>E1000569</t>
  </si>
  <si>
    <t>P607348</t>
  </si>
  <si>
    <t>E1000570</t>
  </si>
  <si>
    <t>P127755</t>
  </si>
  <si>
    <t>E1000571</t>
  </si>
  <si>
    <t>P827845</t>
  </si>
  <si>
    <t>E1000572</t>
  </si>
  <si>
    <t>P468117</t>
  </si>
  <si>
    <t>E1000573</t>
  </si>
  <si>
    <t>P703574</t>
  </si>
  <si>
    <t>E1000574</t>
  </si>
  <si>
    <t>P816057</t>
  </si>
  <si>
    <t>E1000575</t>
  </si>
  <si>
    <t>P732700</t>
  </si>
  <si>
    <t>E1000576</t>
  </si>
  <si>
    <t>P337646</t>
  </si>
  <si>
    <t>E1000577</t>
  </si>
  <si>
    <t>P678003</t>
  </si>
  <si>
    <t>E1000578</t>
  </si>
  <si>
    <t>P499646</t>
  </si>
  <si>
    <t>E1000579</t>
  </si>
  <si>
    <t>P810694</t>
  </si>
  <si>
    <t>E1000580</t>
  </si>
  <si>
    <t>P917208</t>
  </si>
  <si>
    <t>E1000581</t>
  </si>
  <si>
    <t>P248514</t>
  </si>
  <si>
    <t>E1000582</t>
  </si>
  <si>
    <t>P462918</t>
  </si>
  <si>
    <t>E1000583</t>
  </si>
  <si>
    <t>P524701</t>
  </si>
  <si>
    <t>E1000584</t>
  </si>
  <si>
    <t>P928748</t>
  </si>
  <si>
    <t>E1000585</t>
  </si>
  <si>
    <t>P516095</t>
  </si>
  <si>
    <t>E1000586</t>
  </si>
  <si>
    <t>P340244</t>
  </si>
  <si>
    <t>E1000587</t>
  </si>
  <si>
    <t>P175221</t>
  </si>
  <si>
    <t>E1000588</t>
  </si>
  <si>
    <t>P968401</t>
  </si>
  <si>
    <t>E1000589</t>
  </si>
  <si>
    <t>P363640</t>
  </si>
  <si>
    <t>E1000590</t>
  </si>
  <si>
    <t>P855373</t>
  </si>
  <si>
    <t>E1000591</t>
  </si>
  <si>
    <t>P195760</t>
  </si>
  <si>
    <t>E1000592</t>
  </si>
  <si>
    <t>P943950</t>
  </si>
  <si>
    <t>E1000593</t>
  </si>
  <si>
    <t>P265985</t>
  </si>
  <si>
    <t>E1000594</t>
  </si>
  <si>
    <t>P311587</t>
  </si>
  <si>
    <t>E1000595</t>
  </si>
  <si>
    <t>P778707</t>
  </si>
  <si>
    <t>E1000596</t>
  </si>
  <si>
    <t>P342561</t>
  </si>
  <si>
    <t>E1000597</t>
  </si>
  <si>
    <t>P829235</t>
  </si>
  <si>
    <t>E1000598</t>
  </si>
  <si>
    <t>P826630</t>
  </si>
  <si>
    <t>E1000599</t>
  </si>
  <si>
    <t>P804762</t>
  </si>
  <si>
    <t>E1000600</t>
  </si>
  <si>
    <t>P714563</t>
  </si>
  <si>
    <t>E1000601</t>
  </si>
  <si>
    <t>P690390</t>
  </si>
  <si>
    <t>E1000602</t>
  </si>
  <si>
    <t>P586819</t>
  </si>
  <si>
    <t>E1000603</t>
  </si>
  <si>
    <t>P572004</t>
  </si>
  <si>
    <t>E1000604</t>
  </si>
  <si>
    <t>P369412</t>
  </si>
  <si>
    <t>E1000605</t>
  </si>
  <si>
    <t>P717467</t>
  </si>
  <si>
    <t>E1000606</t>
  </si>
  <si>
    <t>P765834</t>
  </si>
  <si>
    <t>E1000607</t>
  </si>
  <si>
    <t>P151952</t>
  </si>
  <si>
    <t>E1000608</t>
  </si>
  <si>
    <t>P269357</t>
  </si>
  <si>
    <t>E1000609</t>
  </si>
  <si>
    <t>P743911</t>
  </si>
  <si>
    <t>E1000610</t>
  </si>
  <si>
    <t>P555736</t>
  </si>
  <si>
    <t>E1000611</t>
  </si>
  <si>
    <t>P741714</t>
  </si>
  <si>
    <t>E1000612</t>
  </si>
  <si>
    <t>P398937</t>
  </si>
  <si>
    <t>E1000613</t>
  </si>
  <si>
    <t>P150063</t>
  </si>
  <si>
    <t>E1000614</t>
  </si>
  <si>
    <t>P957286</t>
  </si>
  <si>
    <t>E1000615</t>
  </si>
  <si>
    <t>P164176</t>
  </si>
  <si>
    <t>E1000616</t>
  </si>
  <si>
    <t>P760914</t>
  </si>
  <si>
    <t>E1000617</t>
  </si>
  <si>
    <t>P144995</t>
  </si>
  <si>
    <t>E1000618</t>
  </si>
  <si>
    <t>P334300</t>
  </si>
  <si>
    <t>E1000619</t>
  </si>
  <si>
    <t>P449509</t>
  </si>
  <si>
    <t>E1000620</t>
  </si>
  <si>
    <t>P980366</t>
  </si>
  <si>
    <t>E1000621</t>
  </si>
  <si>
    <t>P373774</t>
  </si>
  <si>
    <t>E1000622</t>
  </si>
  <si>
    <t>P175999</t>
  </si>
  <si>
    <t>E1000623</t>
  </si>
  <si>
    <t>P265225</t>
  </si>
  <si>
    <t>E1000624</t>
  </si>
  <si>
    <t>P787890</t>
  </si>
  <si>
    <t>E1000625</t>
  </si>
  <si>
    <t>P134256</t>
  </si>
  <si>
    <t>E1000626</t>
  </si>
  <si>
    <t>P152557</t>
  </si>
  <si>
    <t>E1000627</t>
  </si>
  <si>
    <t>P297471</t>
  </si>
  <si>
    <t>E1000628</t>
  </si>
  <si>
    <t>P149211</t>
  </si>
  <si>
    <t>E1000629</t>
  </si>
  <si>
    <t>P865285</t>
  </si>
  <si>
    <t>E1000630</t>
  </si>
  <si>
    <t>P109771</t>
  </si>
  <si>
    <t>E1000631</t>
  </si>
  <si>
    <t>P306851</t>
  </si>
  <si>
    <t>E1000632</t>
  </si>
  <si>
    <t>P482940</t>
  </si>
  <si>
    <t>E1000633</t>
  </si>
  <si>
    <t>P887379</t>
  </si>
  <si>
    <t>E1000634</t>
  </si>
  <si>
    <t>P342043</t>
  </si>
  <si>
    <t>E1000635</t>
  </si>
  <si>
    <t>P930895</t>
  </si>
  <si>
    <t>E1000636</t>
  </si>
  <si>
    <t>P270964</t>
  </si>
  <si>
    <t>E1000637</t>
  </si>
  <si>
    <t>P585039</t>
  </si>
  <si>
    <t>E1000638</t>
  </si>
  <si>
    <t>P924872</t>
  </si>
  <si>
    <t>E1000639</t>
  </si>
  <si>
    <t>P562113</t>
  </si>
  <si>
    <t>E1000640</t>
  </si>
  <si>
    <t>P727884</t>
  </si>
  <si>
    <t>E1000641</t>
  </si>
  <si>
    <t>P631767</t>
  </si>
  <si>
    <t>E1000642</t>
  </si>
  <si>
    <t>P933019</t>
  </si>
  <si>
    <t>E1000643</t>
  </si>
  <si>
    <t>P463494</t>
  </si>
  <si>
    <t>E1000644</t>
  </si>
  <si>
    <t>P964424</t>
  </si>
  <si>
    <t>E1000645</t>
  </si>
  <si>
    <t>P208599</t>
  </si>
  <si>
    <t>E1000646</t>
  </si>
  <si>
    <t>P506648</t>
  </si>
  <si>
    <t>E1000647</t>
  </si>
  <si>
    <t>P256923</t>
  </si>
  <si>
    <t>E1000648</t>
  </si>
  <si>
    <t>P501080</t>
  </si>
  <si>
    <t>E1000649</t>
  </si>
  <si>
    <t>P416713</t>
  </si>
  <si>
    <t>E1000650</t>
  </si>
  <si>
    <t>P587194</t>
  </si>
  <si>
    <t>E1000651</t>
  </si>
  <si>
    <t>P298670</t>
  </si>
  <si>
    <t>E1000652</t>
  </si>
  <si>
    <t>P877079</t>
  </si>
  <si>
    <t>E1000653</t>
  </si>
  <si>
    <t>P694792</t>
  </si>
  <si>
    <t>E1000654</t>
  </si>
  <si>
    <t>P486804</t>
  </si>
  <si>
    <t>E1000655</t>
  </si>
  <si>
    <t>P328973</t>
  </si>
  <si>
    <t>E1000656</t>
  </si>
  <si>
    <t>P356233</t>
  </si>
  <si>
    <t>E1000657</t>
  </si>
  <si>
    <t>P144821</t>
  </si>
  <si>
    <t>E1000658</t>
  </si>
  <si>
    <t>P314709</t>
  </si>
  <si>
    <t>E1000659</t>
  </si>
  <si>
    <t>P838588</t>
  </si>
  <si>
    <t>E1000660</t>
  </si>
  <si>
    <t>P490188</t>
  </si>
  <si>
    <t>E1000661</t>
  </si>
  <si>
    <t>P669838</t>
  </si>
  <si>
    <t>E1000662</t>
  </si>
  <si>
    <t>P683293</t>
  </si>
  <si>
    <t>E1000663</t>
  </si>
  <si>
    <t>P622010</t>
  </si>
  <si>
    <t>E1000664</t>
  </si>
  <si>
    <t>P885314</t>
  </si>
  <si>
    <t>E1000665</t>
  </si>
  <si>
    <t>P849584</t>
  </si>
  <si>
    <t>E1000666</t>
  </si>
  <si>
    <t>P147680</t>
  </si>
  <si>
    <t>E1000667</t>
  </si>
  <si>
    <t>P910009</t>
  </si>
  <si>
    <t>E1000668</t>
  </si>
  <si>
    <t>P716696</t>
  </si>
  <si>
    <t>E1000669</t>
  </si>
  <si>
    <t>P676247</t>
  </si>
  <si>
    <t>E1000670</t>
  </si>
  <si>
    <t>P464731</t>
  </si>
  <si>
    <t>E1000671</t>
  </si>
  <si>
    <t>P104035</t>
  </si>
  <si>
    <t>E1000672</t>
  </si>
  <si>
    <t>P346355</t>
  </si>
  <si>
    <t>E1000673</t>
  </si>
  <si>
    <t>P279218</t>
  </si>
  <si>
    <t>E1000674</t>
  </si>
  <si>
    <t>P271981</t>
  </si>
  <si>
    <t>E1000675</t>
  </si>
  <si>
    <t>P739016</t>
  </si>
  <si>
    <t>E1000676</t>
  </si>
  <si>
    <t>P187348</t>
  </si>
  <si>
    <t>E1000677</t>
  </si>
  <si>
    <t>P576971</t>
  </si>
  <si>
    <t>E1000678</t>
  </si>
  <si>
    <t>P796069</t>
  </si>
  <si>
    <t>E1000679</t>
  </si>
  <si>
    <t>P990396</t>
  </si>
  <si>
    <t>E1000680</t>
  </si>
  <si>
    <t>P616956</t>
  </si>
  <si>
    <t>E1000681</t>
  </si>
  <si>
    <t>P648034</t>
  </si>
  <si>
    <t>E1000682</t>
  </si>
  <si>
    <t>P736169</t>
  </si>
  <si>
    <t>E1000683</t>
  </si>
  <si>
    <t>P539352</t>
  </si>
  <si>
    <t>E1000684</t>
  </si>
  <si>
    <t>P286851</t>
  </si>
  <si>
    <t>E1000685</t>
  </si>
  <si>
    <t>P659799</t>
  </si>
  <si>
    <t>E1000686</t>
  </si>
  <si>
    <t>P314056</t>
  </si>
  <si>
    <t>E1000687</t>
  </si>
  <si>
    <t>P758793</t>
  </si>
  <si>
    <t>E1000688</t>
  </si>
  <si>
    <t>P381141</t>
  </si>
  <si>
    <t>E1000689</t>
  </si>
  <si>
    <t>P701981</t>
  </si>
  <si>
    <t>E1000690</t>
  </si>
  <si>
    <t>P819324</t>
  </si>
  <si>
    <t>E1000691</t>
  </si>
  <si>
    <t>P178924</t>
  </si>
  <si>
    <t>E1000692</t>
  </si>
  <si>
    <t>P644197</t>
  </si>
  <si>
    <t>E1000693</t>
  </si>
  <si>
    <t>P404103</t>
  </si>
  <si>
    <t>E1000694</t>
  </si>
  <si>
    <t>P271994</t>
  </si>
  <si>
    <t>E1000695</t>
  </si>
  <si>
    <t>P287843</t>
  </si>
  <si>
    <t>E1000696</t>
  </si>
  <si>
    <t>P798063</t>
  </si>
  <si>
    <t>E1000697</t>
  </si>
  <si>
    <t>P211134</t>
  </si>
  <si>
    <t>E1000698</t>
  </si>
  <si>
    <t>P149538</t>
  </si>
  <si>
    <t>E1000699</t>
  </si>
  <si>
    <t>P473178</t>
  </si>
  <si>
    <t>E1000700</t>
  </si>
  <si>
    <t>P667659</t>
  </si>
  <si>
    <t>E1000701</t>
  </si>
  <si>
    <t>P120453</t>
  </si>
  <si>
    <t>E1000702</t>
  </si>
  <si>
    <t>P228844</t>
  </si>
  <si>
    <t>E1000703</t>
  </si>
  <si>
    <t>P512504</t>
  </si>
  <si>
    <t>E1000704</t>
  </si>
  <si>
    <t>P496183</t>
  </si>
  <si>
    <t>E1000705</t>
  </si>
  <si>
    <t>P243578</t>
  </si>
  <si>
    <t>E1000706</t>
  </si>
  <si>
    <t>P766057</t>
  </si>
  <si>
    <t>E1000707</t>
  </si>
  <si>
    <t>P817995</t>
  </si>
  <si>
    <t>E1000708</t>
  </si>
  <si>
    <t>P427721</t>
  </si>
  <si>
    <t>E1000709</t>
  </si>
  <si>
    <t>P969164</t>
  </si>
  <si>
    <t>E1000710</t>
  </si>
  <si>
    <t>P851966</t>
  </si>
  <si>
    <t>E1000711</t>
  </si>
  <si>
    <t>P672079</t>
  </si>
  <si>
    <t>E1000712</t>
  </si>
  <si>
    <t>P289734</t>
  </si>
  <si>
    <t>E1000713</t>
  </si>
  <si>
    <t>P486131</t>
  </si>
  <si>
    <t>E1000714</t>
  </si>
  <si>
    <t>P728397</t>
  </si>
  <si>
    <t>E1000715</t>
  </si>
  <si>
    <t>P412017</t>
  </si>
  <si>
    <t>E1000716</t>
  </si>
  <si>
    <t>P414866</t>
  </si>
  <si>
    <t>E1000717</t>
  </si>
  <si>
    <t>P342606</t>
  </si>
  <si>
    <t>E1000718</t>
  </si>
  <si>
    <t>P821819</t>
  </si>
  <si>
    <t>E1000719</t>
  </si>
  <si>
    <t>P283587</t>
  </si>
  <si>
    <t>E1000720</t>
  </si>
  <si>
    <t>P967392</t>
  </si>
  <si>
    <t>E1000721</t>
  </si>
  <si>
    <t>P972134</t>
  </si>
  <si>
    <t>E1000722</t>
  </si>
  <si>
    <t>P691947</t>
  </si>
  <si>
    <t>E1000723</t>
  </si>
  <si>
    <t>P602467</t>
  </si>
  <si>
    <t>E1000724</t>
  </si>
  <si>
    <t>P425469</t>
  </si>
  <si>
    <t>E1000725</t>
  </si>
  <si>
    <t>P759664</t>
  </si>
  <si>
    <t>E1000726</t>
  </si>
  <si>
    <t>P681019</t>
  </si>
  <si>
    <t>E1000727</t>
  </si>
  <si>
    <t>P189112</t>
  </si>
  <si>
    <t>E1000728</t>
  </si>
  <si>
    <t>P639596</t>
  </si>
  <si>
    <t>E1000729</t>
  </si>
  <si>
    <t>P963906</t>
  </si>
  <si>
    <t>E1000730</t>
  </si>
  <si>
    <t>P983516</t>
  </si>
  <si>
    <t>E1000731</t>
  </si>
  <si>
    <t>P794759</t>
  </si>
  <si>
    <t>E1000732</t>
  </si>
  <si>
    <t>P444107</t>
  </si>
  <si>
    <t>E1000733</t>
  </si>
  <si>
    <t>P648481</t>
  </si>
  <si>
    <t>E1000734</t>
  </si>
  <si>
    <t>P888513</t>
  </si>
  <si>
    <t>E1000735</t>
  </si>
  <si>
    <t>P704438</t>
  </si>
  <si>
    <t>E1000736</t>
  </si>
  <si>
    <t>P488399</t>
  </si>
  <si>
    <t>E1000737</t>
  </si>
  <si>
    <t>P428289</t>
  </si>
  <si>
    <t>E1000738</t>
  </si>
  <si>
    <t>P433884</t>
  </si>
  <si>
    <t>E1000739</t>
  </si>
  <si>
    <t>P360696</t>
  </si>
  <si>
    <t>E1000740</t>
  </si>
  <si>
    <t>P858652</t>
  </si>
  <si>
    <t>E1000741</t>
  </si>
  <si>
    <t>P144791</t>
  </si>
  <si>
    <t>E1000742</t>
  </si>
  <si>
    <t>P933696</t>
  </si>
  <si>
    <t>E1000743</t>
  </si>
  <si>
    <t>P520419</t>
  </si>
  <si>
    <t>E1000744</t>
  </si>
  <si>
    <t>P757070</t>
  </si>
  <si>
    <t>E1000745</t>
  </si>
  <si>
    <t>P450551</t>
  </si>
  <si>
    <t>E1000746</t>
  </si>
  <si>
    <t>P463559</t>
  </si>
  <si>
    <t>E1000747</t>
  </si>
  <si>
    <t>P240534</t>
  </si>
  <si>
    <t>E1000748</t>
  </si>
  <si>
    <t>P902904</t>
  </si>
  <si>
    <t>E1000749</t>
  </si>
  <si>
    <t>P186200</t>
  </si>
  <si>
    <t>E1000750</t>
  </si>
  <si>
    <t>P753736</t>
  </si>
  <si>
    <t>E1000751</t>
  </si>
  <si>
    <t>P144935</t>
  </si>
  <si>
    <t>E1000752</t>
  </si>
  <si>
    <t>P324388</t>
  </si>
  <si>
    <t>E1000753</t>
  </si>
  <si>
    <t>P371752</t>
  </si>
  <si>
    <t>E1000754</t>
  </si>
  <si>
    <t>P932828</t>
  </si>
  <si>
    <t>E1000755</t>
  </si>
  <si>
    <t>P736288</t>
  </si>
  <si>
    <t>E1000756</t>
  </si>
  <si>
    <t>P633879</t>
  </si>
  <si>
    <t>E1000757</t>
  </si>
  <si>
    <t>P575712</t>
  </si>
  <si>
    <t>E1000758</t>
  </si>
  <si>
    <t>P225638</t>
  </si>
  <si>
    <t>E1000759</t>
  </si>
  <si>
    <t>P318381</t>
  </si>
  <si>
    <t>E1000760</t>
  </si>
  <si>
    <t>P476590</t>
  </si>
  <si>
    <t>E1000761</t>
  </si>
  <si>
    <t>P198873</t>
  </si>
  <si>
    <t>E1000762</t>
  </si>
  <si>
    <t>P295338</t>
  </si>
  <si>
    <t>E1000763</t>
  </si>
  <si>
    <t>P343944</t>
  </si>
  <si>
    <t>E1000764</t>
  </si>
  <si>
    <t>P169504</t>
  </si>
  <si>
    <t>E1000765</t>
  </si>
  <si>
    <t>P918710</t>
  </si>
  <si>
    <t>E1000766</t>
  </si>
  <si>
    <t>P765103</t>
  </si>
  <si>
    <t>E1000767</t>
  </si>
  <si>
    <t>P508708</t>
  </si>
  <si>
    <t>E1000768</t>
  </si>
  <si>
    <t>P931993</t>
  </si>
  <si>
    <t>E1000769</t>
  </si>
  <si>
    <t>P213122</t>
  </si>
  <si>
    <t>E1000770</t>
  </si>
  <si>
    <t>P325561</t>
  </si>
  <si>
    <t>E1000771</t>
  </si>
  <si>
    <t>P916878</t>
  </si>
  <si>
    <t>E1000772</t>
  </si>
  <si>
    <t>P477897</t>
  </si>
  <si>
    <t>E1000773</t>
  </si>
  <si>
    <t>P131483</t>
  </si>
  <si>
    <t>E1000774</t>
  </si>
  <si>
    <t>P326689</t>
  </si>
  <si>
    <t>E1000775</t>
  </si>
  <si>
    <t>P952489</t>
  </si>
  <si>
    <t>E1000776</t>
  </si>
  <si>
    <t>P126163</t>
  </si>
  <si>
    <t>E1000777</t>
  </si>
  <si>
    <t>P275304</t>
  </si>
  <si>
    <t>E1000778</t>
  </si>
  <si>
    <t>P896473</t>
  </si>
  <si>
    <t>E1000779</t>
  </si>
  <si>
    <t>P325101</t>
  </si>
  <si>
    <t>E1000780</t>
  </si>
  <si>
    <t>P289052</t>
  </si>
  <si>
    <t>E1000781</t>
  </si>
  <si>
    <t>P236891</t>
  </si>
  <si>
    <t>E1000782</t>
  </si>
  <si>
    <t>P240442</t>
  </si>
  <si>
    <t>E1000783</t>
  </si>
  <si>
    <t>P237796</t>
  </si>
  <si>
    <t>E1000784</t>
  </si>
  <si>
    <t>P279022</t>
  </si>
  <si>
    <t>E1000785</t>
  </si>
  <si>
    <t>P683010</t>
  </si>
  <si>
    <t>E1000786</t>
  </si>
  <si>
    <t>P624497</t>
  </si>
  <si>
    <t>E1000787</t>
  </si>
  <si>
    <t>P684570</t>
  </si>
  <si>
    <t>E1000788</t>
  </si>
  <si>
    <t>P558419</t>
  </si>
  <si>
    <t>E1000789</t>
  </si>
  <si>
    <t>P341656</t>
  </si>
  <si>
    <t>E1000790</t>
  </si>
  <si>
    <t>P334882</t>
  </si>
  <si>
    <t>E1000791</t>
  </si>
  <si>
    <t>P274587</t>
  </si>
  <si>
    <t>E1000792</t>
  </si>
  <si>
    <t>P101562</t>
  </si>
  <si>
    <t>E1000793</t>
  </si>
  <si>
    <t>P931813</t>
  </si>
  <si>
    <t>E1000794</t>
  </si>
  <si>
    <t>P905430</t>
  </si>
  <si>
    <t>E1000795</t>
  </si>
  <si>
    <t>P997448</t>
  </si>
  <si>
    <t>E1000796</t>
  </si>
  <si>
    <t>P878215</t>
  </si>
  <si>
    <t>E1000797</t>
  </si>
  <si>
    <t>P668094</t>
  </si>
  <si>
    <t>E1000798</t>
  </si>
  <si>
    <t>P507380</t>
  </si>
  <si>
    <t>E1000799</t>
  </si>
  <si>
    <t>P858133</t>
  </si>
  <si>
    <t>E1000800</t>
  </si>
  <si>
    <t>P828029</t>
  </si>
  <si>
    <t>E1000801</t>
  </si>
  <si>
    <t>P112623</t>
  </si>
  <si>
    <t>E1000802</t>
  </si>
  <si>
    <t>P493280</t>
  </si>
  <si>
    <t>E1000803</t>
  </si>
  <si>
    <t>P156275</t>
  </si>
  <si>
    <t>E1000804</t>
  </si>
  <si>
    <t>P259601</t>
  </si>
  <si>
    <t>E1000805</t>
  </si>
  <si>
    <t>P463489</t>
  </si>
  <si>
    <t>E1000806</t>
  </si>
  <si>
    <t>P768124</t>
  </si>
  <si>
    <t>E1000807</t>
  </si>
  <si>
    <t>P408972</t>
  </si>
  <si>
    <t>E1000808</t>
  </si>
  <si>
    <t>P212389</t>
  </si>
  <si>
    <t>E1000809</t>
  </si>
  <si>
    <t>P400799</t>
  </si>
  <si>
    <t>E1000810</t>
  </si>
  <si>
    <t>P547186</t>
  </si>
  <si>
    <t>E1000811</t>
  </si>
  <si>
    <t>P858546</t>
  </si>
  <si>
    <t>E1000812</t>
  </si>
  <si>
    <t>P377339</t>
  </si>
  <si>
    <t>E1000813</t>
  </si>
  <si>
    <t>P148238</t>
  </si>
  <si>
    <t>E1000814</t>
  </si>
  <si>
    <t>P212272</t>
  </si>
  <si>
    <t>E1000815</t>
  </si>
  <si>
    <t>P424143</t>
  </si>
  <si>
    <t>E1000816</t>
  </si>
  <si>
    <t>P433290</t>
  </si>
  <si>
    <t>E1000817</t>
  </si>
  <si>
    <t>P837770</t>
  </si>
  <si>
    <t>E1000818</t>
  </si>
  <si>
    <t>P563396</t>
  </si>
  <si>
    <t>E1000819</t>
  </si>
  <si>
    <t>P794567</t>
  </si>
  <si>
    <t>E1000820</t>
  </si>
  <si>
    <t>P418041</t>
  </si>
  <si>
    <t>E1000821</t>
  </si>
  <si>
    <t>P951123</t>
  </si>
  <si>
    <t>E1000822</t>
  </si>
  <si>
    <t>P258141</t>
  </si>
  <si>
    <t>E1000823</t>
  </si>
  <si>
    <t>P702755</t>
  </si>
  <si>
    <t>E1000824</t>
  </si>
  <si>
    <t>P903644</t>
  </si>
  <si>
    <t>E1000825</t>
  </si>
  <si>
    <t>P361176</t>
  </si>
  <si>
    <t>E1000826</t>
  </si>
  <si>
    <t>P945457</t>
  </si>
  <si>
    <t>E1000827</t>
  </si>
  <si>
    <t>P524832</t>
  </si>
  <si>
    <t>E1000828</t>
  </si>
  <si>
    <t>P954775</t>
  </si>
  <si>
    <t>E1000829</t>
  </si>
  <si>
    <t>P224218</t>
  </si>
  <si>
    <t>E1000830</t>
  </si>
  <si>
    <t>P620797</t>
  </si>
  <si>
    <t>E1000831</t>
  </si>
  <si>
    <t>P311439</t>
  </si>
  <si>
    <t>E1000832</t>
  </si>
  <si>
    <t>P320050</t>
  </si>
  <si>
    <t>E1000833</t>
  </si>
  <si>
    <t>P898938</t>
  </si>
  <si>
    <t>E1000834</t>
  </si>
  <si>
    <t>P746802</t>
  </si>
  <si>
    <t>E1000835</t>
  </si>
  <si>
    <t>P444621</t>
  </si>
  <si>
    <t>E1000836</t>
  </si>
  <si>
    <t>P273695</t>
  </si>
  <si>
    <t>E1000837</t>
  </si>
  <si>
    <t>P647971</t>
  </si>
  <si>
    <t>E1000838</t>
  </si>
  <si>
    <t>P210922</t>
  </si>
  <si>
    <t>E1000839</t>
  </si>
  <si>
    <t>P809724</t>
  </si>
  <si>
    <t>E1000840</t>
  </si>
  <si>
    <t>P455307</t>
  </si>
  <si>
    <t>E1000841</t>
  </si>
  <si>
    <t>P290904</t>
  </si>
  <si>
    <t>E1000842</t>
  </si>
  <si>
    <t>P277960</t>
  </si>
  <si>
    <t>E1000843</t>
  </si>
  <si>
    <t>P295268</t>
  </si>
  <si>
    <t>E1000844</t>
  </si>
  <si>
    <t>P988055</t>
  </si>
  <si>
    <t>E1000845</t>
  </si>
  <si>
    <t>P749848</t>
  </si>
  <si>
    <t>E1000846</t>
  </si>
  <si>
    <t>P412676</t>
  </si>
  <si>
    <t>E1000847</t>
  </si>
  <si>
    <t>P952880</t>
  </si>
  <si>
    <t>E1000848</t>
  </si>
  <si>
    <t>P705958</t>
  </si>
  <si>
    <t>E1000849</t>
  </si>
  <si>
    <t>P874467</t>
  </si>
  <si>
    <t>E1000850</t>
  </si>
  <si>
    <t>P486191</t>
  </si>
  <si>
    <t>E1000851</t>
  </si>
  <si>
    <t>P744312</t>
  </si>
  <si>
    <t>E1000852</t>
  </si>
  <si>
    <t>P960026</t>
  </si>
  <si>
    <t>E1000853</t>
  </si>
  <si>
    <t>P925478</t>
  </si>
  <si>
    <t>E1000854</t>
  </si>
  <si>
    <t>P907852</t>
  </si>
  <si>
    <t>E1000855</t>
  </si>
  <si>
    <t>P621929</t>
  </si>
  <si>
    <t>E1000856</t>
  </si>
  <si>
    <t>P951546</t>
  </si>
  <si>
    <t>E1000857</t>
  </si>
  <si>
    <t>P983504</t>
  </si>
  <si>
    <t>E1000858</t>
  </si>
  <si>
    <t>P206688</t>
  </si>
  <si>
    <t>E1000859</t>
  </si>
  <si>
    <t>P889198</t>
  </si>
  <si>
    <t>E1000860</t>
  </si>
  <si>
    <t>P116720</t>
  </si>
  <si>
    <t>E1000861</t>
  </si>
  <si>
    <t>P839956</t>
  </si>
  <si>
    <t>E1000862</t>
  </si>
  <si>
    <t>P572769</t>
  </si>
  <si>
    <t>E1000863</t>
  </si>
  <si>
    <t>P784408</t>
  </si>
  <si>
    <t>E1000864</t>
  </si>
  <si>
    <t>P825225</t>
  </si>
  <si>
    <t>E1000865</t>
  </si>
  <si>
    <t>P976500</t>
  </si>
  <si>
    <t>E1000866</t>
  </si>
  <si>
    <t>P812427</t>
  </si>
  <si>
    <t>E1000867</t>
  </si>
  <si>
    <t>P820690</t>
  </si>
  <si>
    <t>E1000868</t>
  </si>
  <si>
    <t>P443274</t>
  </si>
  <si>
    <t>E1000869</t>
  </si>
  <si>
    <t>P872533</t>
  </si>
  <si>
    <t>E1000870</t>
  </si>
  <si>
    <t>P557529</t>
  </si>
  <si>
    <t>E1000871</t>
  </si>
  <si>
    <t>P600020</t>
  </si>
  <si>
    <t>E1000872</t>
  </si>
  <si>
    <t>P284616</t>
  </si>
  <si>
    <t>E1000873</t>
  </si>
  <si>
    <t>P782883</t>
  </si>
  <si>
    <t>E1000874</t>
  </si>
  <si>
    <t>P265270</t>
  </si>
  <si>
    <t>E1000875</t>
  </si>
  <si>
    <t>P343992</t>
  </si>
  <si>
    <t>E1000876</t>
  </si>
  <si>
    <t>P296272</t>
  </si>
  <si>
    <t>E1000877</t>
  </si>
  <si>
    <t>P381686</t>
  </si>
  <si>
    <t>E1000878</t>
  </si>
  <si>
    <t>P326531</t>
  </si>
  <si>
    <t>E1000879</t>
  </si>
  <si>
    <t>P307916</t>
  </si>
  <si>
    <t>E1000880</t>
  </si>
  <si>
    <t>P947605</t>
  </si>
  <si>
    <t>E1000881</t>
  </si>
  <si>
    <t>P105588</t>
  </si>
  <si>
    <t>E1000882</t>
  </si>
  <si>
    <t>P742513</t>
  </si>
  <si>
    <t>E1000883</t>
  </si>
  <si>
    <t>P584460</t>
  </si>
  <si>
    <t>E1000884</t>
  </si>
  <si>
    <t>P333002</t>
  </si>
  <si>
    <t>E1000885</t>
  </si>
  <si>
    <t>P853429</t>
  </si>
  <si>
    <t>E1000886</t>
  </si>
  <si>
    <t>P418476</t>
  </si>
  <si>
    <t>E1000887</t>
  </si>
  <si>
    <t>P857896</t>
  </si>
  <si>
    <t>E1000888</t>
  </si>
  <si>
    <t>P987606</t>
  </si>
  <si>
    <t>E1000889</t>
  </si>
  <si>
    <t>P723925</t>
  </si>
  <si>
    <t>E1000890</t>
  </si>
  <si>
    <t>P371631</t>
  </si>
  <si>
    <t>E1000891</t>
  </si>
  <si>
    <t>P275922</t>
  </si>
  <si>
    <t>E1000892</t>
  </si>
  <si>
    <t>P219036</t>
  </si>
  <si>
    <t>E1000893</t>
  </si>
  <si>
    <t>P709112</t>
  </si>
  <si>
    <t>E1000894</t>
  </si>
  <si>
    <t>P302111</t>
  </si>
  <si>
    <t>E1000895</t>
  </si>
  <si>
    <t>P127946</t>
  </si>
  <si>
    <t>E1000896</t>
  </si>
  <si>
    <t>P707951</t>
  </si>
  <si>
    <t>E1000897</t>
  </si>
  <si>
    <t>P159183</t>
  </si>
  <si>
    <t>E1000898</t>
  </si>
  <si>
    <t>P489750</t>
  </si>
  <si>
    <t>E1000899</t>
  </si>
  <si>
    <t>P458505</t>
  </si>
  <si>
    <t>E1000900</t>
  </si>
  <si>
    <t>P204726</t>
  </si>
  <si>
    <t>E1000901</t>
  </si>
  <si>
    <t>P994484</t>
  </si>
  <si>
    <t>E1000902</t>
  </si>
  <si>
    <t>P546403</t>
  </si>
  <si>
    <t>E1000903</t>
  </si>
  <si>
    <t>P877861</t>
  </si>
  <si>
    <t>E1000904</t>
  </si>
  <si>
    <t>P165844</t>
  </si>
  <si>
    <t>E1000905</t>
  </si>
  <si>
    <t>P205242</t>
  </si>
  <si>
    <t>E1000906</t>
  </si>
  <si>
    <t>P583388</t>
  </si>
  <si>
    <t>E1000907</t>
  </si>
  <si>
    <t>P347743</t>
  </si>
  <si>
    <t>E1000908</t>
  </si>
  <si>
    <t>P606569</t>
  </si>
  <si>
    <t>E1000909</t>
  </si>
  <si>
    <t>P345868</t>
  </si>
  <si>
    <t>E1000910</t>
  </si>
  <si>
    <t>P589968</t>
  </si>
  <si>
    <t>E1000911</t>
  </si>
  <si>
    <t>P923771</t>
  </si>
  <si>
    <t>E1000912</t>
  </si>
  <si>
    <t>P926840</t>
  </si>
  <si>
    <t>E1000913</t>
  </si>
  <si>
    <t>P327233</t>
  </si>
  <si>
    <t>E1000914</t>
  </si>
  <si>
    <t>P109041</t>
  </si>
  <si>
    <t>E1000915</t>
  </si>
  <si>
    <t>P531163</t>
  </si>
  <si>
    <t>E1000916</t>
  </si>
  <si>
    <t>P191424</t>
  </si>
  <si>
    <t>E1000917</t>
  </si>
  <si>
    <t>P564921</t>
  </si>
  <si>
    <t>E1000918</t>
  </si>
  <si>
    <t>P478857</t>
  </si>
  <si>
    <t>E1000919</t>
  </si>
  <si>
    <t>P342849</t>
  </si>
  <si>
    <t>E1000920</t>
  </si>
  <si>
    <t>P241000</t>
  </si>
  <si>
    <t>E1000921</t>
  </si>
  <si>
    <t>P654567</t>
  </si>
  <si>
    <t>E1000922</t>
  </si>
  <si>
    <t>P597026</t>
  </si>
  <si>
    <t>E1000923</t>
  </si>
  <si>
    <t>P441379</t>
  </si>
  <si>
    <t>E1000924</t>
  </si>
  <si>
    <t>P791048</t>
  </si>
  <si>
    <t>E1000925</t>
  </si>
  <si>
    <t>P774144</t>
  </si>
  <si>
    <t>E1000926</t>
  </si>
  <si>
    <t>P956820</t>
  </si>
  <si>
    <t>E1000927</t>
  </si>
  <si>
    <t>P648781</t>
  </si>
  <si>
    <t>E1000928</t>
  </si>
  <si>
    <t>P147188</t>
  </si>
  <si>
    <t>E1000929</t>
  </si>
  <si>
    <t>P120733</t>
  </si>
  <si>
    <t>E1000930</t>
  </si>
  <si>
    <t>P400973</t>
  </si>
  <si>
    <t>E1000931</t>
  </si>
  <si>
    <t>P276389</t>
  </si>
  <si>
    <t>E1000932</t>
  </si>
  <si>
    <t>P697974</t>
  </si>
  <si>
    <t>E1000933</t>
  </si>
  <si>
    <t>P695402</t>
  </si>
  <si>
    <t>E1000934</t>
  </si>
  <si>
    <t>P112675</t>
  </si>
  <si>
    <t>E1000935</t>
  </si>
  <si>
    <t>P380931</t>
  </si>
  <si>
    <t>E1000936</t>
  </si>
  <si>
    <t>P709800</t>
  </si>
  <si>
    <t>E1000937</t>
  </si>
  <si>
    <t>P987546</t>
  </si>
  <si>
    <t>E1000938</t>
  </si>
  <si>
    <t>P493401</t>
  </si>
  <si>
    <t>E1000939</t>
  </si>
  <si>
    <t>P237755</t>
  </si>
  <si>
    <t>E1000940</t>
  </si>
  <si>
    <t>P827718</t>
  </si>
  <si>
    <t>E1000941</t>
  </si>
  <si>
    <t>P275046</t>
  </si>
  <si>
    <t>E1000942</t>
  </si>
  <si>
    <t>P404145</t>
  </si>
  <si>
    <t>E1000943</t>
  </si>
  <si>
    <t>P545441</t>
  </si>
  <si>
    <t>E1000944</t>
  </si>
  <si>
    <t>P123334</t>
  </si>
  <si>
    <t>E1000945</t>
  </si>
  <si>
    <t>P541062</t>
  </si>
  <si>
    <t>E1000946</t>
  </si>
  <si>
    <t>P574084</t>
  </si>
  <si>
    <t>E1000947</t>
  </si>
  <si>
    <t>P947603</t>
  </si>
  <si>
    <t>E1000948</t>
  </si>
  <si>
    <t>P812756</t>
  </si>
  <si>
    <t>E1000949</t>
  </si>
  <si>
    <t>P984832</t>
  </si>
  <si>
    <t>E1000950</t>
  </si>
  <si>
    <t>P779384</t>
  </si>
  <si>
    <t>E1000951</t>
  </si>
  <si>
    <t>P509735</t>
  </si>
  <si>
    <t>E1000952</t>
  </si>
  <si>
    <t>P115550</t>
  </si>
  <si>
    <t>E1000953</t>
  </si>
  <si>
    <t>P689144</t>
  </si>
  <si>
    <t>E1000954</t>
  </si>
  <si>
    <t>P962305</t>
  </si>
  <si>
    <t>E1000955</t>
  </si>
  <si>
    <t>P797165</t>
  </si>
  <si>
    <t>E1000956</t>
  </si>
  <si>
    <t>P476221</t>
  </si>
  <si>
    <t>E1000957</t>
  </si>
  <si>
    <t>P560523</t>
  </si>
  <si>
    <t>E1000958</t>
  </si>
  <si>
    <t>P637531</t>
  </si>
  <si>
    <t>E1000959</t>
  </si>
  <si>
    <t>P217069</t>
  </si>
  <si>
    <t>E1000960</t>
  </si>
  <si>
    <t>P653337</t>
  </si>
  <si>
    <t>E1000961</t>
  </si>
  <si>
    <t>P790141</t>
  </si>
  <si>
    <t>E1000962</t>
  </si>
  <si>
    <t>P728177</t>
  </si>
  <si>
    <t>E1000963</t>
  </si>
  <si>
    <t>P665624</t>
  </si>
  <si>
    <t>E1000964</t>
  </si>
  <si>
    <t>P676997</t>
  </si>
  <si>
    <t>E1000965</t>
  </si>
  <si>
    <t>P632301</t>
  </si>
  <si>
    <t>E1000966</t>
  </si>
  <si>
    <t>P102288</t>
  </si>
  <si>
    <t>E1000967</t>
  </si>
  <si>
    <t>P525873</t>
  </si>
  <si>
    <t>E1000968</t>
  </si>
  <si>
    <t>P159578</t>
  </si>
  <si>
    <t>E1000969</t>
  </si>
  <si>
    <t>P441902</t>
  </si>
  <si>
    <t>E1000970</t>
  </si>
  <si>
    <t>P111484</t>
  </si>
  <si>
    <t>E1000971</t>
  </si>
  <si>
    <t>P119469</t>
  </si>
  <si>
    <t>E1000972</t>
  </si>
  <si>
    <t>P379193</t>
  </si>
  <si>
    <t>E1000973</t>
  </si>
  <si>
    <t>P354052</t>
  </si>
  <si>
    <t>E1000974</t>
  </si>
  <si>
    <t>P368269</t>
  </si>
  <si>
    <t>E1000975</t>
  </si>
  <si>
    <t>P519543</t>
  </si>
  <si>
    <t>E1000976</t>
  </si>
  <si>
    <t>P642921</t>
  </si>
  <si>
    <t>E1000977</t>
  </si>
  <si>
    <t>P522819</t>
  </si>
  <si>
    <t>E1000978</t>
  </si>
  <si>
    <t>P425490</t>
  </si>
  <si>
    <t>E1000979</t>
  </si>
  <si>
    <t>P649909</t>
  </si>
  <si>
    <t>E1000980</t>
  </si>
  <si>
    <t>P517495</t>
  </si>
  <si>
    <t>E1000981</t>
  </si>
  <si>
    <t>P730003</t>
  </si>
  <si>
    <t>E1000982</t>
  </si>
  <si>
    <t>P682985</t>
  </si>
  <si>
    <t>E1000983</t>
  </si>
  <si>
    <t>P359060</t>
  </si>
  <si>
    <t>E1000984</t>
  </si>
  <si>
    <t>P200291</t>
  </si>
  <si>
    <t>E1000985</t>
  </si>
  <si>
    <t>P110321</t>
  </si>
  <si>
    <t>E1000986</t>
  </si>
  <si>
    <t>P859564</t>
  </si>
  <si>
    <t>E1000987</t>
  </si>
  <si>
    <t>P415117</t>
  </si>
  <si>
    <t>E1000988</t>
  </si>
  <si>
    <t>P720166</t>
  </si>
  <si>
    <t>E1000989</t>
  </si>
  <si>
    <t>P445512</t>
  </si>
  <si>
    <t>E1000990</t>
  </si>
  <si>
    <t>P547349</t>
  </si>
  <si>
    <t>E1000991</t>
  </si>
  <si>
    <t>P967469</t>
  </si>
  <si>
    <t>E1000992</t>
  </si>
  <si>
    <t>P790887</t>
  </si>
  <si>
    <t>E1000993</t>
  </si>
  <si>
    <t>P603622</t>
  </si>
  <si>
    <t>E1000994</t>
  </si>
  <si>
    <t>P614591</t>
  </si>
  <si>
    <t>E1000995</t>
  </si>
  <si>
    <t>P748725</t>
  </si>
  <si>
    <t>E1000996</t>
  </si>
  <si>
    <t>P466594</t>
  </si>
  <si>
    <t>E1000997</t>
  </si>
  <si>
    <t>P726650</t>
  </si>
  <si>
    <t>E1000998</t>
  </si>
  <si>
    <t>P867308</t>
  </si>
  <si>
    <t>E1000999</t>
  </si>
  <si>
    <t>P617348</t>
  </si>
  <si>
    <t>E1001000</t>
  </si>
  <si>
    <t>P825434</t>
  </si>
  <si>
    <t>E1001001</t>
  </si>
  <si>
    <t>P194191</t>
  </si>
  <si>
    <t>E1001002</t>
  </si>
  <si>
    <t>P468758</t>
  </si>
  <si>
    <t>E1001003</t>
  </si>
  <si>
    <t>P463139</t>
  </si>
  <si>
    <t>E1001004</t>
  </si>
  <si>
    <t>P939664</t>
  </si>
  <si>
    <t>E1001005</t>
  </si>
  <si>
    <t>P615791</t>
  </si>
  <si>
    <t>E1001006</t>
  </si>
  <si>
    <t>P851644</t>
  </si>
  <si>
    <t>E1001007</t>
  </si>
  <si>
    <t>P672450</t>
  </si>
  <si>
    <t>E1001008</t>
  </si>
  <si>
    <t>P904446</t>
  </si>
  <si>
    <t>E1001009</t>
  </si>
  <si>
    <t>P392239</t>
  </si>
  <si>
    <t>E1001010</t>
  </si>
  <si>
    <t>P194941</t>
  </si>
  <si>
    <t>E1001011</t>
  </si>
  <si>
    <t>P459185</t>
  </si>
  <si>
    <t>E1001012</t>
  </si>
  <si>
    <t>P156016</t>
  </si>
  <si>
    <t>E1001013</t>
  </si>
  <si>
    <t>P223191</t>
  </si>
  <si>
    <t>E1001014</t>
  </si>
  <si>
    <t>P309392</t>
  </si>
  <si>
    <t>E1001015</t>
  </si>
  <si>
    <t>P680433</t>
  </si>
  <si>
    <t>E1001016</t>
  </si>
  <si>
    <t>P522867</t>
  </si>
  <si>
    <t>E1001017</t>
  </si>
  <si>
    <t>P811060</t>
  </si>
  <si>
    <t>E1001018</t>
  </si>
  <si>
    <t>P832140</t>
  </si>
  <si>
    <t>E1001019</t>
  </si>
  <si>
    <t>P403327</t>
  </si>
  <si>
    <t>E1001020</t>
  </si>
  <si>
    <t>P942957</t>
  </si>
  <si>
    <t>E1001021</t>
  </si>
  <si>
    <t>P480949</t>
  </si>
  <si>
    <t>E1001022</t>
  </si>
  <si>
    <t>P609777</t>
  </si>
  <si>
    <t>E1001023</t>
  </si>
  <si>
    <t>P446705</t>
  </si>
  <si>
    <t>E1001024</t>
  </si>
  <si>
    <t>P488984</t>
  </si>
  <si>
    <t>E1001025</t>
  </si>
  <si>
    <t>P754148</t>
  </si>
  <si>
    <t>E1001026</t>
  </si>
  <si>
    <t>P348782</t>
  </si>
  <si>
    <t>E1001027</t>
  </si>
  <si>
    <t>P696035</t>
  </si>
  <si>
    <t>E1001028</t>
  </si>
  <si>
    <t>P753557</t>
  </si>
  <si>
    <t>E1001029</t>
  </si>
  <si>
    <t>P760775</t>
  </si>
  <si>
    <t>E1001030</t>
  </si>
  <si>
    <t>P399172</t>
  </si>
  <si>
    <t>E1001031</t>
  </si>
  <si>
    <t>P464758</t>
  </si>
  <si>
    <t>E1001032</t>
  </si>
  <si>
    <t>P726123</t>
  </si>
  <si>
    <t>E1001033</t>
  </si>
  <si>
    <t>P951042</t>
  </si>
  <si>
    <t>E1001034</t>
  </si>
  <si>
    <t>P410727</t>
  </si>
  <si>
    <t>E1001035</t>
  </si>
  <si>
    <t>P470482</t>
  </si>
  <si>
    <t>E1001036</t>
  </si>
  <si>
    <t>P171147</t>
  </si>
  <si>
    <t>E1001037</t>
  </si>
  <si>
    <t>P463710</t>
  </si>
  <si>
    <t>E1001038</t>
  </si>
  <si>
    <t>P319350</t>
  </si>
  <si>
    <t>E1001039</t>
  </si>
  <si>
    <t>P377048</t>
  </si>
  <si>
    <t>E1001040</t>
  </si>
  <si>
    <t>P857786</t>
  </si>
  <si>
    <t>E1001041</t>
  </si>
  <si>
    <t>P550557</t>
  </si>
  <si>
    <t>E1001042</t>
  </si>
  <si>
    <t>P686747</t>
  </si>
  <si>
    <t>E1001043</t>
  </si>
  <si>
    <t>P601501</t>
  </si>
  <si>
    <t>E1001044</t>
  </si>
  <si>
    <t>P271906</t>
  </si>
  <si>
    <t>E1001045</t>
  </si>
  <si>
    <t>P823730</t>
  </si>
  <si>
    <t>E1001046</t>
  </si>
  <si>
    <t>P295080</t>
  </si>
  <si>
    <t>E1001047</t>
  </si>
  <si>
    <t>P494329</t>
  </si>
  <si>
    <t>E1001048</t>
  </si>
  <si>
    <t>P267199</t>
  </si>
  <si>
    <t>E1001049</t>
  </si>
  <si>
    <t>P291219</t>
  </si>
  <si>
    <t>E1001050</t>
  </si>
  <si>
    <t>P339026</t>
  </si>
  <si>
    <t>E1001051</t>
  </si>
  <si>
    <t>P734021</t>
  </si>
  <si>
    <t>E1001052</t>
  </si>
  <si>
    <t>P823563</t>
  </si>
  <si>
    <t>E1001053</t>
  </si>
  <si>
    <t>P677885</t>
  </si>
  <si>
    <t>E1001054</t>
  </si>
  <si>
    <t>P293257</t>
  </si>
  <si>
    <t>E1001055</t>
  </si>
  <si>
    <t>P328950</t>
  </si>
  <si>
    <t>E1001056</t>
  </si>
  <si>
    <t>P103616</t>
  </si>
  <si>
    <t>E1001057</t>
  </si>
  <si>
    <t>P934822</t>
  </si>
  <si>
    <t>E1001058</t>
  </si>
  <si>
    <t>P383376</t>
  </si>
  <si>
    <t>E1001059</t>
  </si>
  <si>
    <t>P489284</t>
  </si>
  <si>
    <t>E1001060</t>
  </si>
  <si>
    <t>P524503</t>
  </si>
  <si>
    <t>E1001061</t>
  </si>
  <si>
    <t>P396458</t>
  </si>
  <si>
    <t>E1001062</t>
  </si>
  <si>
    <t>P715592</t>
  </si>
  <si>
    <t>E1001063</t>
  </si>
  <si>
    <t>P630669</t>
  </si>
  <si>
    <t>E1001064</t>
  </si>
  <si>
    <t>P939317</t>
  </si>
  <si>
    <t>E1001065</t>
  </si>
  <si>
    <t>P238189</t>
  </si>
  <si>
    <t>E1001066</t>
  </si>
  <si>
    <t>P944713</t>
  </si>
  <si>
    <t>E1001067</t>
  </si>
  <si>
    <t>P339052</t>
  </si>
  <si>
    <t>E1001068</t>
  </si>
  <si>
    <t>P956288</t>
  </si>
  <si>
    <t>E1001069</t>
  </si>
  <si>
    <t>P583493</t>
  </si>
  <si>
    <t>E1001070</t>
  </si>
  <si>
    <t>P672560</t>
  </si>
  <si>
    <t>E1001071</t>
  </si>
  <si>
    <t>P180777</t>
  </si>
  <si>
    <t>E1001072</t>
  </si>
  <si>
    <t>P384183</t>
  </si>
  <si>
    <t>E1001073</t>
  </si>
  <si>
    <t>P912692</t>
  </si>
  <si>
    <t>E1001074</t>
  </si>
  <si>
    <t>P943039</t>
  </si>
  <si>
    <t>E1001075</t>
  </si>
  <si>
    <t>P203763</t>
  </si>
  <si>
    <t>E1001076</t>
  </si>
  <si>
    <t>P797837</t>
  </si>
  <si>
    <t>E1001077</t>
  </si>
  <si>
    <t>P367141</t>
  </si>
  <si>
    <t>E1001078</t>
  </si>
  <si>
    <t>P925120</t>
  </si>
  <si>
    <t>E1001079</t>
  </si>
  <si>
    <t>P440887</t>
  </si>
  <si>
    <t>E1001080</t>
  </si>
  <si>
    <t>P105178</t>
  </si>
  <si>
    <t>E1001081</t>
  </si>
  <si>
    <t>P977131</t>
  </si>
  <si>
    <t>E1001082</t>
  </si>
  <si>
    <t>P752435</t>
  </si>
  <si>
    <t>E1001083</t>
  </si>
  <si>
    <t>P666815</t>
  </si>
  <si>
    <t>E1001084</t>
  </si>
  <si>
    <t>P768960</t>
  </si>
  <si>
    <t>E1001085</t>
  </si>
  <si>
    <t>P381779</t>
  </si>
  <si>
    <t>E1001086</t>
  </si>
  <si>
    <t>P586579</t>
  </si>
  <si>
    <t>E1001087</t>
  </si>
  <si>
    <t>P700872</t>
  </si>
  <si>
    <t>E1001088</t>
  </si>
  <si>
    <t>P898247</t>
  </si>
  <si>
    <t>E1001089</t>
  </si>
  <si>
    <t>P782280</t>
  </si>
  <si>
    <t>E1001090</t>
  </si>
  <si>
    <t>P393985</t>
  </si>
  <si>
    <t>E1001091</t>
  </si>
  <si>
    <t>P594052</t>
  </si>
  <si>
    <t>E1001092</t>
  </si>
  <si>
    <t>P873654</t>
  </si>
  <si>
    <t>E1001093</t>
  </si>
  <si>
    <t>P235409</t>
  </si>
  <si>
    <t>E1001094</t>
  </si>
  <si>
    <t>P266905</t>
  </si>
  <si>
    <t>E1001095</t>
  </si>
  <si>
    <t>P478110</t>
  </si>
  <si>
    <t>E1001096</t>
  </si>
  <si>
    <t>P319977</t>
  </si>
  <si>
    <t>E1001097</t>
  </si>
  <si>
    <t>P773439</t>
  </si>
  <si>
    <t>E1001098</t>
  </si>
  <si>
    <t>P500015</t>
  </si>
  <si>
    <t>E1001099</t>
  </si>
  <si>
    <t>P540830</t>
  </si>
  <si>
    <t>E1001100</t>
  </si>
  <si>
    <t>P627000</t>
  </si>
  <si>
    <t>E1001101</t>
  </si>
  <si>
    <t>P952021</t>
  </si>
  <si>
    <t>E1001102</t>
  </si>
  <si>
    <t>P568323</t>
  </si>
  <si>
    <t>E1001103</t>
  </si>
  <si>
    <t>P650325</t>
  </si>
  <si>
    <t>E1001104</t>
  </si>
  <si>
    <t>P469877</t>
  </si>
  <si>
    <t>E1001105</t>
  </si>
  <si>
    <t>P899125</t>
  </si>
  <si>
    <t>E1001106</t>
  </si>
  <si>
    <t>P677234</t>
  </si>
  <si>
    <t>E1001107</t>
  </si>
  <si>
    <t>P517955</t>
  </si>
  <si>
    <t>E1001108</t>
  </si>
  <si>
    <t>P924549</t>
  </si>
  <si>
    <t>E1001109</t>
  </si>
  <si>
    <t>P778471</t>
  </si>
  <si>
    <t>E1001110</t>
  </si>
  <si>
    <t>P107384</t>
  </si>
  <si>
    <t>E1001111</t>
  </si>
  <si>
    <t>P330105</t>
  </si>
  <si>
    <t>E1001112</t>
  </si>
  <si>
    <t>P840756</t>
  </si>
  <si>
    <t>E1001113</t>
  </si>
  <si>
    <t>P614672</t>
  </si>
  <si>
    <t>E1001114</t>
  </si>
  <si>
    <t>P563742</t>
  </si>
  <si>
    <t>E1001115</t>
  </si>
  <si>
    <t>P456792</t>
  </si>
  <si>
    <t>E1001116</t>
  </si>
  <si>
    <t>P198161</t>
  </si>
  <si>
    <t>E1001117</t>
  </si>
  <si>
    <t>P485503</t>
  </si>
  <si>
    <t>E1001118</t>
  </si>
  <si>
    <t>P153903</t>
  </si>
  <si>
    <t>E1001119</t>
  </si>
  <si>
    <t>P661778</t>
  </si>
  <si>
    <t>E1001120</t>
  </si>
  <si>
    <t>P139294</t>
  </si>
  <si>
    <t>E1001121</t>
  </si>
  <si>
    <t>P343396</t>
  </si>
  <si>
    <t>E1001122</t>
  </si>
  <si>
    <t>P596006</t>
  </si>
  <si>
    <t>E1001123</t>
  </si>
  <si>
    <t>P169618</t>
  </si>
  <si>
    <t>E1001124</t>
  </si>
  <si>
    <t>P224806</t>
  </si>
  <si>
    <t>E1001125</t>
  </si>
  <si>
    <t>P633771</t>
  </si>
  <si>
    <t>E1001126</t>
  </si>
  <si>
    <t>P839477</t>
  </si>
  <si>
    <t>E1001127</t>
  </si>
  <si>
    <t>P494175</t>
  </si>
  <si>
    <t>E1001128</t>
  </si>
  <si>
    <t>P125130</t>
  </si>
  <si>
    <t>E1001129</t>
  </si>
  <si>
    <t>P862477</t>
  </si>
  <si>
    <t>E1001130</t>
  </si>
  <si>
    <t>P220486</t>
  </si>
  <si>
    <t>E1001131</t>
  </si>
  <si>
    <t>P198611</t>
  </si>
  <si>
    <t>E1001132</t>
  </si>
  <si>
    <t>P800077</t>
  </si>
  <si>
    <t>E1001133</t>
  </si>
  <si>
    <t>P610502</t>
  </si>
  <si>
    <t>E1001134</t>
  </si>
  <si>
    <t>P402635</t>
  </si>
  <si>
    <t>E1001135</t>
  </si>
  <si>
    <t>P464779</t>
  </si>
  <si>
    <t>E1001136</t>
  </si>
  <si>
    <t>P535805</t>
  </si>
  <si>
    <t>E1001137</t>
  </si>
  <si>
    <t>P428673</t>
  </si>
  <si>
    <t>E1001138</t>
  </si>
  <si>
    <t>P330875</t>
  </si>
  <si>
    <t>E1001139</t>
  </si>
  <si>
    <t>P611938</t>
  </si>
  <si>
    <t>E1001140</t>
  </si>
  <si>
    <t>P389488</t>
  </si>
  <si>
    <t>E1001141</t>
  </si>
  <si>
    <t>P992827</t>
  </si>
  <si>
    <t>E1001142</t>
  </si>
  <si>
    <t>P613399</t>
  </si>
  <si>
    <t>E1001143</t>
  </si>
  <si>
    <t>P473308</t>
  </si>
  <si>
    <t>E1001144</t>
  </si>
  <si>
    <t>P413136</t>
  </si>
  <si>
    <t>E1001145</t>
  </si>
  <si>
    <t>P879040</t>
  </si>
  <si>
    <t>E1001146</t>
  </si>
  <si>
    <t>P368244</t>
  </si>
  <si>
    <t>E1001147</t>
  </si>
  <si>
    <t>P415296</t>
  </si>
  <si>
    <t>E1001148</t>
  </si>
  <si>
    <t>P874831</t>
  </si>
  <si>
    <t>E1001149</t>
  </si>
  <si>
    <t>P919637</t>
  </si>
  <si>
    <t>E1001150</t>
  </si>
  <si>
    <t>P711490</t>
  </si>
  <si>
    <t>E1001151</t>
  </si>
  <si>
    <t>P654000</t>
  </si>
  <si>
    <t>E1001152</t>
  </si>
  <si>
    <t>P189940</t>
  </si>
  <si>
    <t>E1001153</t>
  </si>
  <si>
    <t>P660842</t>
  </si>
  <si>
    <t>E1001154</t>
  </si>
  <si>
    <t>P202045</t>
  </si>
  <si>
    <t>E1001155</t>
  </si>
  <si>
    <t>P979702</t>
  </si>
  <si>
    <t>E1001156</t>
  </si>
  <si>
    <t>P356262</t>
  </si>
  <si>
    <t>E1001157</t>
  </si>
  <si>
    <t>P155358</t>
  </si>
  <si>
    <t>E1001158</t>
  </si>
  <si>
    <t>P119783</t>
  </si>
  <si>
    <t>E1001159</t>
  </si>
  <si>
    <t>P603735</t>
  </si>
  <si>
    <t>E1001160</t>
  </si>
  <si>
    <t>P315803</t>
  </si>
  <si>
    <t>E1001161</t>
  </si>
  <si>
    <t>P797134</t>
  </si>
  <si>
    <t>E1001162</t>
  </si>
  <si>
    <t>P219403</t>
  </si>
  <si>
    <t>E1001163</t>
  </si>
  <si>
    <t>P481280</t>
  </si>
  <si>
    <t>E1001164</t>
  </si>
  <si>
    <t>P812271</t>
  </si>
  <si>
    <t>E1001165</t>
  </si>
  <si>
    <t>P931574</t>
  </si>
  <si>
    <t>E1001166</t>
  </si>
  <si>
    <t>P473931</t>
  </si>
  <si>
    <t>E1001167</t>
  </si>
  <si>
    <t>P676870</t>
  </si>
  <si>
    <t>E1001168</t>
  </si>
  <si>
    <t>P450862</t>
  </si>
  <si>
    <t>E1001169</t>
  </si>
  <si>
    <t>P380505</t>
  </si>
  <si>
    <t>E1001170</t>
  </si>
  <si>
    <t>P536720</t>
  </si>
  <si>
    <t>E1001171</t>
  </si>
  <si>
    <t>P266989</t>
  </si>
  <si>
    <t>E1001172</t>
  </si>
  <si>
    <t>P688453</t>
  </si>
  <si>
    <t>E1001173</t>
  </si>
  <si>
    <t>P891652</t>
  </si>
  <si>
    <t>E1001174</t>
  </si>
  <si>
    <t>P579898</t>
  </si>
  <si>
    <t>E1001175</t>
  </si>
  <si>
    <t>P444481</t>
  </si>
  <si>
    <t>E1001176</t>
  </si>
  <si>
    <t>P512401</t>
  </si>
  <si>
    <t>E1001177</t>
  </si>
  <si>
    <t>P888582</t>
  </si>
  <si>
    <t>E1001178</t>
  </si>
  <si>
    <t>P512773</t>
  </si>
  <si>
    <t>E1001179</t>
  </si>
  <si>
    <t>P621250</t>
  </si>
  <si>
    <t>E1001180</t>
  </si>
  <si>
    <t>P387173</t>
  </si>
  <si>
    <t>E1001181</t>
  </si>
  <si>
    <t>P701715</t>
  </si>
  <si>
    <t>E1001182</t>
  </si>
  <si>
    <t>P921032</t>
  </si>
  <si>
    <t>E1001183</t>
  </si>
  <si>
    <t>P410942</t>
  </si>
  <si>
    <t>E1001184</t>
  </si>
  <si>
    <t>P945703</t>
  </si>
  <si>
    <t>E1001185</t>
  </si>
  <si>
    <t>P183806</t>
  </si>
  <si>
    <t>E1001186</t>
  </si>
  <si>
    <t>P192726</t>
  </si>
  <si>
    <t>E1001187</t>
  </si>
  <si>
    <t>P209973</t>
  </si>
  <si>
    <t>E1001188</t>
  </si>
  <si>
    <t>P866909</t>
  </si>
  <si>
    <t>E1001189</t>
  </si>
  <si>
    <t>P539628</t>
  </si>
  <si>
    <t>E1001190</t>
  </si>
  <si>
    <t>P671993</t>
  </si>
  <si>
    <t>E1001191</t>
  </si>
  <si>
    <t>P195568</t>
  </si>
  <si>
    <t>E1001192</t>
  </si>
  <si>
    <t>P140530</t>
  </si>
  <si>
    <t>E1001193</t>
  </si>
  <si>
    <t>P175868</t>
  </si>
  <si>
    <t>E1001194</t>
  </si>
  <si>
    <t>P878796</t>
  </si>
  <si>
    <t>E1001195</t>
  </si>
  <si>
    <t>P164365</t>
  </si>
  <si>
    <t>E1001196</t>
  </si>
  <si>
    <t>P500721</t>
  </si>
  <si>
    <t>E1001197</t>
  </si>
  <si>
    <t>P241800</t>
  </si>
  <si>
    <t>E1001198</t>
  </si>
  <si>
    <t>P682636</t>
  </si>
  <si>
    <t>E1001199</t>
  </si>
  <si>
    <t>P413601</t>
  </si>
  <si>
    <t>E1001200</t>
  </si>
  <si>
    <t>P599580</t>
  </si>
  <si>
    <t>E1001201</t>
  </si>
  <si>
    <t>P139331</t>
  </si>
  <si>
    <t>E1001202</t>
  </si>
  <si>
    <t>P361623</t>
  </si>
  <si>
    <t>E1001203</t>
  </si>
  <si>
    <t>P186403</t>
  </si>
  <si>
    <t>E1001204</t>
  </si>
  <si>
    <t>P365573</t>
  </si>
  <si>
    <t>E1001205</t>
  </si>
  <si>
    <t>P480931</t>
  </si>
  <si>
    <t>E1001206</t>
  </si>
  <si>
    <t>P839022</t>
  </si>
  <si>
    <t>E1001207</t>
  </si>
  <si>
    <t>P726927</t>
  </si>
  <si>
    <t>E1001208</t>
  </si>
  <si>
    <t>P481746</t>
  </si>
  <si>
    <t>E1001209</t>
  </si>
  <si>
    <t>P523842</t>
  </si>
  <si>
    <t>E1001210</t>
  </si>
  <si>
    <t>P144914</t>
  </si>
  <si>
    <t>E1001211</t>
  </si>
  <si>
    <t>P633981</t>
  </si>
  <si>
    <t>E1001212</t>
  </si>
  <si>
    <t>P952210</t>
  </si>
  <si>
    <t>E1001213</t>
  </si>
  <si>
    <t>P247554</t>
  </si>
  <si>
    <t>E1001214</t>
  </si>
  <si>
    <t>P679038</t>
  </si>
  <si>
    <t>E1001215</t>
  </si>
  <si>
    <t>P651560</t>
  </si>
  <si>
    <t>E1001216</t>
  </si>
  <si>
    <t>P380993</t>
  </si>
  <si>
    <t>E1001217</t>
  </si>
  <si>
    <t>P463886</t>
  </si>
  <si>
    <t>E1001218</t>
  </si>
  <si>
    <t>P656387</t>
  </si>
  <si>
    <t>E1001219</t>
  </si>
  <si>
    <t>P727882</t>
  </si>
  <si>
    <t>E1001220</t>
  </si>
  <si>
    <t>P401673</t>
  </si>
  <si>
    <t>E1001221</t>
  </si>
  <si>
    <t>P787641</t>
  </si>
  <si>
    <t>E1001222</t>
  </si>
  <si>
    <t>P189131</t>
  </si>
  <si>
    <t>E1001223</t>
  </si>
  <si>
    <t>P773684</t>
  </si>
  <si>
    <t>E1001224</t>
  </si>
  <si>
    <t>P963929</t>
  </si>
  <si>
    <t>E1001225</t>
  </si>
  <si>
    <t>P114408</t>
  </si>
  <si>
    <t>E1001226</t>
  </si>
  <si>
    <t>P831772</t>
  </si>
  <si>
    <t>E1001227</t>
  </si>
  <si>
    <t>P151211</t>
  </si>
  <si>
    <t>E1001228</t>
  </si>
  <si>
    <t>P540798</t>
  </si>
  <si>
    <t>E1001229</t>
  </si>
  <si>
    <t>P250891</t>
  </si>
  <si>
    <t>E1001230</t>
  </si>
  <si>
    <t>P678643</t>
  </si>
  <si>
    <t>E1001231</t>
  </si>
  <si>
    <t>P858000</t>
  </si>
  <si>
    <t>E1001232</t>
  </si>
  <si>
    <t>P289110</t>
  </si>
  <si>
    <t>E1001233</t>
  </si>
  <si>
    <t>P282566</t>
  </si>
  <si>
    <t>E1001234</t>
  </si>
  <si>
    <t>P447072</t>
  </si>
  <si>
    <t>E1001235</t>
  </si>
  <si>
    <t>P502834</t>
  </si>
  <si>
    <t>E1001236</t>
  </si>
  <si>
    <t>P899946</t>
  </si>
  <si>
    <t>E1001237</t>
  </si>
  <si>
    <t>P290089</t>
  </si>
  <si>
    <t>E1001238</t>
  </si>
  <si>
    <t>P968367</t>
  </si>
  <si>
    <t>E1001239</t>
  </si>
  <si>
    <t>P265603</t>
  </si>
  <si>
    <t>E1001240</t>
  </si>
  <si>
    <t>P586550</t>
  </si>
  <si>
    <t>E1001241</t>
  </si>
  <si>
    <t>P597904</t>
  </si>
  <si>
    <t>E1001242</t>
  </si>
  <si>
    <t>P714852</t>
  </si>
  <si>
    <t>E1001243</t>
  </si>
  <si>
    <t>P147273</t>
  </si>
  <si>
    <t>E1001244</t>
  </si>
  <si>
    <t>P336656</t>
  </si>
  <si>
    <t>E1001245</t>
  </si>
  <si>
    <t>P779509</t>
  </si>
  <si>
    <t>E1001246</t>
  </si>
  <si>
    <t>P875906</t>
  </si>
  <si>
    <t>E1001247</t>
  </si>
  <si>
    <t>P932487</t>
  </si>
  <si>
    <t>E1001248</t>
  </si>
  <si>
    <t>P905704</t>
  </si>
  <si>
    <t>E1001249</t>
  </si>
  <si>
    <t>P224014</t>
  </si>
  <si>
    <t>E1001250</t>
  </si>
  <si>
    <t>P846060</t>
  </si>
  <si>
    <t>E1001251</t>
  </si>
  <si>
    <t>P921825</t>
  </si>
  <si>
    <t>E1001252</t>
  </si>
  <si>
    <t>P935876</t>
  </si>
  <si>
    <t>E1001253</t>
  </si>
  <si>
    <t>P756475</t>
  </si>
  <si>
    <t>E1001254</t>
  </si>
  <si>
    <t>P258511</t>
  </si>
  <si>
    <t>E1001255</t>
  </si>
  <si>
    <t>P641921</t>
  </si>
  <si>
    <t>E1001256</t>
  </si>
  <si>
    <t>P986888</t>
  </si>
  <si>
    <t>E1001257</t>
  </si>
  <si>
    <t>P910453</t>
  </si>
  <si>
    <t>E1001258</t>
  </si>
  <si>
    <t>P558598</t>
  </si>
  <si>
    <t>E1001259</t>
  </si>
  <si>
    <t>P891638</t>
  </si>
  <si>
    <t>E1001260</t>
  </si>
  <si>
    <t>P621071</t>
  </si>
  <si>
    <t>E1001261</t>
  </si>
  <si>
    <t>P198825</t>
  </si>
  <si>
    <t>E1001262</t>
  </si>
  <si>
    <t>P512005</t>
  </si>
  <si>
    <t>E1001263</t>
  </si>
  <si>
    <t>P462205</t>
  </si>
  <si>
    <t>E1001264</t>
  </si>
  <si>
    <t>P530684</t>
  </si>
  <si>
    <t>E1001265</t>
  </si>
  <si>
    <t>P401967</t>
  </si>
  <si>
    <t>E1001266</t>
  </si>
  <si>
    <t>P706700</t>
  </si>
  <si>
    <t>E1001267</t>
  </si>
  <si>
    <t>P903120</t>
  </si>
  <si>
    <t>E1001268</t>
  </si>
  <si>
    <t>P743709</t>
  </si>
  <si>
    <t>E1001269</t>
  </si>
  <si>
    <t>P703484</t>
  </si>
  <si>
    <t>E1001270</t>
  </si>
  <si>
    <t>P583885</t>
  </si>
  <si>
    <t>E1001271</t>
  </si>
  <si>
    <t>P586162</t>
  </si>
  <si>
    <t>E1001272</t>
  </si>
  <si>
    <t>P313502</t>
  </si>
  <si>
    <t>E1001273</t>
  </si>
  <si>
    <t>P776444</t>
  </si>
  <si>
    <t>E1001274</t>
  </si>
  <si>
    <t>P566896</t>
  </si>
  <si>
    <t>E1001275</t>
  </si>
  <si>
    <t>P218304</t>
  </si>
  <si>
    <t>E1001276</t>
  </si>
  <si>
    <t>P381460</t>
  </si>
  <si>
    <t>E1001277</t>
  </si>
  <si>
    <t>P499534</t>
  </si>
  <si>
    <t>E1001278</t>
  </si>
  <si>
    <t>P993199</t>
  </si>
  <si>
    <t>E1001279</t>
  </si>
  <si>
    <t>P488467</t>
  </si>
  <si>
    <t>E1001280</t>
  </si>
  <si>
    <t>P691318</t>
  </si>
  <si>
    <t>E1001281</t>
  </si>
  <si>
    <t>P598276</t>
  </si>
  <si>
    <t>E1001282</t>
  </si>
  <si>
    <t>P869390</t>
  </si>
  <si>
    <t>E1001283</t>
  </si>
  <si>
    <t>P385148</t>
  </si>
  <si>
    <t>E1001284</t>
  </si>
  <si>
    <t>P323951</t>
  </si>
  <si>
    <t>E1001285</t>
  </si>
  <si>
    <t>P435249</t>
  </si>
  <si>
    <t>E1001286</t>
  </si>
  <si>
    <t>P641400</t>
  </si>
  <si>
    <t>E1001287</t>
  </si>
  <si>
    <t>P195641</t>
  </si>
  <si>
    <t>E1001288</t>
  </si>
  <si>
    <t>P314125</t>
  </si>
  <si>
    <t>E1001289</t>
  </si>
  <si>
    <t>P544903</t>
  </si>
  <si>
    <t>E1001290</t>
  </si>
  <si>
    <t>P559843</t>
  </si>
  <si>
    <t>E1001291</t>
  </si>
  <si>
    <t>P143709</t>
  </si>
  <si>
    <t>E1001292</t>
  </si>
  <si>
    <t>P774888</t>
  </si>
  <si>
    <t>E1001293</t>
  </si>
  <si>
    <t>P482463</t>
  </si>
  <si>
    <t>E1001294</t>
  </si>
  <si>
    <t>P198843</t>
  </si>
  <si>
    <t>E1001295</t>
  </si>
  <si>
    <t>P545982</t>
  </si>
  <si>
    <t>E1001296</t>
  </si>
  <si>
    <t>P457535</t>
  </si>
  <si>
    <t>E1001297</t>
  </si>
  <si>
    <t>P332761</t>
  </si>
  <si>
    <t>E1001298</t>
  </si>
  <si>
    <t>P643014</t>
  </si>
  <si>
    <t>E1001299</t>
  </si>
  <si>
    <t>P108025</t>
  </si>
  <si>
    <t>E1001300</t>
  </si>
  <si>
    <t>P682557</t>
  </si>
  <si>
    <t>E1001301</t>
  </si>
  <si>
    <t>P406697</t>
  </si>
  <si>
    <t>E1001302</t>
  </si>
  <si>
    <t>P186973</t>
  </si>
  <si>
    <t>E1001303</t>
  </si>
  <si>
    <t>P807931</t>
  </si>
  <si>
    <t>E1001304</t>
  </si>
  <si>
    <t>P974741</t>
  </si>
  <si>
    <t>E1001305</t>
  </si>
  <si>
    <t>P909375</t>
  </si>
  <si>
    <t>E1001306</t>
  </si>
  <si>
    <t>P304232</t>
  </si>
  <si>
    <t>E1001307</t>
  </si>
  <si>
    <t>P245133</t>
  </si>
  <si>
    <t>E1001308</t>
  </si>
  <si>
    <t>P707603</t>
  </si>
  <si>
    <t>E1001309</t>
  </si>
  <si>
    <t>P355062</t>
  </si>
  <si>
    <t>E1001310</t>
  </si>
  <si>
    <t>P138946</t>
  </si>
  <si>
    <t>E1001311</t>
  </si>
  <si>
    <t>P520820</t>
  </si>
  <si>
    <t>E1001312</t>
  </si>
  <si>
    <t>P995369</t>
  </si>
  <si>
    <t>E1001313</t>
  </si>
  <si>
    <t>P397468</t>
  </si>
  <si>
    <t>E1001314</t>
  </si>
  <si>
    <t>P994502</t>
  </si>
  <si>
    <t>E1001315</t>
  </si>
  <si>
    <t>P826320</t>
  </si>
  <si>
    <t>E1001316</t>
  </si>
  <si>
    <t>P449251</t>
  </si>
  <si>
    <t>E1001317</t>
  </si>
  <si>
    <t>P822684</t>
  </si>
  <si>
    <t>E1001318</t>
  </si>
  <si>
    <t>P882534</t>
  </si>
  <si>
    <t>E1001319</t>
  </si>
  <si>
    <t>P963923</t>
  </si>
  <si>
    <t>E1001320</t>
  </si>
  <si>
    <t>P986063</t>
  </si>
  <si>
    <t>E1001321</t>
  </si>
  <si>
    <t>P139548</t>
  </si>
  <si>
    <t>E1001322</t>
  </si>
  <si>
    <t>P948866</t>
  </si>
  <si>
    <t>E1001323</t>
  </si>
  <si>
    <t>P167600</t>
  </si>
  <si>
    <t>E1001324</t>
  </si>
  <si>
    <t>P840585</t>
  </si>
  <si>
    <t>E1001325</t>
  </si>
  <si>
    <t>P125933</t>
  </si>
  <si>
    <t>E1001326</t>
  </si>
  <si>
    <t>P994487</t>
  </si>
  <si>
    <t>E1001327</t>
  </si>
  <si>
    <t>P464361</t>
  </si>
  <si>
    <t>E1001328</t>
  </si>
  <si>
    <t>P553666</t>
  </si>
  <si>
    <t>E1001329</t>
  </si>
  <si>
    <t>P423406</t>
  </si>
  <si>
    <t>E1001330</t>
  </si>
  <si>
    <t>P208890</t>
  </si>
  <si>
    <t>E1001331</t>
  </si>
  <si>
    <t>P517467</t>
  </si>
  <si>
    <t>E1001332</t>
  </si>
  <si>
    <t>P797094</t>
  </si>
  <si>
    <t>E1001333</t>
  </si>
  <si>
    <t>P280247</t>
  </si>
  <si>
    <t>E1001334</t>
  </si>
  <si>
    <t>P639889</t>
  </si>
  <si>
    <t>E1001335</t>
  </si>
  <si>
    <t>P771952</t>
  </si>
  <si>
    <t>E1001336</t>
  </si>
  <si>
    <t>P752724</t>
  </si>
  <si>
    <t>E1001337</t>
  </si>
  <si>
    <t>P675715</t>
  </si>
  <si>
    <t>E1001338</t>
  </si>
  <si>
    <t>P214672</t>
  </si>
  <si>
    <t>E1001339</t>
  </si>
  <si>
    <t>P515741</t>
  </si>
  <si>
    <t>E1001340</t>
  </si>
  <si>
    <t>P141290</t>
  </si>
  <si>
    <t>E1001341</t>
  </si>
  <si>
    <t>P688437</t>
  </si>
  <si>
    <t>E1001342</t>
  </si>
  <si>
    <t>P118893</t>
  </si>
  <si>
    <t>E1001343</t>
  </si>
  <si>
    <t>P510438</t>
  </si>
  <si>
    <t>E1001344</t>
  </si>
  <si>
    <t>P269922</t>
  </si>
  <si>
    <t>E1001345</t>
  </si>
  <si>
    <t>P114302</t>
  </si>
  <si>
    <t>E1001346</t>
  </si>
  <si>
    <t>P782841</t>
  </si>
  <si>
    <t>E1001347</t>
  </si>
  <si>
    <t>P592383</t>
  </si>
  <si>
    <t>E1001348</t>
  </si>
  <si>
    <t>P196491</t>
  </si>
  <si>
    <t>E1001349</t>
  </si>
  <si>
    <t>P811237</t>
  </si>
  <si>
    <t>E1001350</t>
  </si>
  <si>
    <t>P479466</t>
  </si>
  <si>
    <t>E1001351</t>
  </si>
  <si>
    <t>P787149</t>
  </si>
  <si>
    <t>E1001352</t>
  </si>
  <si>
    <t>P380670</t>
  </si>
  <si>
    <t>E1001353</t>
  </si>
  <si>
    <t>P549796</t>
  </si>
  <si>
    <t>E1001354</t>
  </si>
  <si>
    <t>P261750</t>
  </si>
  <si>
    <t>E1001355</t>
  </si>
  <si>
    <t>P738528</t>
  </si>
  <si>
    <t>E1001356</t>
  </si>
  <si>
    <t>P969396</t>
  </si>
  <si>
    <t>E1001357</t>
  </si>
  <si>
    <t>P928842</t>
  </si>
  <si>
    <t>E1001358</t>
  </si>
  <si>
    <t>P382213</t>
  </si>
  <si>
    <t>E1001359</t>
  </si>
  <si>
    <t>P895331</t>
  </si>
  <si>
    <t>E1001360</t>
  </si>
  <si>
    <t>P430020</t>
  </si>
  <si>
    <t>E1001361</t>
  </si>
  <si>
    <t>P166517</t>
  </si>
  <si>
    <t>E1001362</t>
  </si>
  <si>
    <t>P766921</t>
  </si>
  <si>
    <t>E1001363</t>
  </si>
  <si>
    <t>P246034</t>
  </si>
  <si>
    <t>E1001364</t>
  </si>
  <si>
    <t>P297227</t>
  </si>
  <si>
    <t>E1001365</t>
  </si>
  <si>
    <t>P274975</t>
  </si>
  <si>
    <t>E1001366</t>
  </si>
  <si>
    <t>P498777</t>
  </si>
  <si>
    <t>E1001367</t>
  </si>
  <si>
    <t>P654203</t>
  </si>
  <si>
    <t>E1001368</t>
  </si>
  <si>
    <t>P893351</t>
  </si>
  <si>
    <t>E1001369</t>
  </si>
  <si>
    <t>P797892</t>
  </si>
  <si>
    <t>E1001370</t>
  </si>
  <si>
    <t>P902023</t>
  </si>
  <si>
    <t>E1001371</t>
  </si>
  <si>
    <t>P503986</t>
  </si>
  <si>
    <t>E1001372</t>
  </si>
  <si>
    <t>P854074</t>
  </si>
  <si>
    <t>E1001373</t>
  </si>
  <si>
    <t>P130143</t>
  </si>
  <si>
    <t>E1001374</t>
  </si>
  <si>
    <t>P544487</t>
  </si>
  <si>
    <t>E1001375</t>
  </si>
  <si>
    <t>P177336</t>
  </si>
  <si>
    <t>E1001376</t>
  </si>
  <si>
    <t>P666076</t>
  </si>
  <si>
    <t>E1001377</t>
  </si>
  <si>
    <t>P394017</t>
  </si>
  <si>
    <t>E1001378</t>
  </si>
  <si>
    <t>P781797</t>
  </si>
  <si>
    <t>E1001379</t>
  </si>
  <si>
    <t>P251784</t>
  </si>
  <si>
    <t>E1001380</t>
  </si>
  <si>
    <t>P563012</t>
  </si>
  <si>
    <t>E1001381</t>
  </si>
  <si>
    <t>P884845</t>
  </si>
  <si>
    <t>E1001382</t>
  </si>
  <si>
    <t>P360813</t>
  </si>
  <si>
    <t>E1001383</t>
  </si>
  <si>
    <t>P997322</t>
  </si>
  <si>
    <t>E1001384</t>
  </si>
  <si>
    <t>P254221</t>
  </si>
  <si>
    <t>E1001385</t>
  </si>
  <si>
    <t>P573866</t>
  </si>
  <si>
    <t>E1001386</t>
  </si>
  <si>
    <t>P866670</t>
  </si>
  <si>
    <t>E1001387</t>
  </si>
  <si>
    <t>P179184</t>
  </si>
  <si>
    <t>E1001388</t>
  </si>
  <si>
    <t>P476422</t>
  </si>
  <si>
    <t>E1001389</t>
  </si>
  <si>
    <t>P876454</t>
  </si>
  <si>
    <t>E1001390</t>
  </si>
  <si>
    <t>P153601</t>
  </si>
  <si>
    <t>E1001391</t>
  </si>
  <si>
    <t>P618381</t>
  </si>
  <si>
    <t>E1001392</t>
  </si>
  <si>
    <t>P519184</t>
  </si>
  <si>
    <t>E1001393</t>
  </si>
  <si>
    <t>P918802</t>
  </si>
  <si>
    <t>E1001394</t>
  </si>
  <si>
    <t>P172149</t>
  </si>
  <si>
    <t>E1001395</t>
  </si>
  <si>
    <t>P568091</t>
  </si>
  <si>
    <t>E1001396</t>
  </si>
  <si>
    <t>P425587</t>
  </si>
  <si>
    <t>E1001397</t>
  </si>
  <si>
    <t>P282255</t>
  </si>
  <si>
    <t>E1001398</t>
  </si>
  <si>
    <t>P917611</t>
  </si>
  <si>
    <t>E1001399</t>
  </si>
  <si>
    <t>P729389</t>
  </si>
  <si>
    <t>E1001400</t>
  </si>
  <si>
    <t>P144817</t>
  </si>
  <si>
    <t>E1001401</t>
  </si>
  <si>
    <t>P554769</t>
  </si>
  <si>
    <t>E1001402</t>
  </si>
  <si>
    <t>P489351</t>
  </si>
  <si>
    <t>E1001403</t>
  </si>
  <si>
    <t>P540732</t>
  </si>
  <si>
    <t>E1001404</t>
  </si>
  <si>
    <t>P548566</t>
  </si>
  <si>
    <t>E1001405</t>
  </si>
  <si>
    <t>P987574</t>
  </si>
  <si>
    <t>E1001406</t>
  </si>
  <si>
    <t>P914073</t>
  </si>
  <si>
    <t>E1001407</t>
  </si>
  <si>
    <t>P601038</t>
  </si>
  <si>
    <t>E1001408</t>
  </si>
  <si>
    <t>P416592</t>
  </si>
  <si>
    <t>E1001409</t>
  </si>
  <si>
    <t>P215815</t>
  </si>
  <si>
    <t>E1001410</t>
  </si>
  <si>
    <t>P636198</t>
  </si>
  <si>
    <t>E1001411</t>
  </si>
  <si>
    <t>P982606</t>
  </si>
  <si>
    <t>E1001412</t>
  </si>
  <si>
    <t>P677981</t>
  </si>
  <si>
    <t>E1001413</t>
  </si>
  <si>
    <t>P771818</t>
  </si>
  <si>
    <t>E1001414</t>
  </si>
  <si>
    <t>P917327</t>
  </si>
  <si>
    <t>E1001415</t>
  </si>
  <si>
    <t>P333889</t>
  </si>
  <si>
    <t>E1001416</t>
  </si>
  <si>
    <t>P669603</t>
  </si>
  <si>
    <t>E1001417</t>
  </si>
  <si>
    <t>P219760</t>
  </si>
  <si>
    <t>E1001418</t>
  </si>
  <si>
    <t>P651362</t>
  </si>
  <si>
    <t>E1001419</t>
  </si>
  <si>
    <t>P570596</t>
  </si>
  <si>
    <t>E1001420</t>
  </si>
  <si>
    <t>P215740</t>
  </si>
  <si>
    <t>E1001421</t>
  </si>
  <si>
    <t>P660502</t>
  </si>
  <si>
    <t>E1001422</t>
  </si>
  <si>
    <t>P199313</t>
  </si>
  <si>
    <t>E1001423</t>
  </si>
  <si>
    <t>P881028</t>
  </si>
  <si>
    <t>E1001424</t>
  </si>
  <si>
    <t>P631750</t>
  </si>
  <si>
    <t>E1001425</t>
  </si>
  <si>
    <t>P156153</t>
  </si>
  <si>
    <t>E1001426</t>
  </si>
  <si>
    <t>P617736</t>
  </si>
  <si>
    <t>E1001427</t>
  </si>
  <si>
    <t>P941304</t>
  </si>
  <si>
    <t>E1001428</t>
  </si>
  <si>
    <t>P731296</t>
  </si>
  <si>
    <t>E1001429</t>
  </si>
  <si>
    <t>P627981</t>
  </si>
  <si>
    <t>E1001430</t>
  </si>
  <si>
    <t>P674786</t>
  </si>
  <si>
    <t>E1001431</t>
  </si>
  <si>
    <t>P914948</t>
  </si>
  <si>
    <t>E1001432</t>
  </si>
  <si>
    <t>P170012</t>
  </si>
  <si>
    <t>E1001433</t>
  </si>
  <si>
    <t>P291047</t>
  </si>
  <si>
    <t>E1001434</t>
  </si>
  <si>
    <t>P202412</t>
  </si>
  <si>
    <t>E1001435</t>
  </si>
  <si>
    <t>P732404</t>
  </si>
  <si>
    <t>E1001436</t>
  </si>
  <si>
    <t>P715664</t>
  </si>
  <si>
    <t>E1001437</t>
  </si>
  <si>
    <t>P760223</t>
  </si>
  <si>
    <t>E1001438</t>
  </si>
  <si>
    <t>P444585</t>
  </si>
  <si>
    <t>E1001439</t>
  </si>
  <si>
    <t>P593322</t>
  </si>
  <si>
    <t>E1001440</t>
  </si>
  <si>
    <t>P840658</t>
  </si>
  <si>
    <t>E1001441</t>
  </si>
  <si>
    <t>P650723</t>
  </si>
  <si>
    <t>E1001442</t>
  </si>
  <si>
    <t>P554955</t>
  </si>
  <si>
    <t>E1001443</t>
  </si>
  <si>
    <t>P276366</t>
  </si>
  <si>
    <t>E1001444</t>
  </si>
  <si>
    <t>P107678</t>
  </si>
  <si>
    <t>E1001445</t>
  </si>
  <si>
    <t>P452702</t>
  </si>
  <si>
    <t>E1001446</t>
  </si>
  <si>
    <t>P665341</t>
  </si>
  <si>
    <t>E1001447</t>
  </si>
  <si>
    <t>P197872</t>
  </si>
  <si>
    <t>E1001448</t>
  </si>
  <si>
    <t>P309331</t>
  </si>
  <si>
    <t>E1001449</t>
  </si>
  <si>
    <t>P282976</t>
  </si>
  <si>
    <t>E1001450</t>
  </si>
  <si>
    <t>P697528</t>
  </si>
  <si>
    <t>E1001451</t>
  </si>
  <si>
    <t>P755477</t>
  </si>
  <si>
    <t>E1001452</t>
  </si>
  <si>
    <t>P761573</t>
  </si>
  <si>
    <t>E1001453</t>
  </si>
  <si>
    <t>P300608</t>
  </si>
  <si>
    <t>E1001454</t>
  </si>
  <si>
    <t>P873406</t>
  </si>
  <si>
    <t>E1001455</t>
  </si>
  <si>
    <t>P361189</t>
  </si>
  <si>
    <t>E1001456</t>
  </si>
  <si>
    <t>P314121</t>
  </si>
  <si>
    <t>E1001457</t>
  </si>
  <si>
    <t>P491347</t>
  </si>
  <si>
    <t>E1001458</t>
  </si>
  <si>
    <t>P319707</t>
  </si>
  <si>
    <t>E1001459</t>
  </si>
  <si>
    <t>P941553</t>
  </si>
  <si>
    <t>E1001460</t>
  </si>
  <si>
    <t>P322577</t>
  </si>
  <si>
    <t>E1001461</t>
  </si>
  <si>
    <t>P717656</t>
  </si>
  <si>
    <t>E1001462</t>
  </si>
  <si>
    <t>P994804</t>
  </si>
  <si>
    <t>E1001463</t>
  </si>
  <si>
    <t>P184718</t>
  </si>
  <si>
    <t>E1001464</t>
  </si>
  <si>
    <t>P603772</t>
  </si>
  <si>
    <t>E1001465</t>
  </si>
  <si>
    <t>P819559</t>
  </si>
  <si>
    <t>E1001466</t>
  </si>
  <si>
    <t>P317566</t>
  </si>
  <si>
    <t>E1001467</t>
  </si>
  <si>
    <t>P439953</t>
  </si>
  <si>
    <t>E1001468</t>
  </si>
  <si>
    <t>P425967</t>
  </si>
  <si>
    <t>E1001469</t>
  </si>
  <si>
    <t>P971826</t>
  </si>
  <si>
    <t>E1001470</t>
  </si>
  <si>
    <t>P815641</t>
  </si>
  <si>
    <t>E1001471</t>
  </si>
  <si>
    <t>P639138</t>
  </si>
  <si>
    <t>E1001472</t>
  </si>
  <si>
    <t>P526984</t>
  </si>
  <si>
    <t>E1001473</t>
  </si>
  <si>
    <t>P855069</t>
  </si>
  <si>
    <t>E1001474</t>
  </si>
  <si>
    <t>P188142</t>
  </si>
  <si>
    <t>E1001475</t>
  </si>
  <si>
    <t>P613514</t>
  </si>
  <si>
    <t>E1001476</t>
  </si>
  <si>
    <t>P883661</t>
  </si>
  <si>
    <t>E1001477</t>
  </si>
  <si>
    <t>P633379</t>
  </si>
  <si>
    <t>E1001478</t>
  </si>
  <si>
    <t>P561105</t>
  </si>
  <si>
    <t>E1001479</t>
  </si>
  <si>
    <t>P474685</t>
  </si>
  <si>
    <t>E1001480</t>
  </si>
  <si>
    <t>P566088</t>
  </si>
  <si>
    <t>E1001481</t>
  </si>
  <si>
    <t>P377837</t>
  </si>
  <si>
    <t>E1001482</t>
  </si>
  <si>
    <t>P847490</t>
  </si>
  <si>
    <t>E1001483</t>
  </si>
  <si>
    <t>P889826</t>
  </si>
  <si>
    <t>E1001484</t>
  </si>
  <si>
    <t>P123621</t>
  </si>
  <si>
    <t>E1001485</t>
  </si>
  <si>
    <t>P309422</t>
  </si>
  <si>
    <t>E1001486</t>
  </si>
  <si>
    <t>P716940</t>
  </si>
  <si>
    <t>E1001487</t>
  </si>
  <si>
    <t>P861237</t>
  </si>
  <si>
    <t>E1001488</t>
  </si>
  <si>
    <t>P786496</t>
  </si>
  <si>
    <t>E1001489</t>
  </si>
  <si>
    <t>P761963</t>
  </si>
  <si>
    <t>E1001490</t>
  </si>
  <si>
    <t>P871345</t>
  </si>
  <si>
    <t>E1001491</t>
  </si>
  <si>
    <t>P720305</t>
  </si>
  <si>
    <t>E1001492</t>
  </si>
  <si>
    <t>P626786</t>
  </si>
  <si>
    <t>E1001493</t>
  </si>
  <si>
    <t>P593233</t>
  </si>
  <si>
    <t>E1001494</t>
  </si>
  <si>
    <t>P868687</t>
  </si>
  <si>
    <t>E1001495</t>
  </si>
  <si>
    <t>P490976</t>
  </si>
  <si>
    <t>E1001496</t>
  </si>
  <si>
    <t>P773084</t>
  </si>
  <si>
    <t>E1001497</t>
  </si>
  <si>
    <t>P294967</t>
  </si>
  <si>
    <t>E1001498</t>
  </si>
  <si>
    <t>P283223</t>
  </si>
  <si>
    <t>E1001499</t>
  </si>
  <si>
    <t>P133797</t>
  </si>
  <si>
    <t>E1001500</t>
  </si>
  <si>
    <t>P577319</t>
  </si>
  <si>
    <t>E1001501</t>
  </si>
  <si>
    <t>P882556</t>
  </si>
  <si>
    <t>E1001502</t>
  </si>
  <si>
    <t>P815085</t>
  </si>
  <si>
    <t>E1001503</t>
  </si>
  <si>
    <t>P180063</t>
  </si>
  <si>
    <t>E1001504</t>
  </si>
  <si>
    <t>P538732</t>
  </si>
  <si>
    <t>E1001505</t>
  </si>
  <si>
    <t>P482394</t>
  </si>
  <si>
    <t>E1001506</t>
  </si>
  <si>
    <t>P647896</t>
  </si>
  <si>
    <t>E1001507</t>
  </si>
  <si>
    <t>P461928</t>
  </si>
  <si>
    <t>E1001508</t>
  </si>
  <si>
    <t>P196154</t>
  </si>
  <si>
    <t>E1001509</t>
  </si>
  <si>
    <t>P298263</t>
  </si>
  <si>
    <t>E1001510</t>
  </si>
  <si>
    <t>P880730</t>
  </si>
  <si>
    <t>E1001511</t>
  </si>
  <si>
    <t>P302576</t>
  </si>
  <si>
    <t>E1001512</t>
  </si>
  <si>
    <t>P473668</t>
  </si>
  <si>
    <t>E1001513</t>
  </si>
  <si>
    <t>P947739</t>
  </si>
  <si>
    <t>E1001514</t>
  </si>
  <si>
    <t>P527050</t>
  </si>
  <si>
    <t>E1001515</t>
  </si>
  <si>
    <t>P877437</t>
  </si>
  <si>
    <t>E1001516</t>
  </si>
  <si>
    <t>P878025</t>
  </si>
  <si>
    <t>E1001517</t>
  </si>
  <si>
    <t>P186018</t>
  </si>
  <si>
    <t>E1001518</t>
  </si>
  <si>
    <t>P197814</t>
  </si>
  <si>
    <t>E1001519</t>
  </si>
  <si>
    <t>P229496</t>
  </si>
  <si>
    <t>E1001520</t>
  </si>
  <si>
    <t>P763559</t>
  </si>
  <si>
    <t>E1001521</t>
  </si>
  <si>
    <t>P253103</t>
  </si>
  <si>
    <t>E1001522</t>
  </si>
  <si>
    <t>P696328</t>
  </si>
  <si>
    <t>E1001523</t>
  </si>
  <si>
    <t>P151544</t>
  </si>
  <si>
    <t>E1001524</t>
  </si>
  <si>
    <t>P745592</t>
  </si>
  <si>
    <t>E1001525</t>
  </si>
  <si>
    <t>P450934</t>
  </si>
  <si>
    <t>E1001526</t>
  </si>
  <si>
    <t>P945166</t>
  </si>
  <si>
    <t>E1001527</t>
  </si>
  <si>
    <t>P600281</t>
  </si>
  <si>
    <t>E1001528</t>
  </si>
  <si>
    <t>P765388</t>
  </si>
  <si>
    <t>E1001529</t>
  </si>
  <si>
    <t>P507821</t>
  </si>
  <si>
    <t>E1001530</t>
  </si>
  <si>
    <t>P635246</t>
  </si>
  <si>
    <t>E1001531</t>
  </si>
  <si>
    <t>P177666</t>
  </si>
  <si>
    <t>E1001532</t>
  </si>
  <si>
    <t>P124148</t>
  </si>
  <si>
    <t>E1001533</t>
  </si>
  <si>
    <t>P390554</t>
  </si>
  <si>
    <t>E1001534</t>
  </si>
  <si>
    <t>P896842</t>
  </si>
  <si>
    <t>E1001535</t>
  </si>
  <si>
    <t>P697203</t>
  </si>
  <si>
    <t>E1001536</t>
  </si>
  <si>
    <t>P344694</t>
  </si>
  <si>
    <t>E1001537</t>
  </si>
  <si>
    <t>P159030</t>
  </si>
  <si>
    <t>E1001538</t>
  </si>
  <si>
    <t>P368275</t>
  </si>
  <si>
    <t>E1001539</t>
  </si>
  <si>
    <t>P498456</t>
  </si>
  <si>
    <t>E1001540</t>
  </si>
  <si>
    <t>P651065</t>
  </si>
  <si>
    <t>E1001541</t>
  </si>
  <si>
    <t>P143761</t>
  </si>
  <si>
    <t>E1001542</t>
  </si>
  <si>
    <t>P770185</t>
  </si>
  <si>
    <t>E1001543</t>
  </si>
  <si>
    <t>P869724</t>
  </si>
  <si>
    <t>E1001544</t>
  </si>
  <si>
    <t>P185103</t>
  </si>
  <si>
    <t>E1001545</t>
  </si>
  <si>
    <t>P612276</t>
  </si>
  <si>
    <t>E1001546</t>
  </si>
  <si>
    <t>P504510</t>
  </si>
  <si>
    <t>E1001547</t>
  </si>
  <si>
    <t>P748878</t>
  </si>
  <si>
    <t>E1001548</t>
  </si>
  <si>
    <t>P916473</t>
  </si>
  <si>
    <t>E1001549</t>
  </si>
  <si>
    <t>P108321</t>
  </si>
  <si>
    <t>E1001550</t>
  </si>
  <si>
    <t>P515238</t>
  </si>
  <si>
    <t>E1001551</t>
  </si>
  <si>
    <t>P251606</t>
  </si>
  <si>
    <t>E1001552</t>
  </si>
  <si>
    <t>P530136</t>
  </si>
  <si>
    <t>E1001553</t>
  </si>
  <si>
    <t>P630737</t>
  </si>
  <si>
    <t>E1001554</t>
  </si>
  <si>
    <t>P979236</t>
  </si>
  <si>
    <t>E1001555</t>
  </si>
  <si>
    <t>P609576</t>
  </si>
  <si>
    <t>E1001556</t>
  </si>
  <si>
    <t>P261733</t>
  </si>
  <si>
    <t>E1001557</t>
  </si>
  <si>
    <t>P150413</t>
  </si>
  <si>
    <t>E1001558</t>
  </si>
  <si>
    <t>P260596</t>
  </si>
  <si>
    <t>E1001559</t>
  </si>
  <si>
    <t>P474778</t>
  </si>
  <si>
    <t>E1001560</t>
  </si>
  <si>
    <t>P435571</t>
  </si>
  <si>
    <t>E1001561</t>
  </si>
  <si>
    <t>P488791</t>
  </si>
  <si>
    <t>E1001562</t>
  </si>
  <si>
    <t>P971565</t>
  </si>
  <si>
    <t>E1001563</t>
  </si>
  <si>
    <t>P488314</t>
  </si>
  <si>
    <t>E1001564</t>
  </si>
  <si>
    <t>P455523</t>
  </si>
  <si>
    <t>E1001565</t>
  </si>
  <si>
    <t>P452682</t>
  </si>
  <si>
    <t>E1001566</t>
  </si>
  <si>
    <t>P479212</t>
  </si>
  <si>
    <t>E1001567</t>
  </si>
  <si>
    <t>P663130</t>
  </si>
  <si>
    <t>E1001568</t>
  </si>
  <si>
    <t>P156380</t>
  </si>
  <si>
    <t>E1001569</t>
  </si>
  <si>
    <t>P586343</t>
  </si>
  <si>
    <t>E1001570</t>
  </si>
  <si>
    <t>P339826</t>
  </si>
  <si>
    <t>E1001571</t>
  </si>
  <si>
    <t>P281349</t>
  </si>
  <si>
    <t>E1001572</t>
  </si>
  <si>
    <t>P866749</t>
  </si>
  <si>
    <t>E1001573</t>
  </si>
  <si>
    <t>P797503</t>
  </si>
  <si>
    <t>E1001574</t>
  </si>
  <si>
    <t>P886302</t>
  </si>
  <si>
    <t>E1001575</t>
  </si>
  <si>
    <t>P528641</t>
  </si>
  <si>
    <t>E1001576</t>
  </si>
  <si>
    <t>P349913</t>
  </si>
  <si>
    <t>E1001577</t>
  </si>
  <si>
    <t>P519899</t>
  </si>
  <si>
    <t>E1001578</t>
  </si>
  <si>
    <t>P948672</t>
  </si>
  <si>
    <t>E1001579</t>
  </si>
  <si>
    <t>P643373</t>
  </si>
  <si>
    <t>E1001580</t>
  </si>
  <si>
    <t>P964703</t>
  </si>
  <si>
    <t>E1001581</t>
  </si>
  <si>
    <t>P559621</t>
  </si>
  <si>
    <t>E1001582</t>
  </si>
  <si>
    <t>P726400</t>
  </si>
  <si>
    <t>E1001583</t>
  </si>
  <si>
    <t>P706392</t>
  </si>
  <si>
    <t>E1001584</t>
  </si>
  <si>
    <t>P610454</t>
  </si>
  <si>
    <t>E1001585</t>
  </si>
  <si>
    <t>P160600</t>
  </si>
  <si>
    <t>E1001586</t>
  </si>
  <si>
    <t>P960118</t>
  </si>
  <si>
    <t>E1001587</t>
  </si>
  <si>
    <t>P272982</t>
  </si>
  <si>
    <t>E1001588</t>
  </si>
  <si>
    <t>P909386</t>
  </si>
  <si>
    <t>E1001589</t>
  </si>
  <si>
    <t>P578441</t>
  </si>
  <si>
    <t>E1001590</t>
  </si>
  <si>
    <t>P638618</t>
  </si>
  <si>
    <t>E1001591</t>
  </si>
  <si>
    <t>P841911</t>
  </si>
  <si>
    <t>E1001592</t>
  </si>
  <si>
    <t>P804872</t>
  </si>
  <si>
    <t>E1001593</t>
  </si>
  <si>
    <t>P944212</t>
  </si>
  <si>
    <t>E1001594</t>
  </si>
  <si>
    <t>P573437</t>
  </si>
  <si>
    <t>E1001595</t>
  </si>
  <si>
    <t>P819785</t>
  </si>
  <si>
    <t>E1001596</t>
  </si>
  <si>
    <t>P658181</t>
  </si>
  <si>
    <t>E1001597</t>
  </si>
  <si>
    <t>P316087</t>
  </si>
  <si>
    <t>E1001598</t>
  </si>
  <si>
    <t>P620780</t>
  </si>
  <si>
    <t>E1001599</t>
  </si>
  <si>
    <t>P355674</t>
  </si>
  <si>
    <t>E1001600</t>
  </si>
  <si>
    <t>P111972</t>
  </si>
  <si>
    <t>E1001601</t>
  </si>
  <si>
    <t>P793528</t>
  </si>
  <si>
    <t>E1001602</t>
  </si>
  <si>
    <t>P733025</t>
  </si>
  <si>
    <t>E1001603</t>
  </si>
  <si>
    <t>P623226</t>
  </si>
  <si>
    <t>E1001604</t>
  </si>
  <si>
    <t>P953459</t>
  </si>
  <si>
    <t>E1001605</t>
  </si>
  <si>
    <t>P369172</t>
  </si>
  <si>
    <t>E1001606</t>
  </si>
  <si>
    <t>P121425</t>
  </si>
  <si>
    <t>E1001607</t>
  </si>
  <si>
    <t>P953908</t>
  </si>
  <si>
    <t>E1001608</t>
  </si>
  <si>
    <t>P491919</t>
  </si>
  <si>
    <t>E1001609</t>
  </si>
  <si>
    <t>P111298</t>
  </si>
  <si>
    <t>E1001610</t>
  </si>
  <si>
    <t>P918894</t>
  </si>
  <si>
    <t>E1001611</t>
  </si>
  <si>
    <t>P634819</t>
  </si>
  <si>
    <t>E1001612</t>
  </si>
  <si>
    <t>P967755</t>
  </si>
  <si>
    <t>E1001613</t>
  </si>
  <si>
    <t>P992634</t>
  </si>
  <si>
    <t>E1001614</t>
  </si>
  <si>
    <t>P870079</t>
  </si>
  <si>
    <t>E1001615</t>
  </si>
  <si>
    <t>P699111</t>
  </si>
  <si>
    <t>E1001616</t>
  </si>
  <si>
    <t>P575839</t>
  </si>
  <si>
    <t>E1001617</t>
  </si>
  <si>
    <t>P624620</t>
  </si>
  <si>
    <t>E1001618</t>
  </si>
  <si>
    <t>P511209</t>
  </si>
  <si>
    <t>E1001619</t>
  </si>
  <si>
    <t>P220904</t>
  </si>
  <si>
    <t>E1001620</t>
  </si>
  <si>
    <t>P393407</t>
  </si>
  <si>
    <t>E1001621</t>
  </si>
  <si>
    <t>P897236</t>
  </si>
  <si>
    <t>E1001622</t>
  </si>
  <si>
    <t>P860526</t>
  </si>
  <si>
    <t>E1001623</t>
  </si>
  <si>
    <t>P145287</t>
  </si>
  <si>
    <t>E1001624</t>
  </si>
  <si>
    <t>P120482</t>
  </si>
  <si>
    <t>E1001625</t>
  </si>
  <si>
    <t>P477360</t>
  </si>
  <si>
    <t>E1001626</t>
  </si>
  <si>
    <t>P595616</t>
  </si>
  <si>
    <t>E1001627</t>
  </si>
  <si>
    <t>P257137</t>
  </si>
  <si>
    <t>E1001628</t>
  </si>
  <si>
    <t>P381399</t>
  </si>
  <si>
    <t>E1001629</t>
  </si>
  <si>
    <t>P877669</t>
  </si>
  <si>
    <t>E1001630</t>
  </si>
  <si>
    <t>P238639</t>
  </si>
  <si>
    <t>E1001631</t>
  </si>
  <si>
    <t>P560359</t>
  </si>
  <si>
    <t>E1001632</t>
  </si>
  <si>
    <t>P621144</t>
  </si>
  <si>
    <t>E1001633</t>
  </si>
  <si>
    <t>P680804</t>
  </si>
  <si>
    <t>E1001634</t>
  </si>
  <si>
    <t>P276082</t>
  </si>
  <si>
    <t>E1001635</t>
  </si>
  <si>
    <t>P326151</t>
  </si>
  <si>
    <t>E1001636</t>
  </si>
  <si>
    <t>P842096</t>
  </si>
  <si>
    <t>E1001637</t>
  </si>
  <si>
    <t>P438814</t>
  </si>
  <si>
    <t>E1001638</t>
  </si>
  <si>
    <t>P134609</t>
  </si>
  <si>
    <t>E1001639</t>
  </si>
  <si>
    <t>P222104</t>
  </si>
  <si>
    <t>E1001640</t>
  </si>
  <si>
    <t>P439721</t>
  </si>
  <si>
    <t>E1001641</t>
  </si>
  <si>
    <t>P677396</t>
  </si>
  <si>
    <t>E1001642</t>
  </si>
  <si>
    <t>P236379</t>
  </si>
  <si>
    <t>E1001643</t>
  </si>
  <si>
    <t>P441865</t>
  </si>
  <si>
    <t>E1001644</t>
  </si>
  <si>
    <t>P267226</t>
  </si>
  <si>
    <t>E1001645</t>
  </si>
  <si>
    <t>P935928</t>
  </si>
  <si>
    <t>E1001646</t>
  </si>
  <si>
    <t>P220434</t>
  </si>
  <si>
    <t>E1001647</t>
  </si>
  <si>
    <t>P143334</t>
  </si>
  <si>
    <t>E1001648</t>
  </si>
  <si>
    <t>P787953</t>
  </si>
  <si>
    <t>E1001649</t>
  </si>
  <si>
    <t>P655564</t>
  </si>
  <si>
    <t>E1001650</t>
  </si>
  <si>
    <t>P589126</t>
  </si>
  <si>
    <t>E1001651</t>
  </si>
  <si>
    <t>P389170</t>
  </si>
  <si>
    <t>E1001652</t>
  </si>
  <si>
    <t>P944113</t>
  </si>
  <si>
    <t>E1001653</t>
  </si>
  <si>
    <t>P326667</t>
  </si>
  <si>
    <t>E1001654</t>
  </si>
  <si>
    <t>P260986</t>
  </si>
  <si>
    <t>E1001655</t>
  </si>
  <si>
    <t>P107305</t>
  </si>
  <si>
    <t>E1001656</t>
  </si>
  <si>
    <t>P235399</t>
  </si>
  <si>
    <t>E1001657</t>
  </si>
  <si>
    <t>P839279</t>
  </si>
  <si>
    <t>E1001658</t>
  </si>
  <si>
    <t>P630077</t>
  </si>
  <si>
    <t>E1001659</t>
  </si>
  <si>
    <t>P941033</t>
  </si>
  <si>
    <t>E1001660</t>
  </si>
  <si>
    <t>P417408</t>
  </si>
  <si>
    <t>E1001661</t>
  </si>
  <si>
    <t>P266148</t>
  </si>
  <si>
    <t>E1001662</t>
  </si>
  <si>
    <t>P930184</t>
  </si>
  <si>
    <t>E1001663</t>
  </si>
  <si>
    <t>P411497</t>
  </si>
  <si>
    <t>E1001664</t>
  </si>
  <si>
    <t>P732921</t>
  </si>
  <si>
    <t>E1001665</t>
  </si>
  <si>
    <t>P809203</t>
  </si>
  <si>
    <t>E1001666</t>
  </si>
  <si>
    <t>P383336</t>
  </si>
  <si>
    <t>E1001667</t>
  </si>
  <si>
    <t>P756916</t>
  </si>
  <si>
    <t>E1001668</t>
  </si>
  <si>
    <t>P606387</t>
  </si>
  <si>
    <t>E1001669</t>
  </si>
  <si>
    <t>P917056</t>
  </si>
  <si>
    <t>E1001670</t>
  </si>
  <si>
    <t>P919871</t>
  </si>
  <si>
    <t>E1001671</t>
  </si>
  <si>
    <t>P255512</t>
  </si>
  <si>
    <t>E1001672</t>
  </si>
  <si>
    <t>P371187</t>
  </si>
  <si>
    <t>E1001673</t>
  </si>
  <si>
    <t>P740026</t>
  </si>
  <si>
    <t>E1001674</t>
  </si>
  <si>
    <t>P664872</t>
  </si>
  <si>
    <t>E1001675</t>
  </si>
  <si>
    <t>P935977</t>
  </si>
  <si>
    <t>E1001676</t>
  </si>
  <si>
    <t>P877785</t>
  </si>
  <si>
    <t>E1001677</t>
  </si>
  <si>
    <t>P250208</t>
  </si>
  <si>
    <t>E1001678</t>
  </si>
  <si>
    <t>P526329</t>
  </si>
  <si>
    <t>E1001679</t>
  </si>
  <si>
    <t>P839943</t>
  </si>
  <si>
    <t>E1001680</t>
  </si>
  <si>
    <t>P231010</t>
  </si>
  <si>
    <t>E1001681</t>
  </si>
  <si>
    <t>P950840</t>
  </si>
  <si>
    <t>E1001682</t>
  </si>
  <si>
    <t>P519687</t>
  </si>
  <si>
    <t>E1001683</t>
  </si>
  <si>
    <t>P685038</t>
  </si>
  <si>
    <t>E1001684</t>
  </si>
  <si>
    <t>P343734</t>
  </si>
  <si>
    <t>E1001685</t>
  </si>
  <si>
    <t>P259936</t>
  </si>
  <si>
    <t>E1001686</t>
  </si>
  <si>
    <t>P958712</t>
  </si>
  <si>
    <t>E1001687</t>
  </si>
  <si>
    <t>P519179</t>
  </si>
  <si>
    <t>E1001688</t>
  </si>
  <si>
    <t>P440017</t>
  </si>
  <si>
    <t>E1001689</t>
  </si>
  <si>
    <t>P512373</t>
  </si>
  <si>
    <t>E1001690</t>
  </si>
  <si>
    <t>P343867</t>
  </si>
  <si>
    <t>E1001691</t>
  </si>
  <si>
    <t>P466263</t>
  </si>
  <si>
    <t>E1001692</t>
  </si>
  <si>
    <t>P215422</t>
  </si>
  <si>
    <t>E1001693</t>
  </si>
  <si>
    <t>P282114</t>
  </si>
  <si>
    <t>E1001694</t>
  </si>
  <si>
    <t>P226169</t>
  </si>
  <si>
    <t>E1001695</t>
  </si>
  <si>
    <t>P553588</t>
  </si>
  <si>
    <t>E1001696</t>
  </si>
  <si>
    <t>P427848</t>
  </si>
  <si>
    <t>E1001697</t>
  </si>
  <si>
    <t>P800076</t>
  </si>
  <si>
    <t>E1001698</t>
  </si>
  <si>
    <t>P144074</t>
  </si>
  <si>
    <t>E1001699</t>
  </si>
  <si>
    <t>P990848</t>
  </si>
  <si>
    <t>E1001700</t>
  </si>
  <si>
    <t>P664078</t>
  </si>
  <si>
    <t>E1001701</t>
  </si>
  <si>
    <t>P219413</t>
  </si>
  <si>
    <t>E1001702</t>
  </si>
  <si>
    <t>P147968</t>
  </si>
  <si>
    <t>E1001703</t>
  </si>
  <si>
    <t>P498661</t>
  </si>
  <si>
    <t>E1001704</t>
  </si>
  <si>
    <t>P859171</t>
  </si>
  <si>
    <t>E1001705</t>
  </si>
  <si>
    <t>P540375</t>
  </si>
  <si>
    <t>E1001706</t>
  </si>
  <si>
    <t>P905984</t>
  </si>
  <si>
    <t>E1001707</t>
  </si>
  <si>
    <t>P675274</t>
  </si>
  <si>
    <t>E1001708</t>
  </si>
  <si>
    <t>P497324</t>
  </si>
  <si>
    <t>E1001709</t>
  </si>
  <si>
    <t>P188081</t>
  </si>
  <si>
    <t>E1001710</t>
  </si>
  <si>
    <t>P317294</t>
  </si>
  <si>
    <t>E1001711</t>
  </si>
  <si>
    <t>P117047</t>
  </si>
  <si>
    <t>E1001712</t>
  </si>
  <si>
    <t>P837679</t>
  </si>
  <si>
    <t>E1001713</t>
  </si>
  <si>
    <t>P720654</t>
  </si>
  <si>
    <t>E1001714</t>
  </si>
  <si>
    <t>P797079</t>
  </si>
  <si>
    <t>E1001715</t>
  </si>
  <si>
    <t>P718506</t>
  </si>
  <si>
    <t>E1001716</t>
  </si>
  <si>
    <t>P695621</t>
  </si>
  <si>
    <t>E1001717</t>
  </si>
  <si>
    <t>P495844</t>
  </si>
  <si>
    <t>E1001718</t>
  </si>
  <si>
    <t>P909969</t>
  </si>
  <si>
    <t>E1001719</t>
  </si>
  <si>
    <t>P744966</t>
  </si>
  <si>
    <t>E1001720</t>
  </si>
  <si>
    <t>P532827</t>
  </si>
  <si>
    <t>E1001721</t>
  </si>
  <si>
    <t>P476676</t>
  </si>
  <si>
    <t>E1001722</t>
  </si>
  <si>
    <t>P158391</t>
  </si>
  <si>
    <t>E1001723</t>
  </si>
  <si>
    <t>P500809</t>
  </si>
  <si>
    <t>E1001724</t>
  </si>
  <si>
    <t>P145591</t>
  </si>
  <si>
    <t>E1001725</t>
  </si>
  <si>
    <t>P844109</t>
  </si>
  <si>
    <t>E1001726</t>
  </si>
  <si>
    <t>P408189</t>
  </si>
  <si>
    <t>E1001727</t>
  </si>
  <si>
    <t>P596642</t>
  </si>
  <si>
    <t>E1001728</t>
  </si>
  <si>
    <t>P938068</t>
  </si>
  <si>
    <t>E1001729</t>
  </si>
  <si>
    <t>P356184</t>
  </si>
  <si>
    <t>E1001730</t>
  </si>
  <si>
    <t>P658905</t>
  </si>
  <si>
    <t>E1001731</t>
  </si>
  <si>
    <t>P926263</t>
  </si>
  <si>
    <t>E1001732</t>
  </si>
  <si>
    <t>P125697</t>
  </si>
  <si>
    <t>E1001733</t>
  </si>
  <si>
    <t>P430645</t>
  </si>
  <si>
    <t>E1001734</t>
  </si>
  <si>
    <t>P801581</t>
  </si>
  <si>
    <t>E1001735</t>
  </si>
  <si>
    <t>P307622</t>
  </si>
  <si>
    <t>E1001736</t>
  </si>
  <si>
    <t>P342699</t>
  </si>
  <si>
    <t>E1001737</t>
  </si>
  <si>
    <t>P534184</t>
  </si>
  <si>
    <t>E1001738</t>
  </si>
  <si>
    <t>P323011</t>
  </si>
  <si>
    <t>E1001739</t>
  </si>
  <si>
    <t>P231222</t>
  </si>
  <si>
    <t>E1001740</t>
  </si>
  <si>
    <t>P325228</t>
  </si>
  <si>
    <t>E1001741</t>
  </si>
  <si>
    <t>P571625</t>
  </si>
  <si>
    <t>E1001742</t>
  </si>
  <si>
    <t>P402965</t>
  </si>
  <si>
    <t>E1001743</t>
  </si>
  <si>
    <t>P547351</t>
  </si>
  <si>
    <t>E1001744</t>
  </si>
  <si>
    <t>P515841</t>
  </si>
  <si>
    <t>E1001745</t>
  </si>
  <si>
    <t>P448428</t>
  </si>
  <si>
    <t>E1001746</t>
  </si>
  <si>
    <t>P562225</t>
  </si>
  <si>
    <t>E1001747</t>
  </si>
  <si>
    <t>P719647</t>
  </si>
  <si>
    <t>E1001748</t>
  </si>
  <si>
    <t>P126584</t>
  </si>
  <si>
    <t>E1001749</t>
  </si>
  <si>
    <t>P424998</t>
  </si>
  <si>
    <t>E1001750</t>
  </si>
  <si>
    <t>P216022</t>
  </si>
  <si>
    <t>E1001751</t>
  </si>
  <si>
    <t>P278489</t>
  </si>
  <si>
    <t>E1001752</t>
  </si>
  <si>
    <t>P543415</t>
  </si>
  <si>
    <t>E1001753</t>
  </si>
  <si>
    <t>P339926</t>
  </si>
  <si>
    <t>E1001754</t>
  </si>
  <si>
    <t>P893909</t>
  </si>
  <si>
    <t>E1001755</t>
  </si>
  <si>
    <t>P504663</t>
  </si>
  <si>
    <t>E1001756</t>
  </si>
  <si>
    <t>P418178</t>
  </si>
  <si>
    <t>E1001757</t>
  </si>
  <si>
    <t>P951220</t>
  </si>
  <si>
    <t>E1001758</t>
  </si>
  <si>
    <t>P790857</t>
  </si>
  <si>
    <t>E1001759</t>
  </si>
  <si>
    <t>P310510</t>
  </si>
  <si>
    <t>E1001760</t>
  </si>
  <si>
    <t>P551329</t>
  </si>
  <si>
    <t>E1001761</t>
  </si>
  <si>
    <t>P224195</t>
  </si>
  <si>
    <t>E1001762</t>
  </si>
  <si>
    <t>P297109</t>
  </si>
  <si>
    <t>E1001763</t>
  </si>
  <si>
    <t>P569615</t>
  </si>
  <si>
    <t>E1001764</t>
  </si>
  <si>
    <t>P348865</t>
  </si>
  <si>
    <t>E1001765</t>
  </si>
  <si>
    <t>P883667</t>
  </si>
  <si>
    <t>E1001766</t>
  </si>
  <si>
    <t>P282069</t>
  </si>
  <si>
    <t>E1001767</t>
  </si>
  <si>
    <t>P544735</t>
  </si>
  <si>
    <t>E1001768</t>
  </si>
  <si>
    <t>P185879</t>
  </si>
  <si>
    <t>E1001769</t>
  </si>
  <si>
    <t>P900882</t>
  </si>
  <si>
    <t>E1001770</t>
  </si>
  <si>
    <t>P306194</t>
  </si>
  <si>
    <t>E1001771</t>
  </si>
  <si>
    <t>P809119</t>
  </si>
  <si>
    <t>E1001772</t>
  </si>
  <si>
    <t>P232587</t>
  </si>
  <si>
    <t>E1001773</t>
  </si>
  <si>
    <t>P651833</t>
  </si>
  <si>
    <t>E1001774</t>
  </si>
  <si>
    <t>P533544</t>
  </si>
  <si>
    <t>E1001775</t>
  </si>
  <si>
    <t>P739095</t>
  </si>
  <si>
    <t>E1001776</t>
  </si>
  <si>
    <t>P919517</t>
  </si>
  <si>
    <t>E1001777</t>
  </si>
  <si>
    <t>P256431</t>
  </si>
  <si>
    <t>E1001778</t>
  </si>
  <si>
    <t>P352077</t>
  </si>
  <si>
    <t>E1001779</t>
  </si>
  <si>
    <t>P744770</t>
  </si>
  <si>
    <t>E1001780</t>
  </si>
  <si>
    <t>P218453</t>
  </si>
  <si>
    <t>E1001781</t>
  </si>
  <si>
    <t>P125712</t>
  </si>
  <si>
    <t>E1001782</t>
  </si>
  <si>
    <t>P919708</t>
  </si>
  <si>
    <t>E1001783</t>
  </si>
  <si>
    <t>P154662</t>
  </si>
  <si>
    <t>E1001784</t>
  </si>
  <si>
    <t>P346814</t>
  </si>
  <si>
    <t>E1001785</t>
  </si>
  <si>
    <t>P326874</t>
  </si>
  <si>
    <t>E1001786</t>
  </si>
  <si>
    <t>P718069</t>
  </si>
  <si>
    <t>E1001787</t>
  </si>
  <si>
    <t>P431189</t>
  </si>
  <si>
    <t>E1001788</t>
  </si>
  <si>
    <t>P177060</t>
  </si>
  <si>
    <t>E1001789</t>
  </si>
  <si>
    <t>P546375</t>
  </si>
  <si>
    <t>E1001790</t>
  </si>
  <si>
    <t>P682600</t>
  </si>
  <si>
    <t>E1001791</t>
  </si>
  <si>
    <t>P517252</t>
  </si>
  <si>
    <t>E1001792</t>
  </si>
  <si>
    <t>P588990</t>
  </si>
  <si>
    <t>E1001793</t>
  </si>
  <si>
    <t>P187267</t>
  </si>
  <si>
    <t>E1001794</t>
  </si>
  <si>
    <t>P292824</t>
  </si>
  <si>
    <t>E1001795</t>
  </si>
  <si>
    <t>P244416</t>
  </si>
  <si>
    <t>E1001796</t>
  </si>
  <si>
    <t>P550763</t>
  </si>
  <si>
    <t>E1001797</t>
  </si>
  <si>
    <t>P443133</t>
  </si>
  <si>
    <t>E1001798</t>
  </si>
  <si>
    <t>P748484</t>
  </si>
  <si>
    <t>E1001799</t>
  </si>
  <si>
    <t>P318094</t>
  </si>
  <si>
    <t>E1001800</t>
  </si>
  <si>
    <t>P437891</t>
  </si>
  <si>
    <t>E1001801</t>
  </si>
  <si>
    <t>P959071</t>
  </si>
  <si>
    <t>E1001802</t>
  </si>
  <si>
    <t>P131599</t>
  </si>
  <si>
    <t>E1001803</t>
  </si>
  <si>
    <t>P741955</t>
  </si>
  <si>
    <t>E1001804</t>
  </si>
  <si>
    <t>P391974</t>
  </si>
  <si>
    <t>E1001805</t>
  </si>
  <si>
    <t>P104492</t>
  </si>
  <si>
    <t>E1001806</t>
  </si>
  <si>
    <t>P199597</t>
  </si>
  <si>
    <t>E1001807</t>
  </si>
  <si>
    <t>P224796</t>
  </si>
  <si>
    <t>E1001808</t>
  </si>
  <si>
    <t>P910377</t>
  </si>
  <si>
    <t>E1001809</t>
  </si>
  <si>
    <t>P931712</t>
  </si>
  <si>
    <t>E1001810</t>
  </si>
  <si>
    <t>P384178</t>
  </si>
  <si>
    <t>E1001811</t>
  </si>
  <si>
    <t>P148992</t>
  </si>
  <si>
    <t>E1001812</t>
  </si>
  <si>
    <t>P819137</t>
  </si>
  <si>
    <t>E1001813</t>
  </si>
  <si>
    <t>P657343</t>
  </si>
  <si>
    <t>E1001814</t>
  </si>
  <si>
    <t>P107332</t>
  </si>
  <si>
    <t>E1001815</t>
  </si>
  <si>
    <t>P330881</t>
  </si>
  <si>
    <t>E1001816</t>
  </si>
  <si>
    <t>P147390</t>
  </si>
  <si>
    <t>E1001817</t>
  </si>
  <si>
    <t>P728709</t>
  </si>
  <si>
    <t>E1001818</t>
  </si>
  <si>
    <t>P843064</t>
  </si>
  <si>
    <t>E1001819</t>
  </si>
  <si>
    <t>P100589</t>
  </si>
  <si>
    <t>E1001820</t>
  </si>
  <si>
    <t>P465565</t>
  </si>
  <si>
    <t>E1001821</t>
  </si>
  <si>
    <t>P163740</t>
  </si>
  <si>
    <t>E1001822</t>
  </si>
  <si>
    <t>P766495</t>
  </si>
  <si>
    <t>E1001823</t>
  </si>
  <si>
    <t>P866008</t>
  </si>
  <si>
    <t>E1001824</t>
  </si>
  <si>
    <t>P921187</t>
  </si>
  <si>
    <t>E1001825</t>
  </si>
  <si>
    <t>P638301</t>
  </si>
  <si>
    <t>E1001826</t>
  </si>
  <si>
    <t>P913634</t>
  </si>
  <si>
    <t>E1001827</t>
  </si>
  <si>
    <t>P593107</t>
  </si>
  <si>
    <t>E1001828</t>
  </si>
  <si>
    <t>P427819</t>
  </si>
  <si>
    <t>E1001829</t>
  </si>
  <si>
    <t>P573850</t>
  </si>
  <si>
    <t>E1001830</t>
  </si>
  <si>
    <t>P398644</t>
  </si>
  <si>
    <t>E1001831</t>
  </si>
  <si>
    <t>P371702</t>
  </si>
  <si>
    <t>E1001832</t>
  </si>
  <si>
    <t>P767765</t>
  </si>
  <si>
    <t>E1001833</t>
  </si>
  <si>
    <t>P804570</t>
  </si>
  <si>
    <t>E1001834</t>
  </si>
  <si>
    <t>P421475</t>
  </si>
  <si>
    <t>E1001835</t>
  </si>
  <si>
    <t>P198481</t>
  </si>
  <si>
    <t>E1001836</t>
  </si>
  <si>
    <t>P328497</t>
  </si>
  <si>
    <t>E1001837</t>
  </si>
  <si>
    <t>P716424</t>
  </si>
  <si>
    <t>E1001838</t>
  </si>
  <si>
    <t>P961259</t>
  </si>
  <si>
    <t>E1001839</t>
  </si>
  <si>
    <t>P572373</t>
  </si>
  <si>
    <t>E1001840</t>
  </si>
  <si>
    <t>P406204</t>
  </si>
  <si>
    <t>E1001841</t>
  </si>
  <si>
    <t>P573415</t>
  </si>
  <si>
    <t>E1001842</t>
  </si>
  <si>
    <t>P424186</t>
  </si>
  <si>
    <t>E1001843</t>
  </si>
  <si>
    <t>P691101</t>
  </si>
  <si>
    <t>E1001844</t>
  </si>
  <si>
    <t>P558856</t>
  </si>
  <si>
    <t>E1001845</t>
  </si>
  <si>
    <t>P397044</t>
  </si>
  <si>
    <t>E1001846</t>
  </si>
  <si>
    <t>P708837</t>
  </si>
  <si>
    <t>E1001847</t>
  </si>
  <si>
    <t>P735138</t>
  </si>
  <si>
    <t>E1001848</t>
  </si>
  <si>
    <t>P164714</t>
  </si>
  <si>
    <t>E1001849</t>
  </si>
  <si>
    <t>P855889</t>
  </si>
  <si>
    <t>E1001850</t>
  </si>
  <si>
    <t>P565696</t>
  </si>
  <si>
    <t>E1001851</t>
  </si>
  <si>
    <t>P584680</t>
  </si>
  <si>
    <t>E1001852</t>
  </si>
  <si>
    <t>P365133</t>
  </si>
  <si>
    <t>E1001853</t>
  </si>
  <si>
    <t>P863484</t>
  </si>
  <si>
    <t>E1001854</t>
  </si>
  <si>
    <t>P496282</t>
  </si>
  <si>
    <t>E1001855</t>
  </si>
  <si>
    <t>P189170</t>
  </si>
  <si>
    <t>E1001856</t>
  </si>
  <si>
    <t>P635725</t>
  </si>
  <si>
    <t>E1001857</t>
  </si>
  <si>
    <t>P686845</t>
  </si>
  <si>
    <t>E1001858</t>
  </si>
  <si>
    <t>P302915</t>
  </si>
  <si>
    <t>E1001859</t>
  </si>
  <si>
    <t>P405278</t>
  </si>
  <si>
    <t>E1001860</t>
  </si>
  <si>
    <t>P985671</t>
  </si>
  <si>
    <t>E1001861</t>
  </si>
  <si>
    <t>P758114</t>
  </si>
  <si>
    <t>E1001862</t>
  </si>
  <si>
    <t>P362781</t>
  </si>
  <si>
    <t>E1001863</t>
  </si>
  <si>
    <t>P433531</t>
  </si>
  <si>
    <t>E1001864</t>
  </si>
  <si>
    <t>P575802</t>
  </si>
  <si>
    <t>E1001865</t>
  </si>
  <si>
    <t>P520535</t>
  </si>
  <si>
    <t>E1001866</t>
  </si>
  <si>
    <t>P178152</t>
  </si>
  <si>
    <t>E1001867</t>
  </si>
  <si>
    <t>P933511</t>
  </si>
  <si>
    <t>E1001868</t>
  </si>
  <si>
    <t>P251356</t>
  </si>
  <si>
    <t>E1001869</t>
  </si>
  <si>
    <t>P817972</t>
  </si>
  <si>
    <t>E1001870</t>
  </si>
  <si>
    <t>P733266</t>
  </si>
  <si>
    <t>E1001871</t>
  </si>
  <si>
    <t>P224256</t>
  </si>
  <si>
    <t>E1001872</t>
  </si>
  <si>
    <t>P602832</t>
  </si>
  <si>
    <t>E1001873</t>
  </si>
  <si>
    <t>P545276</t>
  </si>
  <si>
    <t>E1001874</t>
  </si>
  <si>
    <t>P532310</t>
  </si>
  <si>
    <t>E1001875</t>
  </si>
  <si>
    <t>P591763</t>
  </si>
  <si>
    <t>E1001876</t>
  </si>
  <si>
    <t>P255815</t>
  </si>
  <si>
    <t>E1001877</t>
  </si>
  <si>
    <t>P112535</t>
  </si>
  <si>
    <t>E1001878</t>
  </si>
  <si>
    <t>P779919</t>
  </si>
  <si>
    <t>E1001879</t>
  </si>
  <si>
    <t>P573227</t>
  </si>
  <si>
    <t>E1001880</t>
  </si>
  <si>
    <t>P370443</t>
  </si>
  <si>
    <t>E1001881</t>
  </si>
  <si>
    <t>P931882</t>
  </si>
  <si>
    <t>E1001882</t>
  </si>
  <si>
    <t>P904625</t>
  </si>
  <si>
    <t>E1001883</t>
  </si>
  <si>
    <t>P737455</t>
  </si>
  <si>
    <t>E1001884</t>
  </si>
  <si>
    <t>P435786</t>
  </si>
  <si>
    <t>E1001885</t>
  </si>
  <si>
    <t>P148681</t>
  </si>
  <si>
    <t>E1001886</t>
  </si>
  <si>
    <t>P388392</t>
  </si>
  <si>
    <t>E1001887</t>
  </si>
  <si>
    <t>P397000</t>
  </si>
  <si>
    <t>E1001888</t>
  </si>
  <si>
    <t>P684938</t>
  </si>
  <si>
    <t>E1001889</t>
  </si>
  <si>
    <t>P872420</t>
  </si>
  <si>
    <t>E1001890</t>
  </si>
  <si>
    <t>P174260</t>
  </si>
  <si>
    <t>E1001891</t>
  </si>
  <si>
    <t>P966913</t>
  </si>
  <si>
    <t>E1001892</t>
  </si>
  <si>
    <t>P826851</t>
  </si>
  <si>
    <t>E1001893</t>
  </si>
  <si>
    <t>P462980</t>
  </si>
  <si>
    <t>E1001894</t>
  </si>
  <si>
    <t>P962596</t>
  </si>
  <si>
    <t>E1001895</t>
  </si>
  <si>
    <t>P593334</t>
  </si>
  <si>
    <t>E1001896</t>
  </si>
  <si>
    <t>P712236</t>
  </si>
  <si>
    <t>E1001897</t>
  </si>
  <si>
    <t>P182336</t>
  </si>
  <si>
    <t>E1001898</t>
  </si>
  <si>
    <t>P544410</t>
  </si>
  <si>
    <t>E1001899</t>
  </si>
  <si>
    <t>P446704</t>
  </si>
  <si>
    <t>E1001900</t>
  </si>
  <si>
    <t>P104478</t>
  </si>
  <si>
    <t>E1001901</t>
  </si>
  <si>
    <t>P556093</t>
  </si>
  <si>
    <t>E1001902</t>
  </si>
  <si>
    <t>P361300</t>
  </si>
  <si>
    <t>E1001903</t>
  </si>
  <si>
    <t>P601761</t>
  </si>
  <si>
    <t>E1001904</t>
  </si>
  <si>
    <t>P942339</t>
  </si>
  <si>
    <t>E1001905</t>
  </si>
  <si>
    <t>P129593</t>
  </si>
  <si>
    <t>E1001906</t>
  </si>
  <si>
    <t>P237698</t>
  </si>
  <si>
    <t>E1001907</t>
  </si>
  <si>
    <t>P850228</t>
  </si>
  <si>
    <t>E1001908</t>
  </si>
  <si>
    <t>P165669</t>
  </si>
  <si>
    <t>E1001909</t>
  </si>
  <si>
    <t>P684686</t>
  </si>
  <si>
    <t>E1001910</t>
  </si>
  <si>
    <t>P447423</t>
  </si>
  <si>
    <t>E1001911</t>
  </si>
  <si>
    <t>P273274</t>
  </si>
  <si>
    <t>E1001912</t>
  </si>
  <si>
    <t>P712368</t>
  </si>
  <si>
    <t>E1001913</t>
  </si>
  <si>
    <t>P284133</t>
  </si>
  <si>
    <t>E1001914</t>
  </si>
  <si>
    <t>P354320</t>
  </si>
  <si>
    <t>E1001915</t>
  </si>
  <si>
    <t>P195599</t>
  </si>
  <si>
    <t>E1001916</t>
  </si>
  <si>
    <t>P500173</t>
  </si>
  <si>
    <t>E1001917</t>
  </si>
  <si>
    <t>P548240</t>
  </si>
  <si>
    <t>E1001918</t>
  </si>
  <si>
    <t>P497115</t>
  </si>
  <si>
    <t>E1001919</t>
  </si>
  <si>
    <t>P971536</t>
  </si>
  <si>
    <t>E1001920</t>
  </si>
  <si>
    <t>P378879</t>
  </si>
  <si>
    <t>E1001921</t>
  </si>
  <si>
    <t>P781966</t>
  </si>
  <si>
    <t>E1001922</t>
  </si>
  <si>
    <t>P473767</t>
  </si>
  <si>
    <t>E1001923</t>
  </si>
  <si>
    <t>P801700</t>
  </si>
  <si>
    <t>E1001924</t>
  </si>
  <si>
    <t>P926969</t>
  </si>
  <si>
    <t>E1001925</t>
  </si>
  <si>
    <t>P861733</t>
  </si>
  <si>
    <t>E1001926</t>
  </si>
  <si>
    <t>P407412</t>
  </si>
  <si>
    <t>E1001927</t>
  </si>
  <si>
    <t>P541792</t>
  </si>
  <si>
    <t>E1001928</t>
  </si>
  <si>
    <t>P110652</t>
  </si>
  <si>
    <t>E1001929</t>
  </si>
  <si>
    <t>P317295</t>
  </si>
  <si>
    <t>E1001930</t>
  </si>
  <si>
    <t>P587844</t>
  </si>
  <si>
    <t>E1001931</t>
  </si>
  <si>
    <t>P710988</t>
  </si>
  <si>
    <t>E1001932</t>
  </si>
  <si>
    <t>P682125</t>
  </si>
  <si>
    <t>E1001933</t>
  </si>
  <si>
    <t>P827511</t>
  </si>
  <si>
    <t>E1001934</t>
  </si>
  <si>
    <t>P676427</t>
  </si>
  <si>
    <t>E1001935</t>
  </si>
  <si>
    <t>P316747</t>
  </si>
  <si>
    <t>E1001936</t>
  </si>
  <si>
    <t>P904201</t>
  </si>
  <si>
    <t>E1001937</t>
  </si>
  <si>
    <t>P830687</t>
  </si>
  <si>
    <t>E1001938</t>
  </si>
  <si>
    <t>P126652</t>
  </si>
  <si>
    <t>E1001939</t>
  </si>
  <si>
    <t>P638911</t>
  </si>
  <si>
    <t>E1001940</t>
  </si>
  <si>
    <t>P994687</t>
  </si>
  <si>
    <t>E1001941</t>
  </si>
  <si>
    <t>P200957</t>
  </si>
  <si>
    <t>E1001942</t>
  </si>
  <si>
    <t>P410222</t>
  </si>
  <si>
    <t>E1001943</t>
  </si>
  <si>
    <t>P585731</t>
  </si>
  <si>
    <t>E1001944</t>
  </si>
  <si>
    <t>P196009</t>
  </si>
  <si>
    <t>E1001945</t>
  </si>
  <si>
    <t>P344896</t>
  </si>
  <si>
    <t>E1001946</t>
  </si>
  <si>
    <t>P479267</t>
  </si>
  <si>
    <t>E1001947</t>
  </si>
  <si>
    <t>P737305</t>
  </si>
  <si>
    <t>E1001948</t>
  </si>
  <si>
    <t>P190538</t>
  </si>
  <si>
    <t>E1001949</t>
  </si>
  <si>
    <t>P844543</t>
  </si>
  <si>
    <t>E1001950</t>
  </si>
  <si>
    <t>P191419</t>
  </si>
  <si>
    <t>E1001951</t>
  </si>
  <si>
    <t>P842129</t>
  </si>
  <si>
    <t>E1001952</t>
  </si>
  <si>
    <t>P748092</t>
  </si>
  <si>
    <t>E1001953</t>
  </si>
  <si>
    <t>P265447</t>
  </si>
  <si>
    <t>E1001954</t>
  </si>
  <si>
    <t>P511623</t>
  </si>
  <si>
    <t>E1001955</t>
  </si>
  <si>
    <t>P518059</t>
  </si>
  <si>
    <t>E1001956</t>
  </si>
  <si>
    <t>P328227</t>
  </si>
  <si>
    <t>E1001957</t>
  </si>
  <si>
    <t>P952639</t>
  </si>
  <si>
    <t>E1001958</t>
  </si>
  <si>
    <t>P721211</t>
  </si>
  <si>
    <t>E1001959</t>
  </si>
  <si>
    <t>P461698</t>
  </si>
  <si>
    <t>E1001960</t>
  </si>
  <si>
    <t>P581537</t>
  </si>
  <si>
    <t>E1001961</t>
  </si>
  <si>
    <t>P975821</t>
  </si>
  <si>
    <t>E1001962</t>
  </si>
  <si>
    <t>P891720</t>
  </si>
  <si>
    <t>E1001963</t>
  </si>
  <si>
    <t>P584082</t>
  </si>
  <si>
    <t>E1001964</t>
  </si>
  <si>
    <t>P357492</t>
  </si>
  <si>
    <t>E1001965</t>
  </si>
  <si>
    <t>P433736</t>
  </si>
  <si>
    <t>E1001966</t>
  </si>
  <si>
    <t>P686608</t>
  </si>
  <si>
    <t>E1001967</t>
  </si>
  <si>
    <t>P916123</t>
  </si>
  <si>
    <t>E1001968</t>
  </si>
  <si>
    <t>P728913</t>
  </si>
  <si>
    <t>E1001969</t>
  </si>
  <si>
    <t>P248240</t>
  </si>
  <si>
    <t>E1001970</t>
  </si>
  <si>
    <t>P704093</t>
  </si>
  <si>
    <t>E1001971</t>
  </si>
  <si>
    <t>P669021</t>
  </si>
  <si>
    <t>E1001972</t>
  </si>
  <si>
    <t>P657726</t>
  </si>
  <si>
    <t>E1001973</t>
  </si>
  <si>
    <t>P533371</t>
  </si>
  <si>
    <t>E1001974</t>
  </si>
  <si>
    <t>P903968</t>
  </si>
  <si>
    <t>E1001975</t>
  </si>
  <si>
    <t>P703022</t>
  </si>
  <si>
    <t>E1001976</t>
  </si>
  <si>
    <t>P885694</t>
  </si>
  <si>
    <t>E1001977</t>
  </si>
  <si>
    <t>P837198</t>
  </si>
  <si>
    <t>E1001978</t>
  </si>
  <si>
    <t>P307873</t>
  </si>
  <si>
    <t>E1001979</t>
  </si>
  <si>
    <t>P843731</t>
  </si>
  <si>
    <t>E1001980</t>
  </si>
  <si>
    <t>P990548</t>
  </si>
  <si>
    <t>E1001981</t>
  </si>
  <si>
    <t>P988772</t>
  </si>
  <si>
    <t>E1001982</t>
  </si>
  <si>
    <t>P774788</t>
  </si>
  <si>
    <t>E1001983</t>
  </si>
  <si>
    <t>P820360</t>
  </si>
  <si>
    <t>E1001984</t>
  </si>
  <si>
    <t>P343011</t>
  </si>
  <si>
    <t>E1001985</t>
  </si>
  <si>
    <t>P303086</t>
  </si>
  <si>
    <t>E1001986</t>
  </si>
  <si>
    <t>P173015</t>
  </si>
  <si>
    <t>E1001987</t>
  </si>
  <si>
    <t>P758888</t>
  </si>
  <si>
    <t>E1001988</t>
  </si>
  <si>
    <t>P824594</t>
  </si>
  <si>
    <t>E1001989</t>
  </si>
  <si>
    <t>P230142</t>
  </si>
  <si>
    <t>E1001990</t>
  </si>
  <si>
    <t>P445299</t>
  </si>
  <si>
    <t>E1001991</t>
  </si>
  <si>
    <t>P624801</t>
  </si>
  <si>
    <t>E1001992</t>
  </si>
  <si>
    <t>P420898</t>
  </si>
  <si>
    <t>E1001993</t>
  </si>
  <si>
    <t>P955758</t>
  </si>
  <si>
    <t>E1001994</t>
  </si>
  <si>
    <t>P195521</t>
  </si>
  <si>
    <t>E1001995</t>
  </si>
  <si>
    <t>P454251</t>
  </si>
  <si>
    <t>E1001996</t>
  </si>
  <si>
    <t>P194227</t>
  </si>
  <si>
    <t>E1001997</t>
  </si>
  <si>
    <t>P311805</t>
  </si>
  <si>
    <t>E1001998</t>
  </si>
  <si>
    <t>P230751</t>
  </si>
  <si>
    <t>E1001999</t>
  </si>
  <si>
    <t>P458247</t>
  </si>
  <si>
    <t>Industry Median (DTC Jewelry/Beauty)</t>
  </si>
  <si>
    <t>Good</t>
  </si>
  <si>
    <t>Great</t>
  </si>
  <si>
    <t>Notes</t>
  </si>
  <si>
    <t>Open Rate (Campaign)</t>
  </si>
  <si>
    <t>Post iOS MPP inflated; use trend-over-time</t>
  </si>
  <si>
    <t>Click Rate (Campaign)</t>
  </si>
  <si>
    <t>% of delivered</t>
  </si>
  <si>
    <t>CTOR (Campaign)</t>
  </si>
  <si>
    <t>Clicks / Unique Opens</t>
  </si>
  <si>
    <t>Conversion Rate (Campaign)</t>
  </si>
  <si>
    <t>RPR (Campaign)</t>
  </si>
  <si>
    <t>Revenue per recipient</t>
  </si>
  <si>
    <t>Unsub Rate (Campaign)</t>
  </si>
  <si>
    <t>Lower is better</t>
  </si>
  <si>
    <t>Spam Rate (Campaign)</t>
  </si>
  <si>
    <t>Lower is better; &gt;0.1% = deliverability issue</t>
  </si>
  <si>
    <t>Below 97% = list hygiene issue</t>
  </si>
  <si>
    <t>Welcome Flow Conv Rate</t>
  </si>
  <si>
    <t>Abandoned Cart Conv Rate</t>
  </si>
  <si>
    <t>Abandoned Checkout Conv Rate</t>
  </si>
  <si>
    <t>Back In Stock Conv Rate</t>
  </si>
  <si>
    <t>Flow RPR (Welcome)</t>
  </si>
  <si>
    <t>Flow RPR (Cart)</t>
  </si>
  <si>
    <t>Flow RPR (Checkout)</t>
  </si>
  <si>
    <t>SMS Click Rate</t>
  </si>
  <si>
    <t>SMS Conv Rate</t>
  </si>
  <si>
    <t>SMS Unsub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</si>
</sst>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\-mm\-dd"/>
    <numFmt numFmtId="165" formatCode="\$#,##0.00"/>
    <numFmt numFmtId="166" formatCode="\$#,##0.000"/>
    <numFmt numFmtId="167" formatCode="mmm\ yyyy"/>
    <numFmt numFmtId="168" formatCode="yyyy\-mm\-dd\ hh:mm:ss"/>
  </numFmts>
  <fonts count="6">
    <font>
      <sz val="11.0"/>
      <color theme="1"/>
      <name val="Calibri"/>
      <scheme val="minor"/>
    </font>
    <font>
      <b/>
      <sz val="16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0" fillId="0" fontId="4" numFmtId="164" xfId="0" applyFont="1" applyNumberFormat="1"/>
    <xf borderId="0" fillId="0" fontId="4" numFmtId="3" xfId="0" applyFont="1" applyNumberFormat="1"/>
    <xf borderId="0" fillId="0" fontId="4" numFmtId="10" xfId="0" applyFont="1" applyNumberFormat="1"/>
    <xf borderId="0" fillId="0" fontId="4" numFmtId="165" xfId="0" applyFont="1" applyNumberFormat="1"/>
    <xf borderId="0" fillId="0" fontId="4" numFmtId="166" xfId="0" applyFont="1" applyNumberFormat="1"/>
    <xf borderId="0" fillId="0" fontId="4" numFmtId="167" xfId="0" applyFont="1" applyNumberFormat="1"/>
    <xf borderId="0" fillId="0" fontId="4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nknown Author" id="{b5083a60-23c1-48f7-8aac-72efa2feffb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4-27T19:02:33.00" personId="{b5083a60-23c1-48f7-8aac-72efa2feffbf}" id="{9526b127-6052-443c-8ca9-7588c06fc484}" done="0">
    <x18tc:text xml:space="preserve">Most recent send — top of file for quick scan.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5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/>
    </row>
    <row r="6">
      <c r="A6" s="3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2" t="s">
        <v>13</v>
      </c>
    </row>
    <row r="17">
      <c r="A17" s="2"/>
    </row>
    <row r="18">
      <c r="A18" s="3" t="s">
        <v>14</v>
      </c>
    </row>
    <row r="19">
      <c r="A19" s="2" t="s">
        <v>15</v>
      </c>
    </row>
    <row r="20">
      <c r="A20" s="2" t="s">
        <v>16</v>
      </c>
    </row>
    <row r="21" ht="15.75" customHeight="1">
      <c r="A21" s="2" t="s">
        <v>17</v>
      </c>
    </row>
    <row r="22" ht="15.75" customHeight="1">
      <c r="A22" s="2" t="s">
        <v>18</v>
      </c>
    </row>
    <row r="23" ht="15.75" customHeight="1">
      <c r="A23" s="2" t="s">
        <v>19</v>
      </c>
    </row>
    <row r="24" ht="15.75" customHeight="1">
      <c r="A24" s="2"/>
    </row>
    <row r="25" ht="15.75" customHeight="1">
      <c r="A25" s="4" t="s">
        <v>20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8.0"/>
    <col customWidth="1" min="3" max="3" width="45.0"/>
    <col customWidth="1" min="4" max="4" width="16.0"/>
    <col customWidth="1" min="5" max="5" width="14.0"/>
    <col customWidth="1" min="6" max="6" width="21.0"/>
    <col customWidth="1" min="7" max="8" width="14.0"/>
    <col customWidth="1" min="9" max="9" width="77.29"/>
    <col customWidth="1" min="10" max="13" width="14.0"/>
    <col customWidth="1" min="14" max="14" width="15.0"/>
    <col customWidth="1" min="15" max="16" width="14.0"/>
    <col customWidth="1" min="17" max="17" width="23.0"/>
    <col customWidth="1" min="18" max="18" width="14.0"/>
    <col customWidth="1" min="19" max="19" width="15.0"/>
    <col customWidth="1" min="20" max="21" width="23.0"/>
    <col customWidth="1" min="22" max="22" width="14.0"/>
    <col customWidth="1" min="23" max="23" width="20.0"/>
    <col customWidth="1" min="24" max="24" width="23.0"/>
    <col customWidth="1" min="25" max="25" width="14.0"/>
    <col customWidth="1" min="26" max="27" width="23.0"/>
    <col customWidth="1" min="28" max="28" width="14.0"/>
    <col customWidth="1" min="29" max="29" width="24.0"/>
    <col customWidth="1" min="30" max="30" width="17.0"/>
    <col customWidth="1" min="31" max="31" width="18.0"/>
    <col customWidth="1" min="32" max="33" width="20.0"/>
  </cols>
  <sheetData>
    <row r="1" ht="31.5" customHeight="1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  <c r="O1" s="5" t="s">
        <v>35</v>
      </c>
      <c r="P1" s="5" t="s">
        <v>36</v>
      </c>
      <c r="Q1" s="5" t="s">
        <v>37</v>
      </c>
      <c r="R1" s="5" t="s">
        <v>38</v>
      </c>
      <c r="S1" s="5" t="s">
        <v>39</v>
      </c>
      <c r="T1" s="5" t="s">
        <v>40</v>
      </c>
      <c r="U1" s="5" t="s">
        <v>41</v>
      </c>
      <c r="V1" s="5" t="s">
        <v>42</v>
      </c>
      <c r="W1" s="5" t="s">
        <v>43</v>
      </c>
      <c r="X1" s="5" t="s">
        <v>44</v>
      </c>
      <c r="Y1" s="5" t="s">
        <v>45</v>
      </c>
      <c r="Z1" s="5" t="s">
        <v>46</v>
      </c>
      <c r="AA1" s="5" t="s">
        <v>47</v>
      </c>
      <c r="AB1" s="5" t="s">
        <v>48</v>
      </c>
      <c r="AC1" s="5" t="s">
        <v>49</v>
      </c>
      <c r="AD1" s="5" t="s">
        <v>50</v>
      </c>
      <c r="AE1" s="5" t="s">
        <v>51</v>
      </c>
      <c r="AF1" s="5" t="s">
        <v>52</v>
      </c>
      <c r="AG1" s="6"/>
    </row>
    <row r="2">
      <c r="A2" s="4" t="s">
        <v>53</v>
      </c>
      <c r="B2" s="4" t="s">
        <v>54</v>
      </c>
      <c r="C2" s="4" t="s">
        <v>55</v>
      </c>
      <c r="D2" s="4" t="s">
        <v>56</v>
      </c>
      <c r="E2" s="4" t="s">
        <v>57</v>
      </c>
      <c r="F2" s="7">
        <v>46131.75</v>
      </c>
      <c r="G2" s="4" t="s">
        <v>58</v>
      </c>
      <c r="H2" s="4" t="s">
        <v>59</v>
      </c>
      <c r="I2" s="4" t="s">
        <v>60</v>
      </c>
      <c r="J2" s="4">
        <v>3.0</v>
      </c>
      <c r="K2" s="8">
        <v>86978.0</v>
      </c>
      <c r="L2" s="8">
        <v>84226.0</v>
      </c>
      <c r="M2" s="8">
        <v>2752.0</v>
      </c>
      <c r="N2" s="9">
        <f t="shared" ref="N2:N184" si="1">L2/K2</f>
        <v>0.9683598151</v>
      </c>
      <c r="O2" s="8">
        <v>0.0</v>
      </c>
      <c r="P2" s="8">
        <v>0.0</v>
      </c>
      <c r="Q2" s="9">
        <f t="shared" ref="Q2:Q184" si="2">IFERROR(P2/L2,0)</f>
        <v>0</v>
      </c>
      <c r="R2" s="8">
        <v>9085.0</v>
      </c>
      <c r="S2" s="8">
        <v>8130.0</v>
      </c>
      <c r="T2" s="9">
        <f t="shared" ref="T2:T184" si="3">IFERROR(S2/L2,0)</f>
        <v>0.09652601335</v>
      </c>
      <c r="U2" s="9">
        <f t="shared" ref="U2:U184" si="4">IFERROR(S2/P2,0)</f>
        <v>0</v>
      </c>
      <c r="V2" s="8">
        <v>956.0</v>
      </c>
      <c r="W2" s="8">
        <v>928.0</v>
      </c>
      <c r="X2" s="9">
        <f t="shared" ref="X2:X184" si="5">IFERROR(W2/L2,0)</f>
        <v>0.01101797545</v>
      </c>
      <c r="Y2" s="10">
        <v>77570.53</v>
      </c>
      <c r="Z2" s="10">
        <f t="shared" ref="Z2:Z184" si="6">IFERROR(Y2/V2,0)</f>
        <v>81.14072176</v>
      </c>
      <c r="AA2" s="11">
        <f t="shared" ref="AA2:AA184" si="7">IFERROR(Y2/L2,0)</f>
        <v>0.9209808135</v>
      </c>
      <c r="AB2" s="8">
        <v>459.0</v>
      </c>
      <c r="AC2" s="9">
        <f t="shared" ref="AC2:AC184" si="8">IFERROR(AB2/L2,0)</f>
        <v>0.005449623632</v>
      </c>
      <c r="AD2" s="8">
        <v>0.0</v>
      </c>
      <c r="AE2" s="4" t="s">
        <v>61</v>
      </c>
      <c r="AF2" s="4"/>
      <c r="AG2" s="4"/>
    </row>
    <row r="3">
      <c r="A3" s="4" t="s">
        <v>62</v>
      </c>
      <c r="B3" s="4" t="s">
        <v>63</v>
      </c>
      <c r="C3" s="4" t="s">
        <v>64</v>
      </c>
      <c r="D3" s="4" t="s">
        <v>65</v>
      </c>
      <c r="E3" s="4" t="s">
        <v>66</v>
      </c>
      <c r="F3" s="7">
        <v>46124.9166666667</v>
      </c>
      <c r="G3" s="4" t="s">
        <v>67</v>
      </c>
      <c r="H3" s="4" t="s">
        <v>59</v>
      </c>
      <c r="I3" s="4" t="s">
        <v>68</v>
      </c>
      <c r="J3" s="4">
        <v>2.0</v>
      </c>
      <c r="K3" s="8">
        <v>105745.0</v>
      </c>
      <c r="L3" s="8">
        <v>105191.0</v>
      </c>
      <c r="M3" s="8">
        <v>554.0</v>
      </c>
      <c r="N3" s="9">
        <f t="shared" si="1"/>
        <v>0.9947609816</v>
      </c>
      <c r="O3" s="8">
        <v>53132.0</v>
      </c>
      <c r="P3" s="8">
        <v>37129.0</v>
      </c>
      <c r="Q3" s="9">
        <f t="shared" si="2"/>
        <v>0.3529674592</v>
      </c>
      <c r="R3" s="8">
        <v>4719.0</v>
      </c>
      <c r="S3" s="8">
        <v>3120.0</v>
      </c>
      <c r="T3" s="9">
        <f t="shared" si="3"/>
        <v>0.02966033216</v>
      </c>
      <c r="U3" s="9">
        <f t="shared" si="4"/>
        <v>0.08403135016</v>
      </c>
      <c r="V3" s="8">
        <v>2181.0</v>
      </c>
      <c r="W3" s="8">
        <v>2125.0</v>
      </c>
      <c r="X3" s="9">
        <f t="shared" si="5"/>
        <v>0.02020134802</v>
      </c>
      <c r="Y3" s="10">
        <v>162482.76</v>
      </c>
      <c r="Z3" s="10">
        <f t="shared" si="6"/>
        <v>74.4992022</v>
      </c>
      <c r="AA3" s="11">
        <f t="shared" si="7"/>
        <v>1.544645074</v>
      </c>
      <c r="AB3" s="8">
        <v>71.0</v>
      </c>
      <c r="AC3" s="9">
        <f t="shared" si="8"/>
        <v>0.0006749626869</v>
      </c>
      <c r="AD3" s="8">
        <v>9.0</v>
      </c>
      <c r="AE3" s="4" t="s">
        <v>69</v>
      </c>
      <c r="AF3" s="4"/>
      <c r="AG3" s="4"/>
    </row>
    <row r="4">
      <c r="A4" s="4" t="s">
        <v>70</v>
      </c>
      <c r="B4" s="4" t="s">
        <v>71</v>
      </c>
      <c r="C4" s="4" t="s">
        <v>72</v>
      </c>
      <c r="D4" s="4" t="s">
        <v>73</v>
      </c>
      <c r="E4" s="4" t="s">
        <v>66</v>
      </c>
      <c r="F4" s="7">
        <v>46121.6666666667</v>
      </c>
      <c r="G4" s="4" t="s">
        <v>74</v>
      </c>
      <c r="H4" s="4" t="s">
        <v>75</v>
      </c>
      <c r="I4" s="4" t="s">
        <v>76</v>
      </c>
      <c r="J4" s="4">
        <v>2.0</v>
      </c>
      <c r="K4" s="8">
        <v>111927.0</v>
      </c>
      <c r="L4" s="8">
        <v>111671.0</v>
      </c>
      <c r="M4" s="8">
        <v>256.0</v>
      </c>
      <c r="N4" s="9">
        <f t="shared" si="1"/>
        <v>0.9977127949</v>
      </c>
      <c r="O4" s="8">
        <v>51577.0</v>
      </c>
      <c r="P4" s="8">
        <v>36908.0</v>
      </c>
      <c r="Q4" s="9">
        <f t="shared" si="2"/>
        <v>0.3305065774</v>
      </c>
      <c r="R4" s="8">
        <v>2778.0</v>
      </c>
      <c r="S4" s="8">
        <v>1755.0</v>
      </c>
      <c r="T4" s="9">
        <f t="shared" si="3"/>
        <v>0.01571580804</v>
      </c>
      <c r="U4" s="9">
        <f t="shared" si="4"/>
        <v>0.04755066652</v>
      </c>
      <c r="V4" s="8">
        <v>1154.0</v>
      </c>
      <c r="W4" s="8">
        <v>1092.0</v>
      </c>
      <c r="X4" s="9">
        <f t="shared" si="5"/>
        <v>0.009778725005</v>
      </c>
      <c r="Y4" s="10">
        <v>77834.57</v>
      </c>
      <c r="Z4" s="10">
        <f t="shared" si="6"/>
        <v>67.44763432</v>
      </c>
      <c r="AA4" s="11">
        <f t="shared" si="7"/>
        <v>0.6969989523</v>
      </c>
      <c r="AB4" s="8">
        <v>292.0</v>
      </c>
      <c r="AC4" s="9">
        <f t="shared" si="8"/>
        <v>0.002614823902</v>
      </c>
      <c r="AD4" s="8">
        <v>17.0</v>
      </c>
      <c r="AE4" s="4" t="s">
        <v>77</v>
      </c>
      <c r="AF4" s="4"/>
      <c r="AG4" s="4"/>
    </row>
    <row r="5">
      <c r="A5" s="4" t="s">
        <v>78</v>
      </c>
      <c r="B5" s="4" t="s">
        <v>79</v>
      </c>
      <c r="C5" s="4" t="s">
        <v>80</v>
      </c>
      <c r="D5" s="4" t="s">
        <v>81</v>
      </c>
      <c r="E5" s="4" t="s">
        <v>57</v>
      </c>
      <c r="F5" s="7">
        <v>46120.75</v>
      </c>
      <c r="G5" s="4" t="s">
        <v>58</v>
      </c>
      <c r="H5" s="4" t="s">
        <v>82</v>
      </c>
      <c r="I5" s="4" t="s">
        <v>83</v>
      </c>
      <c r="J5" s="4">
        <v>3.0</v>
      </c>
      <c r="K5" s="8">
        <v>80347.0</v>
      </c>
      <c r="L5" s="8">
        <v>78002.0</v>
      </c>
      <c r="M5" s="8">
        <v>2345.0</v>
      </c>
      <c r="N5" s="9">
        <f t="shared" si="1"/>
        <v>0.9708140939</v>
      </c>
      <c r="O5" s="8">
        <v>0.0</v>
      </c>
      <c r="P5" s="8">
        <v>0.0</v>
      </c>
      <c r="Q5" s="9">
        <f t="shared" si="2"/>
        <v>0</v>
      </c>
      <c r="R5" s="8">
        <v>11733.0</v>
      </c>
      <c r="S5" s="8">
        <v>10366.0</v>
      </c>
      <c r="T5" s="9">
        <f t="shared" si="3"/>
        <v>0.1328940284</v>
      </c>
      <c r="U5" s="9">
        <f t="shared" si="4"/>
        <v>0</v>
      </c>
      <c r="V5" s="8">
        <v>1839.0</v>
      </c>
      <c r="W5" s="8">
        <v>1721.0</v>
      </c>
      <c r="X5" s="9">
        <f t="shared" si="5"/>
        <v>0.02206353683</v>
      </c>
      <c r="Y5" s="10">
        <v>141350.62</v>
      </c>
      <c r="Z5" s="10">
        <f t="shared" si="6"/>
        <v>76.86276237</v>
      </c>
      <c r="AA5" s="11">
        <f t="shared" si="7"/>
        <v>1.812140971</v>
      </c>
      <c r="AB5" s="8">
        <v>569.0</v>
      </c>
      <c r="AC5" s="9">
        <f t="shared" si="8"/>
        <v>0.007294684752</v>
      </c>
      <c r="AD5" s="8">
        <v>0.0</v>
      </c>
      <c r="AE5" s="4" t="s">
        <v>84</v>
      </c>
      <c r="AF5" s="4" t="s">
        <v>85</v>
      </c>
      <c r="AG5" s="4"/>
    </row>
    <row r="6">
      <c r="A6" s="4" t="s">
        <v>86</v>
      </c>
      <c r="B6" s="4" t="s">
        <v>87</v>
      </c>
      <c r="C6" s="4" t="s">
        <v>88</v>
      </c>
      <c r="D6" s="4" t="s">
        <v>89</v>
      </c>
      <c r="E6" s="4" t="s">
        <v>66</v>
      </c>
      <c r="F6" s="7">
        <v>46119.8541666667</v>
      </c>
      <c r="G6" s="4" t="s">
        <v>90</v>
      </c>
      <c r="H6" s="4" t="s">
        <v>91</v>
      </c>
      <c r="I6" s="4" t="s">
        <v>92</v>
      </c>
      <c r="J6" s="4">
        <v>2.0</v>
      </c>
      <c r="K6" s="8">
        <v>89289.0</v>
      </c>
      <c r="L6" s="8">
        <v>89069.0</v>
      </c>
      <c r="M6" s="8">
        <v>220.0</v>
      </c>
      <c r="N6" s="9">
        <f t="shared" si="1"/>
        <v>0.9975360907</v>
      </c>
      <c r="O6" s="8">
        <v>50388.0</v>
      </c>
      <c r="P6" s="8">
        <v>33804.0</v>
      </c>
      <c r="Q6" s="9">
        <f t="shared" si="2"/>
        <v>0.3795259855</v>
      </c>
      <c r="R6" s="8">
        <v>4140.0</v>
      </c>
      <c r="S6" s="8">
        <v>2513.0</v>
      </c>
      <c r="T6" s="9">
        <f t="shared" si="3"/>
        <v>0.02821408122</v>
      </c>
      <c r="U6" s="9">
        <f t="shared" si="4"/>
        <v>0.07434031476</v>
      </c>
      <c r="V6" s="8">
        <v>2210.0</v>
      </c>
      <c r="W6" s="8">
        <v>2043.0</v>
      </c>
      <c r="X6" s="9">
        <f t="shared" si="5"/>
        <v>0.02293727335</v>
      </c>
      <c r="Y6" s="10">
        <v>111341.81</v>
      </c>
      <c r="Z6" s="10">
        <f t="shared" si="6"/>
        <v>50.3809095</v>
      </c>
      <c r="AA6" s="11">
        <f t="shared" si="7"/>
        <v>1.250062424</v>
      </c>
      <c r="AB6" s="8">
        <v>161.0</v>
      </c>
      <c r="AC6" s="9">
        <f t="shared" si="8"/>
        <v>0.001807587376</v>
      </c>
      <c r="AD6" s="8">
        <v>22.0</v>
      </c>
      <c r="AE6" s="4" t="s">
        <v>93</v>
      </c>
      <c r="AF6" s="4"/>
      <c r="AG6" s="4"/>
    </row>
    <row r="7">
      <c r="A7" s="4" t="s">
        <v>94</v>
      </c>
      <c r="B7" s="4" t="s">
        <v>95</v>
      </c>
      <c r="C7" s="4" t="s">
        <v>96</v>
      </c>
      <c r="D7" s="4" t="s">
        <v>97</v>
      </c>
      <c r="E7" s="4" t="s">
        <v>66</v>
      </c>
      <c r="F7" s="7">
        <v>46118.9166666667</v>
      </c>
      <c r="G7" s="4" t="s">
        <v>67</v>
      </c>
      <c r="H7" s="4" t="s">
        <v>98</v>
      </c>
      <c r="I7" s="4" t="s">
        <v>99</v>
      </c>
      <c r="J7" s="4">
        <v>1.0</v>
      </c>
      <c r="K7" s="8">
        <v>48868.0</v>
      </c>
      <c r="L7" s="8">
        <v>48372.0</v>
      </c>
      <c r="M7" s="8">
        <v>496.0</v>
      </c>
      <c r="N7" s="9">
        <f t="shared" si="1"/>
        <v>0.9898502087</v>
      </c>
      <c r="O7" s="8">
        <v>28208.0</v>
      </c>
      <c r="P7" s="8">
        <v>20362.0</v>
      </c>
      <c r="Q7" s="9">
        <f t="shared" si="2"/>
        <v>0.4209460018</v>
      </c>
      <c r="R7" s="8">
        <v>2880.0</v>
      </c>
      <c r="S7" s="8">
        <v>1791.0</v>
      </c>
      <c r="T7" s="9">
        <f t="shared" si="3"/>
        <v>0.03702555197</v>
      </c>
      <c r="U7" s="9">
        <f t="shared" si="4"/>
        <v>0.08795796091</v>
      </c>
      <c r="V7" s="8">
        <v>572.0</v>
      </c>
      <c r="W7" s="8">
        <v>522.0</v>
      </c>
      <c r="X7" s="9">
        <f t="shared" si="5"/>
        <v>0.01079136691</v>
      </c>
      <c r="Y7" s="10">
        <v>39912.71</v>
      </c>
      <c r="Z7" s="10">
        <f t="shared" si="6"/>
        <v>69.77746503</v>
      </c>
      <c r="AA7" s="11">
        <f t="shared" si="7"/>
        <v>0.8251201108</v>
      </c>
      <c r="AB7" s="8">
        <v>117.0</v>
      </c>
      <c r="AC7" s="9">
        <f t="shared" si="8"/>
        <v>0.002418754651</v>
      </c>
      <c r="AD7" s="8">
        <v>1.0</v>
      </c>
      <c r="AE7" s="4" t="s">
        <v>100</v>
      </c>
      <c r="AF7" s="4"/>
      <c r="AG7" s="4"/>
    </row>
    <row r="8">
      <c r="A8" s="4" t="s">
        <v>101</v>
      </c>
      <c r="B8" s="4" t="s">
        <v>102</v>
      </c>
      <c r="C8" s="4" t="s">
        <v>103</v>
      </c>
      <c r="D8" s="4" t="s">
        <v>104</v>
      </c>
      <c r="E8" s="4" t="s">
        <v>57</v>
      </c>
      <c r="F8" s="7">
        <v>46116.75</v>
      </c>
      <c r="G8" s="4" t="s">
        <v>58</v>
      </c>
      <c r="H8" s="4" t="s">
        <v>105</v>
      </c>
      <c r="I8" s="4" t="s">
        <v>106</v>
      </c>
      <c r="J8" s="4">
        <v>3.0</v>
      </c>
      <c r="K8" s="8">
        <v>52455.0</v>
      </c>
      <c r="L8" s="8">
        <v>49995.0</v>
      </c>
      <c r="M8" s="8">
        <v>2460.0</v>
      </c>
      <c r="N8" s="9">
        <f t="shared" si="1"/>
        <v>0.9531026594</v>
      </c>
      <c r="O8" s="8">
        <v>0.0</v>
      </c>
      <c r="P8" s="8">
        <v>0.0</v>
      </c>
      <c r="Q8" s="9">
        <f t="shared" si="2"/>
        <v>0</v>
      </c>
      <c r="R8" s="8">
        <v>5831.0</v>
      </c>
      <c r="S8" s="8">
        <v>4505.0</v>
      </c>
      <c r="T8" s="9">
        <f t="shared" si="3"/>
        <v>0.0901090109</v>
      </c>
      <c r="U8" s="9">
        <f t="shared" si="4"/>
        <v>0</v>
      </c>
      <c r="V8" s="8">
        <v>778.0</v>
      </c>
      <c r="W8" s="8">
        <v>728.0</v>
      </c>
      <c r="X8" s="9">
        <f t="shared" si="5"/>
        <v>0.01456145615</v>
      </c>
      <c r="Y8" s="10">
        <v>67260.71</v>
      </c>
      <c r="Z8" s="10">
        <f t="shared" si="6"/>
        <v>86.45335476</v>
      </c>
      <c r="AA8" s="11">
        <f t="shared" si="7"/>
        <v>1.345348735</v>
      </c>
      <c r="AB8" s="8">
        <v>203.0</v>
      </c>
      <c r="AC8" s="9">
        <f t="shared" si="8"/>
        <v>0.004060406041</v>
      </c>
      <c r="AD8" s="8">
        <v>0.0</v>
      </c>
      <c r="AE8" s="4" t="s">
        <v>107</v>
      </c>
      <c r="AF8" s="4"/>
      <c r="AG8" s="4"/>
    </row>
    <row r="9">
      <c r="A9" s="4" t="s">
        <v>108</v>
      </c>
      <c r="B9" s="4" t="s">
        <v>109</v>
      </c>
      <c r="C9" s="4" t="s">
        <v>110</v>
      </c>
      <c r="D9" s="4" t="s">
        <v>81</v>
      </c>
      <c r="E9" s="4" t="s">
        <v>57</v>
      </c>
      <c r="F9" s="7">
        <v>46116.6666666667</v>
      </c>
      <c r="G9" s="4" t="s">
        <v>74</v>
      </c>
      <c r="H9" s="4" t="s">
        <v>105</v>
      </c>
      <c r="I9" s="4" t="s">
        <v>111</v>
      </c>
      <c r="J9" s="4">
        <v>3.0</v>
      </c>
      <c r="K9" s="8">
        <v>91883.0</v>
      </c>
      <c r="L9" s="8">
        <v>87649.0</v>
      </c>
      <c r="M9" s="8">
        <v>4234.0</v>
      </c>
      <c r="N9" s="9">
        <f t="shared" si="1"/>
        <v>0.9539196587</v>
      </c>
      <c r="O9" s="8">
        <v>0.0</v>
      </c>
      <c r="P9" s="8">
        <v>0.0</v>
      </c>
      <c r="Q9" s="9">
        <f t="shared" si="2"/>
        <v>0</v>
      </c>
      <c r="R9" s="8">
        <v>13438.0</v>
      </c>
      <c r="S9" s="8">
        <v>11223.0</v>
      </c>
      <c r="T9" s="9">
        <f t="shared" si="3"/>
        <v>0.1280448151</v>
      </c>
      <c r="U9" s="9">
        <f t="shared" si="4"/>
        <v>0</v>
      </c>
      <c r="V9" s="8">
        <v>1601.0</v>
      </c>
      <c r="W9" s="8">
        <v>1459.0</v>
      </c>
      <c r="X9" s="9">
        <f t="shared" si="5"/>
        <v>0.01664594006</v>
      </c>
      <c r="Y9" s="10">
        <v>133102.65</v>
      </c>
      <c r="Z9" s="10">
        <f t="shared" si="6"/>
        <v>83.1371955</v>
      </c>
      <c r="AA9" s="11">
        <f t="shared" si="7"/>
        <v>1.518587206</v>
      </c>
      <c r="AB9" s="8">
        <v>227.0</v>
      </c>
      <c r="AC9" s="9">
        <f t="shared" si="8"/>
        <v>0.002589875526</v>
      </c>
      <c r="AD9" s="8">
        <v>0.0</v>
      </c>
      <c r="AE9" s="4" t="s">
        <v>112</v>
      </c>
      <c r="AF9" s="4" t="s">
        <v>113</v>
      </c>
      <c r="AG9" s="4"/>
    </row>
    <row r="10">
      <c r="A10" s="4" t="s">
        <v>114</v>
      </c>
      <c r="B10" s="4" t="s">
        <v>115</v>
      </c>
      <c r="C10" s="4" t="s">
        <v>116</v>
      </c>
      <c r="D10" s="4" t="s">
        <v>117</v>
      </c>
      <c r="E10" s="4" t="s">
        <v>66</v>
      </c>
      <c r="F10" s="7">
        <v>46116.6041666667</v>
      </c>
      <c r="G10" s="4" t="s">
        <v>118</v>
      </c>
      <c r="H10" s="4" t="s">
        <v>105</v>
      </c>
      <c r="I10" s="4" t="s">
        <v>119</v>
      </c>
      <c r="J10" s="4">
        <v>4.0</v>
      </c>
      <c r="K10" s="8">
        <v>110430.0</v>
      </c>
      <c r="L10" s="8">
        <v>109694.0</v>
      </c>
      <c r="M10" s="8">
        <v>736.0</v>
      </c>
      <c r="N10" s="9">
        <f t="shared" si="1"/>
        <v>0.9933351444</v>
      </c>
      <c r="O10" s="8">
        <v>62073.0</v>
      </c>
      <c r="P10" s="8">
        <v>42451.0</v>
      </c>
      <c r="Q10" s="9">
        <f t="shared" si="2"/>
        <v>0.3869947308</v>
      </c>
      <c r="R10" s="8">
        <v>4443.0</v>
      </c>
      <c r="S10" s="8">
        <v>3288.0</v>
      </c>
      <c r="T10" s="9">
        <f t="shared" si="3"/>
        <v>0.02997429212</v>
      </c>
      <c r="U10" s="9">
        <f t="shared" si="4"/>
        <v>0.07745400579</v>
      </c>
      <c r="V10" s="8">
        <v>560.0</v>
      </c>
      <c r="W10" s="8">
        <v>537.0</v>
      </c>
      <c r="X10" s="9">
        <f t="shared" si="5"/>
        <v>0.004895436396</v>
      </c>
      <c r="Y10" s="10">
        <v>40863.47</v>
      </c>
      <c r="Z10" s="10">
        <f t="shared" si="6"/>
        <v>72.97048214</v>
      </c>
      <c r="AA10" s="11">
        <f t="shared" si="7"/>
        <v>0.3725223804</v>
      </c>
      <c r="AB10" s="8">
        <v>347.0</v>
      </c>
      <c r="AC10" s="9">
        <f t="shared" si="8"/>
        <v>0.003163345306</v>
      </c>
      <c r="AD10" s="8">
        <v>10.0</v>
      </c>
      <c r="AE10" s="4" t="s">
        <v>69</v>
      </c>
      <c r="AF10" s="4"/>
      <c r="AG10" s="4"/>
    </row>
    <row r="11">
      <c r="A11" s="4" t="s">
        <v>120</v>
      </c>
      <c r="B11" s="4" t="s">
        <v>121</v>
      </c>
      <c r="C11" s="4" t="s">
        <v>122</v>
      </c>
      <c r="D11" s="4" t="s">
        <v>123</v>
      </c>
      <c r="E11" s="4" t="s">
        <v>66</v>
      </c>
      <c r="F11" s="7">
        <v>46114.7083333333</v>
      </c>
      <c r="G11" s="4" t="s">
        <v>124</v>
      </c>
      <c r="H11" s="4" t="s">
        <v>75</v>
      </c>
      <c r="I11" s="4" t="s">
        <v>125</v>
      </c>
      <c r="J11" s="4">
        <v>1.0</v>
      </c>
      <c r="K11" s="8">
        <v>19795.0</v>
      </c>
      <c r="L11" s="8">
        <v>19519.0</v>
      </c>
      <c r="M11" s="8">
        <v>276.0</v>
      </c>
      <c r="N11" s="9">
        <f t="shared" si="1"/>
        <v>0.9860570851</v>
      </c>
      <c r="O11" s="8">
        <v>6610.0</v>
      </c>
      <c r="P11" s="8">
        <v>5216.0</v>
      </c>
      <c r="Q11" s="9">
        <f t="shared" si="2"/>
        <v>0.2672268047</v>
      </c>
      <c r="R11" s="8">
        <v>249.0</v>
      </c>
      <c r="S11" s="8">
        <v>185.0</v>
      </c>
      <c r="T11" s="9">
        <f t="shared" si="3"/>
        <v>0.009477944567</v>
      </c>
      <c r="U11" s="9">
        <f t="shared" si="4"/>
        <v>0.03546779141</v>
      </c>
      <c r="V11" s="8">
        <v>182.0</v>
      </c>
      <c r="W11" s="8">
        <v>162.0</v>
      </c>
      <c r="X11" s="9">
        <f t="shared" si="5"/>
        <v>0.008299605513</v>
      </c>
      <c r="Y11" s="10">
        <v>10785.31</v>
      </c>
      <c r="Z11" s="10">
        <f t="shared" si="6"/>
        <v>59.25994505</v>
      </c>
      <c r="AA11" s="11">
        <f t="shared" si="7"/>
        <v>0.5525544341</v>
      </c>
      <c r="AB11" s="8">
        <v>12.0</v>
      </c>
      <c r="AC11" s="9">
        <f t="shared" si="8"/>
        <v>0.0006147855935</v>
      </c>
      <c r="AD11" s="8">
        <v>5.0</v>
      </c>
      <c r="AE11" s="4" t="s">
        <v>126</v>
      </c>
      <c r="AF11" s="4"/>
      <c r="AG11" s="4"/>
    </row>
    <row r="12">
      <c r="A12" s="4" t="s">
        <v>127</v>
      </c>
      <c r="B12" s="4" t="s">
        <v>128</v>
      </c>
      <c r="C12" s="4" t="s">
        <v>129</v>
      </c>
      <c r="D12" s="4" t="s">
        <v>73</v>
      </c>
      <c r="E12" s="4" t="s">
        <v>66</v>
      </c>
      <c r="F12" s="7">
        <v>46113.8541666667</v>
      </c>
      <c r="G12" s="4" t="s">
        <v>90</v>
      </c>
      <c r="H12" s="4" t="s">
        <v>82</v>
      </c>
      <c r="I12" s="4" t="s">
        <v>130</v>
      </c>
      <c r="J12" s="4">
        <v>4.0</v>
      </c>
      <c r="K12" s="8">
        <v>195052.0</v>
      </c>
      <c r="L12" s="8">
        <v>193639.0</v>
      </c>
      <c r="M12" s="8">
        <v>1413.0</v>
      </c>
      <c r="N12" s="9">
        <f t="shared" si="1"/>
        <v>0.9927557779</v>
      </c>
      <c r="O12" s="8">
        <v>93816.0</v>
      </c>
      <c r="P12" s="8">
        <v>73314.0</v>
      </c>
      <c r="Q12" s="9">
        <f t="shared" si="2"/>
        <v>0.3786117466</v>
      </c>
      <c r="R12" s="8">
        <v>7872.0</v>
      </c>
      <c r="S12" s="8">
        <v>4408.0</v>
      </c>
      <c r="T12" s="9">
        <f t="shared" si="3"/>
        <v>0.02276400932</v>
      </c>
      <c r="U12" s="9">
        <f t="shared" si="4"/>
        <v>0.06012494203</v>
      </c>
      <c r="V12" s="8">
        <v>1852.0</v>
      </c>
      <c r="W12" s="8">
        <v>1628.0</v>
      </c>
      <c r="X12" s="9">
        <f t="shared" si="5"/>
        <v>0.00840739727</v>
      </c>
      <c r="Y12" s="10">
        <v>125013.17</v>
      </c>
      <c r="Z12" s="10">
        <f t="shared" si="6"/>
        <v>67.50171166</v>
      </c>
      <c r="AA12" s="11">
        <f t="shared" si="7"/>
        <v>0.6455991303</v>
      </c>
      <c r="AB12" s="8">
        <v>422.0</v>
      </c>
      <c r="AC12" s="9">
        <f t="shared" si="8"/>
        <v>0.002179313052</v>
      </c>
      <c r="AD12" s="8">
        <v>32.0</v>
      </c>
      <c r="AE12" s="4" t="s">
        <v>84</v>
      </c>
      <c r="AF12" s="4"/>
      <c r="AG12" s="4"/>
    </row>
    <row r="13">
      <c r="A13" s="4" t="s">
        <v>131</v>
      </c>
      <c r="B13" s="4" t="s">
        <v>132</v>
      </c>
      <c r="C13" s="4" t="s">
        <v>133</v>
      </c>
      <c r="D13" s="4" t="s">
        <v>134</v>
      </c>
      <c r="E13" s="4" t="s">
        <v>66</v>
      </c>
      <c r="F13" s="7">
        <v>46108.8541666667</v>
      </c>
      <c r="G13" s="4" t="s">
        <v>90</v>
      </c>
      <c r="H13" s="4" t="s">
        <v>135</v>
      </c>
      <c r="I13" s="4" t="s">
        <v>136</v>
      </c>
      <c r="J13" s="4">
        <v>2.0</v>
      </c>
      <c r="K13" s="8">
        <v>267882.0</v>
      </c>
      <c r="L13" s="8">
        <v>266651.0</v>
      </c>
      <c r="M13" s="8">
        <v>1231.0</v>
      </c>
      <c r="N13" s="9">
        <f t="shared" si="1"/>
        <v>0.9954046931</v>
      </c>
      <c r="O13" s="8">
        <v>169304.0</v>
      </c>
      <c r="P13" s="8">
        <v>120651.0</v>
      </c>
      <c r="Q13" s="9">
        <f t="shared" si="2"/>
        <v>0.4524678325</v>
      </c>
      <c r="R13" s="8">
        <v>10556.0</v>
      </c>
      <c r="S13" s="8">
        <v>7761.0</v>
      </c>
      <c r="T13" s="9">
        <f t="shared" si="3"/>
        <v>0.02910545995</v>
      </c>
      <c r="U13" s="9">
        <f t="shared" si="4"/>
        <v>0.06432603128</v>
      </c>
      <c r="V13" s="8">
        <v>2363.0</v>
      </c>
      <c r="W13" s="8">
        <v>2061.0</v>
      </c>
      <c r="X13" s="9">
        <f t="shared" si="5"/>
        <v>0.007729204091</v>
      </c>
      <c r="Y13" s="10">
        <v>232206.41</v>
      </c>
      <c r="Z13" s="10">
        <f t="shared" si="6"/>
        <v>98.26763013</v>
      </c>
      <c r="AA13" s="11">
        <f t="shared" si="7"/>
        <v>0.8708251985</v>
      </c>
      <c r="AB13" s="8">
        <v>1040.0</v>
      </c>
      <c r="AC13" s="9">
        <f t="shared" si="8"/>
        <v>0.003900229138</v>
      </c>
      <c r="AD13" s="8">
        <v>65.0</v>
      </c>
      <c r="AE13" s="4" t="s">
        <v>137</v>
      </c>
      <c r="AF13" s="4" t="s">
        <v>138</v>
      </c>
      <c r="AG13" s="4"/>
    </row>
    <row r="14">
      <c r="A14" s="4" t="s">
        <v>139</v>
      </c>
      <c r="B14" s="4" t="s">
        <v>140</v>
      </c>
      <c r="C14" s="4" t="s">
        <v>141</v>
      </c>
      <c r="D14" s="4" t="s">
        <v>97</v>
      </c>
      <c r="E14" s="4" t="s">
        <v>66</v>
      </c>
      <c r="F14" s="7">
        <v>46103.8958333333</v>
      </c>
      <c r="G14" s="4" t="s">
        <v>142</v>
      </c>
      <c r="H14" s="4" t="s">
        <v>59</v>
      </c>
      <c r="I14" s="4" t="s">
        <v>143</v>
      </c>
      <c r="J14" s="4">
        <v>2.0</v>
      </c>
      <c r="K14" s="8">
        <v>110933.0</v>
      </c>
      <c r="L14" s="8">
        <v>109332.0</v>
      </c>
      <c r="M14" s="8">
        <v>1601.0</v>
      </c>
      <c r="N14" s="9">
        <f t="shared" si="1"/>
        <v>0.9855678653</v>
      </c>
      <c r="O14" s="8">
        <v>54905.0</v>
      </c>
      <c r="P14" s="8">
        <v>41230.0</v>
      </c>
      <c r="Q14" s="9">
        <f t="shared" si="2"/>
        <v>0.3771082574</v>
      </c>
      <c r="R14" s="8">
        <v>5663.0</v>
      </c>
      <c r="S14" s="8">
        <v>3377.0</v>
      </c>
      <c r="T14" s="9">
        <f t="shared" si="3"/>
        <v>0.0308875718</v>
      </c>
      <c r="U14" s="9">
        <f t="shared" si="4"/>
        <v>0.08190637885</v>
      </c>
      <c r="V14" s="8">
        <v>1681.0</v>
      </c>
      <c r="W14" s="8">
        <v>1459.0</v>
      </c>
      <c r="X14" s="9">
        <f t="shared" si="5"/>
        <v>0.01334467494</v>
      </c>
      <c r="Y14" s="10">
        <v>158055.84</v>
      </c>
      <c r="Z14" s="10">
        <f t="shared" si="6"/>
        <v>94.02488995</v>
      </c>
      <c r="AA14" s="11">
        <f t="shared" si="7"/>
        <v>1.445650313</v>
      </c>
      <c r="AB14" s="8">
        <v>144.0</v>
      </c>
      <c r="AC14" s="9">
        <f t="shared" si="8"/>
        <v>0.001317089233</v>
      </c>
      <c r="AD14" s="8">
        <v>30.0</v>
      </c>
      <c r="AE14" s="4" t="s">
        <v>144</v>
      </c>
      <c r="AF14" s="4"/>
      <c r="AG14" s="4"/>
    </row>
    <row r="15">
      <c r="A15" s="4" t="s">
        <v>145</v>
      </c>
      <c r="B15" s="4" t="s">
        <v>146</v>
      </c>
      <c r="C15" s="4" t="s">
        <v>147</v>
      </c>
      <c r="D15" s="4" t="s">
        <v>81</v>
      </c>
      <c r="E15" s="4" t="s">
        <v>66</v>
      </c>
      <c r="F15" s="7">
        <v>46103.5625</v>
      </c>
      <c r="G15" s="4" t="s">
        <v>148</v>
      </c>
      <c r="H15" s="4" t="s">
        <v>59</v>
      </c>
      <c r="I15" s="4" t="s">
        <v>149</v>
      </c>
      <c r="J15" s="4">
        <v>1.0</v>
      </c>
      <c r="K15" s="8">
        <v>63570.0</v>
      </c>
      <c r="L15" s="8">
        <v>63242.0</v>
      </c>
      <c r="M15" s="8">
        <v>328.0</v>
      </c>
      <c r="N15" s="9">
        <f t="shared" si="1"/>
        <v>0.9948403335</v>
      </c>
      <c r="O15" s="8">
        <v>38242.0</v>
      </c>
      <c r="P15" s="8">
        <v>30529.0</v>
      </c>
      <c r="Q15" s="9">
        <f t="shared" si="2"/>
        <v>0.4827329939</v>
      </c>
      <c r="R15" s="8">
        <v>5829.0</v>
      </c>
      <c r="S15" s="8">
        <v>3334.0</v>
      </c>
      <c r="T15" s="9">
        <f t="shared" si="3"/>
        <v>0.05271813036</v>
      </c>
      <c r="U15" s="9">
        <f t="shared" si="4"/>
        <v>0.1092076386</v>
      </c>
      <c r="V15" s="8">
        <v>418.0</v>
      </c>
      <c r="W15" s="8">
        <v>383.0</v>
      </c>
      <c r="X15" s="9">
        <f t="shared" si="5"/>
        <v>0.006056101958</v>
      </c>
      <c r="Y15" s="10">
        <v>32846.07</v>
      </c>
      <c r="Z15" s="10">
        <f t="shared" si="6"/>
        <v>78.57911483</v>
      </c>
      <c r="AA15" s="11">
        <f t="shared" si="7"/>
        <v>0.5193711458</v>
      </c>
      <c r="AB15" s="8">
        <v>179.0</v>
      </c>
      <c r="AC15" s="9">
        <f t="shared" si="8"/>
        <v>0.002830397521</v>
      </c>
      <c r="AD15" s="8">
        <v>4.0</v>
      </c>
      <c r="AE15" s="4" t="s">
        <v>150</v>
      </c>
      <c r="AF15" s="4" t="s">
        <v>151</v>
      </c>
      <c r="AG15" s="4"/>
    </row>
    <row r="16">
      <c r="A16" s="4" t="s">
        <v>152</v>
      </c>
      <c r="B16" s="4" t="s">
        <v>153</v>
      </c>
      <c r="C16" s="4" t="s">
        <v>154</v>
      </c>
      <c r="D16" s="4" t="s">
        <v>56</v>
      </c>
      <c r="E16" s="4" t="s">
        <v>66</v>
      </c>
      <c r="F16" s="7">
        <v>46099.875</v>
      </c>
      <c r="G16" s="4" t="s">
        <v>155</v>
      </c>
      <c r="H16" s="4" t="s">
        <v>82</v>
      </c>
      <c r="I16" s="4" t="s">
        <v>156</v>
      </c>
      <c r="J16" s="4">
        <v>3.0</v>
      </c>
      <c r="K16" s="8">
        <v>128849.0</v>
      </c>
      <c r="L16" s="8">
        <v>128290.0</v>
      </c>
      <c r="M16" s="8">
        <v>559.0</v>
      </c>
      <c r="N16" s="9">
        <f t="shared" si="1"/>
        <v>0.9956615884</v>
      </c>
      <c r="O16" s="8">
        <v>81054.0</v>
      </c>
      <c r="P16" s="8">
        <v>55464.0</v>
      </c>
      <c r="Q16" s="9">
        <f t="shared" si="2"/>
        <v>0.4323329956</v>
      </c>
      <c r="R16" s="8">
        <v>7160.0</v>
      </c>
      <c r="S16" s="8">
        <v>4393.0</v>
      </c>
      <c r="T16" s="9">
        <f t="shared" si="3"/>
        <v>0.03424273131</v>
      </c>
      <c r="U16" s="9">
        <f t="shared" si="4"/>
        <v>0.07920452906</v>
      </c>
      <c r="V16" s="8">
        <v>2599.0</v>
      </c>
      <c r="W16" s="8">
        <v>2303.0</v>
      </c>
      <c r="X16" s="9">
        <f t="shared" si="5"/>
        <v>0.0179515161</v>
      </c>
      <c r="Y16" s="10">
        <v>190658.49</v>
      </c>
      <c r="Z16" s="10">
        <f t="shared" si="6"/>
        <v>73.35840323</v>
      </c>
      <c r="AA16" s="11">
        <f t="shared" si="7"/>
        <v>1.486152389</v>
      </c>
      <c r="AB16" s="8">
        <v>411.0</v>
      </c>
      <c r="AC16" s="9">
        <f t="shared" si="8"/>
        <v>0.003203679164</v>
      </c>
      <c r="AD16" s="8">
        <v>15.0</v>
      </c>
      <c r="AE16" s="4" t="s">
        <v>107</v>
      </c>
      <c r="AF16" s="4"/>
      <c r="AG16" s="4"/>
    </row>
    <row r="17">
      <c r="A17" s="4" t="s">
        <v>157</v>
      </c>
      <c r="B17" s="4" t="s">
        <v>158</v>
      </c>
      <c r="C17" s="4" t="s">
        <v>159</v>
      </c>
      <c r="D17" s="4" t="s">
        <v>65</v>
      </c>
      <c r="E17" s="4" t="s">
        <v>57</v>
      </c>
      <c r="F17" s="7">
        <v>46099.75</v>
      </c>
      <c r="G17" s="4" t="s">
        <v>58</v>
      </c>
      <c r="H17" s="4" t="s">
        <v>82</v>
      </c>
      <c r="I17" s="4" t="s">
        <v>160</v>
      </c>
      <c r="J17" s="4">
        <v>3.0</v>
      </c>
      <c r="K17" s="8">
        <v>73634.0</v>
      </c>
      <c r="L17" s="8">
        <v>71389.0</v>
      </c>
      <c r="M17" s="8">
        <v>2245.0</v>
      </c>
      <c r="N17" s="9">
        <f t="shared" si="1"/>
        <v>0.969511367</v>
      </c>
      <c r="O17" s="8">
        <v>0.0</v>
      </c>
      <c r="P17" s="8">
        <v>0.0</v>
      </c>
      <c r="Q17" s="9">
        <f t="shared" si="2"/>
        <v>0</v>
      </c>
      <c r="R17" s="8">
        <v>11959.0</v>
      </c>
      <c r="S17" s="8">
        <v>10066.0</v>
      </c>
      <c r="T17" s="9">
        <f t="shared" si="3"/>
        <v>0.1410021152</v>
      </c>
      <c r="U17" s="9">
        <f t="shared" si="4"/>
        <v>0</v>
      </c>
      <c r="V17" s="8">
        <v>826.0</v>
      </c>
      <c r="W17" s="8">
        <v>792.0</v>
      </c>
      <c r="X17" s="9">
        <f t="shared" si="5"/>
        <v>0.01109414616</v>
      </c>
      <c r="Y17" s="10">
        <v>57781.5</v>
      </c>
      <c r="Z17" s="10">
        <f t="shared" si="6"/>
        <v>69.95338983</v>
      </c>
      <c r="AA17" s="11">
        <f t="shared" si="7"/>
        <v>0.8093894017</v>
      </c>
      <c r="AB17" s="8">
        <v>514.0</v>
      </c>
      <c r="AC17" s="9">
        <f t="shared" si="8"/>
        <v>0.007199988794</v>
      </c>
      <c r="AD17" s="8">
        <v>0.0</v>
      </c>
      <c r="AE17" s="4" t="s">
        <v>69</v>
      </c>
      <c r="AF17" s="4"/>
      <c r="AG17" s="4"/>
    </row>
    <row r="18">
      <c r="A18" s="4" t="s">
        <v>161</v>
      </c>
      <c r="B18" s="4" t="s">
        <v>162</v>
      </c>
      <c r="C18" s="4" t="s">
        <v>64</v>
      </c>
      <c r="D18" s="4" t="s">
        <v>65</v>
      </c>
      <c r="E18" s="4" t="s">
        <v>66</v>
      </c>
      <c r="F18" s="7">
        <v>46099.5416666667</v>
      </c>
      <c r="G18" s="4" t="s">
        <v>163</v>
      </c>
      <c r="H18" s="4" t="s">
        <v>82</v>
      </c>
      <c r="I18" s="4" t="s">
        <v>164</v>
      </c>
      <c r="J18" s="4">
        <v>3.0</v>
      </c>
      <c r="K18" s="8">
        <v>54817.0</v>
      </c>
      <c r="L18" s="8">
        <v>54582.0</v>
      </c>
      <c r="M18" s="8">
        <v>235.0</v>
      </c>
      <c r="N18" s="9">
        <f t="shared" si="1"/>
        <v>0.9957130087</v>
      </c>
      <c r="O18" s="8">
        <v>33925.0</v>
      </c>
      <c r="P18" s="8">
        <v>25718.0</v>
      </c>
      <c r="Q18" s="9">
        <f t="shared" si="2"/>
        <v>0.4711809754</v>
      </c>
      <c r="R18" s="8">
        <v>3349.0</v>
      </c>
      <c r="S18" s="8">
        <v>2153.0</v>
      </c>
      <c r="T18" s="9">
        <f t="shared" si="3"/>
        <v>0.03944523836</v>
      </c>
      <c r="U18" s="9">
        <f t="shared" si="4"/>
        <v>0.08371568551</v>
      </c>
      <c r="V18" s="8">
        <v>1813.0</v>
      </c>
      <c r="W18" s="8">
        <v>1739.0</v>
      </c>
      <c r="X18" s="9">
        <f t="shared" si="5"/>
        <v>0.03186032025</v>
      </c>
      <c r="Y18" s="10">
        <v>129274.38</v>
      </c>
      <c r="Z18" s="10">
        <f t="shared" si="6"/>
        <v>71.30412576</v>
      </c>
      <c r="AA18" s="11">
        <f t="shared" si="7"/>
        <v>2.368443443</v>
      </c>
      <c r="AB18" s="8">
        <v>150.0</v>
      </c>
      <c r="AC18" s="9">
        <f t="shared" si="8"/>
        <v>0.002748158734</v>
      </c>
      <c r="AD18" s="8">
        <v>10.0</v>
      </c>
      <c r="AE18" s="4" t="s">
        <v>107</v>
      </c>
      <c r="AF18" s="4"/>
      <c r="AG18" s="4"/>
    </row>
    <row r="19">
      <c r="A19" s="4" t="s">
        <v>165</v>
      </c>
      <c r="B19" s="4" t="s">
        <v>166</v>
      </c>
      <c r="C19" s="4" t="s">
        <v>167</v>
      </c>
      <c r="D19" s="4" t="s">
        <v>97</v>
      </c>
      <c r="E19" s="4" t="s">
        <v>66</v>
      </c>
      <c r="F19" s="7">
        <v>46094.5833333333</v>
      </c>
      <c r="G19" s="4" t="s">
        <v>168</v>
      </c>
      <c r="H19" s="4" t="s">
        <v>135</v>
      </c>
      <c r="I19" s="4" t="s">
        <v>169</v>
      </c>
      <c r="J19" s="4">
        <v>2.0</v>
      </c>
      <c r="K19" s="8">
        <v>51234.0</v>
      </c>
      <c r="L19" s="8">
        <v>50985.0</v>
      </c>
      <c r="M19" s="8">
        <v>249.0</v>
      </c>
      <c r="N19" s="9">
        <f t="shared" si="1"/>
        <v>0.9951399461</v>
      </c>
      <c r="O19" s="8">
        <v>29469.0</v>
      </c>
      <c r="P19" s="8">
        <v>20188.0</v>
      </c>
      <c r="Q19" s="9">
        <f t="shared" si="2"/>
        <v>0.395959596</v>
      </c>
      <c r="R19" s="8">
        <v>1977.0</v>
      </c>
      <c r="S19" s="8">
        <v>1452.0</v>
      </c>
      <c r="T19" s="9">
        <f t="shared" si="3"/>
        <v>0.0284789644</v>
      </c>
      <c r="U19" s="9">
        <f t="shared" si="4"/>
        <v>0.0719239152</v>
      </c>
      <c r="V19" s="8">
        <v>574.0</v>
      </c>
      <c r="W19" s="8">
        <v>554.0</v>
      </c>
      <c r="X19" s="9">
        <f t="shared" si="5"/>
        <v>0.01086594096</v>
      </c>
      <c r="Y19" s="10">
        <v>50442.01</v>
      </c>
      <c r="Z19" s="10">
        <f t="shared" si="6"/>
        <v>87.8780662</v>
      </c>
      <c r="AA19" s="11">
        <f t="shared" si="7"/>
        <v>0.9893500049</v>
      </c>
      <c r="AB19" s="8">
        <v>185.0</v>
      </c>
      <c r="AC19" s="9">
        <f t="shared" si="8"/>
        <v>0.003628518192</v>
      </c>
      <c r="AD19" s="8">
        <v>6.0</v>
      </c>
      <c r="AE19" s="4" t="s">
        <v>93</v>
      </c>
      <c r="AF19" s="4"/>
      <c r="AG19" s="4"/>
    </row>
    <row r="20">
      <c r="A20" s="4" t="s">
        <v>170</v>
      </c>
      <c r="B20" s="4" t="s">
        <v>171</v>
      </c>
      <c r="C20" s="4" t="s">
        <v>129</v>
      </c>
      <c r="D20" s="4" t="s">
        <v>73</v>
      </c>
      <c r="E20" s="4" t="s">
        <v>66</v>
      </c>
      <c r="F20" s="7">
        <v>46094.5833333333</v>
      </c>
      <c r="G20" s="4" t="s">
        <v>168</v>
      </c>
      <c r="H20" s="4" t="s">
        <v>135</v>
      </c>
      <c r="I20" s="4" t="s">
        <v>172</v>
      </c>
      <c r="J20" s="4">
        <v>2.0</v>
      </c>
      <c r="K20" s="8">
        <v>76143.0</v>
      </c>
      <c r="L20" s="8">
        <v>75452.0</v>
      </c>
      <c r="M20" s="8">
        <v>691.0</v>
      </c>
      <c r="N20" s="9">
        <f t="shared" si="1"/>
        <v>0.9909249701</v>
      </c>
      <c r="O20" s="8">
        <v>36059.0</v>
      </c>
      <c r="P20" s="8">
        <v>24440.0</v>
      </c>
      <c r="Q20" s="9">
        <f t="shared" si="2"/>
        <v>0.3239145417</v>
      </c>
      <c r="R20" s="8">
        <v>2168.0</v>
      </c>
      <c r="S20" s="8">
        <v>1509.0</v>
      </c>
      <c r="T20" s="9">
        <f t="shared" si="3"/>
        <v>0.01999946986</v>
      </c>
      <c r="U20" s="9">
        <f t="shared" si="4"/>
        <v>0.06174304419</v>
      </c>
      <c r="V20" s="8">
        <v>897.0</v>
      </c>
      <c r="W20" s="8">
        <v>821.0</v>
      </c>
      <c r="X20" s="9">
        <f t="shared" si="5"/>
        <v>0.01088108996</v>
      </c>
      <c r="Y20" s="10">
        <v>72808.22</v>
      </c>
      <c r="Z20" s="10">
        <f t="shared" si="6"/>
        <v>81.16858417</v>
      </c>
      <c r="AA20" s="11">
        <f t="shared" si="7"/>
        <v>0.9649607698</v>
      </c>
      <c r="AB20" s="8">
        <v>70.0</v>
      </c>
      <c r="AC20" s="9">
        <f t="shared" si="8"/>
        <v>0.0009277421407</v>
      </c>
      <c r="AD20" s="8">
        <v>2.0</v>
      </c>
      <c r="AE20" s="4" t="s">
        <v>84</v>
      </c>
      <c r="AF20" s="4"/>
      <c r="AG20" s="4"/>
    </row>
    <row r="21" ht="15.75" customHeight="1">
      <c r="A21" s="4" t="s">
        <v>173</v>
      </c>
      <c r="B21" s="4" t="s">
        <v>174</v>
      </c>
      <c r="C21" s="4" t="s">
        <v>175</v>
      </c>
      <c r="D21" s="4" t="s">
        <v>176</v>
      </c>
      <c r="E21" s="4" t="s">
        <v>66</v>
      </c>
      <c r="F21" s="7">
        <v>46091.5416666667</v>
      </c>
      <c r="G21" s="4" t="s">
        <v>163</v>
      </c>
      <c r="H21" s="4" t="s">
        <v>91</v>
      </c>
      <c r="I21" s="4" t="s">
        <v>177</v>
      </c>
      <c r="J21" s="4">
        <v>2.0</v>
      </c>
      <c r="K21" s="8">
        <v>61862.0</v>
      </c>
      <c r="L21" s="8">
        <v>61319.0</v>
      </c>
      <c r="M21" s="8">
        <v>543.0</v>
      </c>
      <c r="N21" s="9">
        <f t="shared" si="1"/>
        <v>0.9912223982</v>
      </c>
      <c r="O21" s="8">
        <v>33845.0</v>
      </c>
      <c r="P21" s="8">
        <v>23194.0</v>
      </c>
      <c r="Q21" s="9">
        <f t="shared" si="2"/>
        <v>0.3782514392</v>
      </c>
      <c r="R21" s="8">
        <v>2909.0</v>
      </c>
      <c r="S21" s="8">
        <v>1770.0</v>
      </c>
      <c r="T21" s="9">
        <f t="shared" si="3"/>
        <v>0.02886544138</v>
      </c>
      <c r="U21" s="9">
        <f t="shared" si="4"/>
        <v>0.07631283953</v>
      </c>
      <c r="V21" s="8">
        <v>188.0</v>
      </c>
      <c r="W21" s="8">
        <v>161.0</v>
      </c>
      <c r="X21" s="9">
        <f t="shared" si="5"/>
        <v>0.002625613594</v>
      </c>
      <c r="Y21" s="10">
        <v>19422.09</v>
      </c>
      <c r="Z21" s="10">
        <f t="shared" si="6"/>
        <v>103.3089894</v>
      </c>
      <c r="AA21" s="11">
        <f t="shared" si="7"/>
        <v>0.3167385313</v>
      </c>
      <c r="AB21" s="8">
        <v>93.0</v>
      </c>
      <c r="AC21" s="9">
        <f t="shared" si="8"/>
        <v>0.001516658784</v>
      </c>
      <c r="AD21" s="8">
        <v>6.0</v>
      </c>
      <c r="AE21" s="4" t="s">
        <v>100</v>
      </c>
      <c r="AF21" s="4" t="s">
        <v>151</v>
      </c>
      <c r="AG21" s="4"/>
    </row>
    <row r="22" ht="15.75" customHeight="1">
      <c r="A22" s="4" t="s">
        <v>178</v>
      </c>
      <c r="B22" s="4" t="s">
        <v>179</v>
      </c>
      <c r="C22" s="4" t="s">
        <v>180</v>
      </c>
      <c r="D22" s="4" t="s">
        <v>176</v>
      </c>
      <c r="E22" s="4" t="s">
        <v>66</v>
      </c>
      <c r="F22" s="7">
        <v>46090.7291666667</v>
      </c>
      <c r="G22" s="4" t="s">
        <v>181</v>
      </c>
      <c r="H22" s="4" t="s">
        <v>98</v>
      </c>
      <c r="I22" s="4" t="s">
        <v>182</v>
      </c>
      <c r="J22" s="4">
        <v>2.0</v>
      </c>
      <c r="K22" s="8">
        <v>240631.0</v>
      </c>
      <c r="L22" s="8">
        <v>237329.0</v>
      </c>
      <c r="M22" s="8">
        <v>3302.0</v>
      </c>
      <c r="N22" s="9">
        <f t="shared" si="1"/>
        <v>0.9862777448</v>
      </c>
      <c r="O22" s="8">
        <v>168375.0</v>
      </c>
      <c r="P22" s="8">
        <v>127481.0</v>
      </c>
      <c r="Q22" s="9">
        <f t="shared" si="2"/>
        <v>0.5371488524</v>
      </c>
      <c r="R22" s="8">
        <v>13955.0</v>
      </c>
      <c r="S22" s="8">
        <v>8063.0</v>
      </c>
      <c r="T22" s="9">
        <f t="shared" si="3"/>
        <v>0.03397393492</v>
      </c>
      <c r="U22" s="9">
        <f t="shared" si="4"/>
        <v>0.06324864097</v>
      </c>
      <c r="V22" s="8">
        <v>796.0</v>
      </c>
      <c r="W22" s="8">
        <v>696.0</v>
      </c>
      <c r="X22" s="9">
        <f t="shared" si="5"/>
        <v>0.002932637815</v>
      </c>
      <c r="Y22" s="10">
        <v>73357.03</v>
      </c>
      <c r="Z22" s="10">
        <f t="shared" si="6"/>
        <v>92.15707286</v>
      </c>
      <c r="AA22" s="11">
        <f t="shared" si="7"/>
        <v>0.3090942531</v>
      </c>
      <c r="AB22" s="8">
        <v>469.0</v>
      </c>
      <c r="AC22" s="9">
        <f t="shared" si="8"/>
        <v>0.001976159677</v>
      </c>
      <c r="AD22" s="8">
        <v>23.0</v>
      </c>
      <c r="AE22" s="4" t="s">
        <v>112</v>
      </c>
      <c r="AF22" s="4" t="s">
        <v>183</v>
      </c>
      <c r="AG22" s="4"/>
    </row>
    <row r="23" ht="15.75" customHeight="1">
      <c r="A23" s="4" t="s">
        <v>184</v>
      </c>
      <c r="B23" s="4" t="s">
        <v>185</v>
      </c>
      <c r="C23" s="4" t="s">
        <v>186</v>
      </c>
      <c r="D23" s="4" t="s">
        <v>187</v>
      </c>
      <c r="E23" s="4" t="s">
        <v>66</v>
      </c>
      <c r="F23" s="7">
        <v>46088.8333333333</v>
      </c>
      <c r="G23" s="4" t="s">
        <v>188</v>
      </c>
      <c r="H23" s="4" t="s">
        <v>105</v>
      </c>
      <c r="I23" s="4" t="s">
        <v>189</v>
      </c>
      <c r="J23" s="4">
        <v>2.0</v>
      </c>
      <c r="K23" s="8">
        <v>241848.0</v>
      </c>
      <c r="L23" s="8">
        <v>240899.0</v>
      </c>
      <c r="M23" s="8">
        <v>949.0</v>
      </c>
      <c r="N23" s="9">
        <f t="shared" si="1"/>
        <v>0.9960760478</v>
      </c>
      <c r="O23" s="8">
        <v>115925.0</v>
      </c>
      <c r="P23" s="8">
        <v>88624.0</v>
      </c>
      <c r="Q23" s="9">
        <f t="shared" si="2"/>
        <v>0.3678886172</v>
      </c>
      <c r="R23" s="8">
        <v>7415.0</v>
      </c>
      <c r="S23" s="8">
        <v>4901.0</v>
      </c>
      <c r="T23" s="9">
        <f t="shared" si="3"/>
        <v>0.02034462576</v>
      </c>
      <c r="U23" s="9">
        <f t="shared" si="4"/>
        <v>0.05530104712</v>
      </c>
      <c r="V23" s="8">
        <v>2628.0</v>
      </c>
      <c r="W23" s="8">
        <v>2524.0</v>
      </c>
      <c r="X23" s="9">
        <f t="shared" si="5"/>
        <v>0.01047742</v>
      </c>
      <c r="Y23" s="10">
        <v>201506.88</v>
      </c>
      <c r="Z23" s="10">
        <f t="shared" si="6"/>
        <v>76.67689498</v>
      </c>
      <c r="AA23" s="11">
        <f t="shared" si="7"/>
        <v>0.8364786902</v>
      </c>
      <c r="AB23" s="8">
        <v>128.0</v>
      </c>
      <c r="AC23" s="9">
        <f t="shared" si="8"/>
        <v>0.000531343011</v>
      </c>
      <c r="AD23" s="8">
        <v>14.0</v>
      </c>
      <c r="AE23" s="4" t="s">
        <v>190</v>
      </c>
      <c r="AF23" s="4"/>
      <c r="AG23" s="4"/>
    </row>
    <row r="24" ht="15.75" customHeight="1">
      <c r="A24" s="4" t="s">
        <v>191</v>
      </c>
      <c r="B24" s="4" t="s">
        <v>192</v>
      </c>
      <c r="C24" s="4" t="s">
        <v>193</v>
      </c>
      <c r="D24" s="4" t="s">
        <v>104</v>
      </c>
      <c r="E24" s="4" t="s">
        <v>66</v>
      </c>
      <c r="F24" s="7">
        <v>46086.9166666667</v>
      </c>
      <c r="G24" s="4" t="s">
        <v>67</v>
      </c>
      <c r="H24" s="4" t="s">
        <v>75</v>
      </c>
      <c r="I24" s="4" t="s">
        <v>194</v>
      </c>
      <c r="J24" s="4">
        <v>3.0</v>
      </c>
      <c r="K24" s="8">
        <v>101909.0</v>
      </c>
      <c r="L24" s="8">
        <v>100509.0</v>
      </c>
      <c r="M24" s="8">
        <v>1400.0</v>
      </c>
      <c r="N24" s="9">
        <f t="shared" si="1"/>
        <v>0.9862622536</v>
      </c>
      <c r="O24" s="8">
        <v>52472.0</v>
      </c>
      <c r="P24" s="8">
        <v>37798.0</v>
      </c>
      <c r="Q24" s="9">
        <f t="shared" si="2"/>
        <v>0.376065825</v>
      </c>
      <c r="R24" s="8">
        <v>4401.0</v>
      </c>
      <c r="S24" s="8">
        <v>2598.0</v>
      </c>
      <c r="T24" s="9">
        <f t="shared" si="3"/>
        <v>0.02584843148</v>
      </c>
      <c r="U24" s="9">
        <f t="shared" si="4"/>
        <v>0.06873379544</v>
      </c>
      <c r="V24" s="8">
        <v>1455.0</v>
      </c>
      <c r="W24" s="8">
        <v>1305.0</v>
      </c>
      <c r="X24" s="9">
        <f t="shared" si="5"/>
        <v>0.01298391189</v>
      </c>
      <c r="Y24" s="10">
        <v>100940.68</v>
      </c>
      <c r="Z24" s="10">
        <f t="shared" si="6"/>
        <v>69.3750378</v>
      </c>
      <c r="AA24" s="11">
        <f t="shared" si="7"/>
        <v>1.004294939</v>
      </c>
      <c r="AB24" s="8">
        <v>370.0</v>
      </c>
      <c r="AC24" s="9">
        <f t="shared" si="8"/>
        <v>0.003681262375</v>
      </c>
      <c r="AD24" s="8">
        <v>11.0</v>
      </c>
      <c r="AE24" s="4" t="s">
        <v>195</v>
      </c>
      <c r="AF24" s="4"/>
      <c r="AG24" s="4"/>
    </row>
    <row r="25" ht="15.75" customHeight="1">
      <c r="A25" s="4" t="s">
        <v>196</v>
      </c>
      <c r="B25" s="4" t="s">
        <v>197</v>
      </c>
      <c r="C25" s="4" t="s">
        <v>198</v>
      </c>
      <c r="D25" s="4" t="s">
        <v>199</v>
      </c>
      <c r="E25" s="4" t="s">
        <v>66</v>
      </c>
      <c r="F25" s="7">
        <v>46085.9166666667</v>
      </c>
      <c r="G25" s="4" t="s">
        <v>67</v>
      </c>
      <c r="H25" s="4" t="s">
        <v>82</v>
      </c>
      <c r="I25" s="4" t="s">
        <v>200</v>
      </c>
      <c r="J25" s="4">
        <v>2.0</v>
      </c>
      <c r="K25" s="8">
        <v>76067.0</v>
      </c>
      <c r="L25" s="8">
        <v>75745.0</v>
      </c>
      <c r="M25" s="8">
        <v>322.0</v>
      </c>
      <c r="N25" s="9">
        <f t="shared" si="1"/>
        <v>0.9957668897</v>
      </c>
      <c r="O25" s="8">
        <v>33988.0</v>
      </c>
      <c r="P25" s="8">
        <v>26118.0</v>
      </c>
      <c r="Q25" s="9">
        <f t="shared" si="2"/>
        <v>0.3448148393</v>
      </c>
      <c r="R25" s="8">
        <v>2813.0</v>
      </c>
      <c r="S25" s="8">
        <v>1777.0</v>
      </c>
      <c r="T25" s="9">
        <f t="shared" si="3"/>
        <v>0.02346029441</v>
      </c>
      <c r="U25" s="9">
        <f t="shared" si="4"/>
        <v>0.06803736886</v>
      </c>
      <c r="V25" s="8">
        <v>1414.0</v>
      </c>
      <c r="W25" s="8">
        <v>1265.0</v>
      </c>
      <c r="X25" s="9">
        <f t="shared" si="5"/>
        <v>0.01670077233</v>
      </c>
      <c r="Y25" s="10">
        <v>107025.63</v>
      </c>
      <c r="Z25" s="10">
        <f t="shared" si="6"/>
        <v>75.68997878</v>
      </c>
      <c r="AA25" s="11">
        <f t="shared" si="7"/>
        <v>1.412972869</v>
      </c>
      <c r="AB25" s="8">
        <v>50.0</v>
      </c>
      <c r="AC25" s="9">
        <f t="shared" si="8"/>
        <v>0.0006601095782</v>
      </c>
      <c r="AD25" s="8">
        <v>3.0</v>
      </c>
      <c r="AE25" s="4" t="s">
        <v>69</v>
      </c>
      <c r="AF25" s="4"/>
      <c r="AG25" s="4"/>
    </row>
    <row r="26" ht="15.75" customHeight="1">
      <c r="A26" s="4" t="s">
        <v>201</v>
      </c>
      <c r="B26" s="4" t="s">
        <v>202</v>
      </c>
      <c r="C26" s="4" t="s">
        <v>72</v>
      </c>
      <c r="D26" s="4" t="s">
        <v>73</v>
      </c>
      <c r="E26" s="4" t="s">
        <v>66</v>
      </c>
      <c r="F26" s="7">
        <v>46084.875</v>
      </c>
      <c r="G26" s="4" t="s">
        <v>155</v>
      </c>
      <c r="H26" s="4" t="s">
        <v>91</v>
      </c>
      <c r="I26" s="4" t="s">
        <v>203</v>
      </c>
      <c r="J26" s="4">
        <v>4.0</v>
      </c>
      <c r="K26" s="8">
        <v>260742.0</v>
      </c>
      <c r="L26" s="8">
        <v>258374.0</v>
      </c>
      <c r="M26" s="8">
        <v>2368.0</v>
      </c>
      <c r="N26" s="9">
        <f t="shared" si="1"/>
        <v>0.9909182257</v>
      </c>
      <c r="O26" s="8">
        <v>108556.0</v>
      </c>
      <c r="P26" s="8">
        <v>86015.0</v>
      </c>
      <c r="Q26" s="9">
        <f t="shared" si="2"/>
        <v>0.332908884</v>
      </c>
      <c r="R26" s="8">
        <v>7201.0</v>
      </c>
      <c r="S26" s="8">
        <v>4682.0</v>
      </c>
      <c r="T26" s="9">
        <f t="shared" si="3"/>
        <v>0.01812101837</v>
      </c>
      <c r="U26" s="9">
        <f t="shared" si="4"/>
        <v>0.05443236645</v>
      </c>
      <c r="V26" s="8">
        <v>2320.0</v>
      </c>
      <c r="W26" s="8">
        <v>2182.0</v>
      </c>
      <c r="X26" s="9">
        <f t="shared" si="5"/>
        <v>0.008445122187</v>
      </c>
      <c r="Y26" s="10">
        <v>171128.96</v>
      </c>
      <c r="Z26" s="10">
        <f t="shared" si="6"/>
        <v>73.76248276</v>
      </c>
      <c r="AA26" s="11">
        <f t="shared" si="7"/>
        <v>0.6623304202</v>
      </c>
      <c r="AB26" s="8">
        <v>400.0</v>
      </c>
      <c r="AC26" s="9">
        <f t="shared" si="8"/>
        <v>0.001548143389</v>
      </c>
      <c r="AD26" s="8">
        <v>63.0</v>
      </c>
      <c r="AE26" s="4" t="s">
        <v>195</v>
      </c>
      <c r="AF26" s="4"/>
      <c r="AG26" s="4"/>
    </row>
    <row r="27" ht="15.75" customHeight="1">
      <c r="A27" s="4" t="s">
        <v>204</v>
      </c>
      <c r="B27" s="4" t="s">
        <v>205</v>
      </c>
      <c r="C27" s="4" t="s">
        <v>206</v>
      </c>
      <c r="D27" s="4" t="s">
        <v>199</v>
      </c>
      <c r="E27" s="4" t="s">
        <v>57</v>
      </c>
      <c r="F27" s="7">
        <v>46084.6666666667</v>
      </c>
      <c r="G27" s="4" t="s">
        <v>74</v>
      </c>
      <c r="H27" s="4" t="s">
        <v>91</v>
      </c>
      <c r="I27" s="4" t="s">
        <v>207</v>
      </c>
      <c r="J27" s="4">
        <v>1.0</v>
      </c>
      <c r="K27" s="8">
        <v>16231.0</v>
      </c>
      <c r="L27" s="8">
        <v>16026.0</v>
      </c>
      <c r="M27" s="8">
        <v>205.0</v>
      </c>
      <c r="N27" s="9">
        <f t="shared" si="1"/>
        <v>0.9873698478</v>
      </c>
      <c r="O27" s="8">
        <v>0.0</v>
      </c>
      <c r="P27" s="8">
        <v>0.0</v>
      </c>
      <c r="Q27" s="9">
        <f t="shared" si="2"/>
        <v>0</v>
      </c>
      <c r="R27" s="8">
        <v>2628.0</v>
      </c>
      <c r="S27" s="8">
        <v>2197.0</v>
      </c>
      <c r="T27" s="9">
        <f t="shared" si="3"/>
        <v>0.1370897292</v>
      </c>
      <c r="U27" s="9">
        <f t="shared" si="4"/>
        <v>0</v>
      </c>
      <c r="V27" s="8">
        <v>363.0</v>
      </c>
      <c r="W27" s="8">
        <v>356.0</v>
      </c>
      <c r="X27" s="9">
        <f t="shared" si="5"/>
        <v>0.02221390241</v>
      </c>
      <c r="Y27" s="10">
        <v>26619.75</v>
      </c>
      <c r="Z27" s="10">
        <f t="shared" si="6"/>
        <v>73.33264463</v>
      </c>
      <c r="AA27" s="11">
        <f t="shared" si="7"/>
        <v>1.661035193</v>
      </c>
      <c r="AB27" s="8">
        <v>87.0</v>
      </c>
      <c r="AC27" s="9">
        <f t="shared" si="8"/>
        <v>0.005428678398</v>
      </c>
      <c r="AD27" s="8">
        <v>0.0</v>
      </c>
      <c r="AE27" s="4" t="s">
        <v>69</v>
      </c>
      <c r="AF27" s="4"/>
      <c r="AG27" s="4"/>
    </row>
    <row r="28" ht="15.75" customHeight="1">
      <c r="A28" s="4" t="s">
        <v>208</v>
      </c>
      <c r="B28" s="4" t="s">
        <v>209</v>
      </c>
      <c r="C28" s="4" t="s">
        <v>210</v>
      </c>
      <c r="D28" s="4" t="s">
        <v>81</v>
      </c>
      <c r="E28" s="4" t="s">
        <v>57</v>
      </c>
      <c r="F28" s="7">
        <v>46081.75</v>
      </c>
      <c r="G28" s="4" t="s">
        <v>58</v>
      </c>
      <c r="H28" s="4" t="s">
        <v>105</v>
      </c>
      <c r="I28" s="4" t="s">
        <v>211</v>
      </c>
      <c r="J28" s="4">
        <v>2.0</v>
      </c>
      <c r="K28" s="8">
        <v>44991.0</v>
      </c>
      <c r="L28" s="8">
        <v>43935.0</v>
      </c>
      <c r="M28" s="8">
        <v>1056.0</v>
      </c>
      <c r="N28" s="9">
        <f t="shared" si="1"/>
        <v>0.9765286391</v>
      </c>
      <c r="O28" s="8">
        <v>0.0</v>
      </c>
      <c r="P28" s="8">
        <v>0.0</v>
      </c>
      <c r="Q28" s="9">
        <f t="shared" si="2"/>
        <v>0</v>
      </c>
      <c r="R28" s="8">
        <v>6020.0</v>
      </c>
      <c r="S28" s="8">
        <v>5329.0</v>
      </c>
      <c r="T28" s="9">
        <f t="shared" si="3"/>
        <v>0.1212928189</v>
      </c>
      <c r="U28" s="9">
        <f t="shared" si="4"/>
        <v>0</v>
      </c>
      <c r="V28" s="8">
        <v>1347.0</v>
      </c>
      <c r="W28" s="8">
        <v>1320.0</v>
      </c>
      <c r="X28" s="9">
        <f t="shared" si="5"/>
        <v>0.03004438375</v>
      </c>
      <c r="Y28" s="10">
        <v>110810.6</v>
      </c>
      <c r="Z28" s="10">
        <f t="shared" si="6"/>
        <v>82.26473645</v>
      </c>
      <c r="AA28" s="11">
        <f t="shared" si="7"/>
        <v>2.522148629</v>
      </c>
      <c r="AB28" s="8">
        <v>90.0</v>
      </c>
      <c r="AC28" s="9">
        <f t="shared" si="8"/>
        <v>0.00204848071</v>
      </c>
      <c r="AD28" s="8">
        <v>0.0</v>
      </c>
      <c r="AE28" s="4" t="s">
        <v>126</v>
      </c>
      <c r="AF28" s="4" t="s">
        <v>212</v>
      </c>
      <c r="AG28" s="4"/>
    </row>
    <row r="29" ht="15.75" customHeight="1">
      <c r="A29" s="4" t="s">
        <v>213</v>
      </c>
      <c r="B29" s="4" t="s">
        <v>214</v>
      </c>
      <c r="C29" s="4" t="s">
        <v>215</v>
      </c>
      <c r="D29" s="4" t="s">
        <v>97</v>
      </c>
      <c r="E29" s="4" t="s">
        <v>66</v>
      </c>
      <c r="F29" s="7">
        <v>46080.6041666667</v>
      </c>
      <c r="G29" s="4" t="s">
        <v>118</v>
      </c>
      <c r="H29" s="4" t="s">
        <v>135</v>
      </c>
      <c r="I29" s="4" t="s">
        <v>216</v>
      </c>
      <c r="J29" s="4">
        <v>3.0</v>
      </c>
      <c r="K29" s="8">
        <v>126947.0</v>
      </c>
      <c r="L29" s="8">
        <v>126606.0</v>
      </c>
      <c r="M29" s="8">
        <v>341.0</v>
      </c>
      <c r="N29" s="9">
        <f t="shared" si="1"/>
        <v>0.9973138396</v>
      </c>
      <c r="O29" s="8">
        <v>78640.0</v>
      </c>
      <c r="P29" s="8">
        <v>57440.0</v>
      </c>
      <c r="Q29" s="9">
        <f t="shared" si="2"/>
        <v>0.4536909783</v>
      </c>
      <c r="R29" s="8">
        <v>6648.0</v>
      </c>
      <c r="S29" s="8">
        <v>4769.0</v>
      </c>
      <c r="T29" s="9">
        <f t="shared" si="3"/>
        <v>0.03766804101</v>
      </c>
      <c r="U29" s="9">
        <f t="shared" si="4"/>
        <v>0.08302576602</v>
      </c>
      <c r="V29" s="8">
        <v>2323.0</v>
      </c>
      <c r="W29" s="8">
        <v>2240.0</v>
      </c>
      <c r="X29" s="9">
        <f t="shared" si="5"/>
        <v>0.01769268439</v>
      </c>
      <c r="Y29" s="10">
        <v>189810.03</v>
      </c>
      <c r="Z29" s="10">
        <f t="shared" si="6"/>
        <v>81.7090099</v>
      </c>
      <c r="AA29" s="11">
        <f t="shared" si="7"/>
        <v>1.499218283</v>
      </c>
      <c r="AB29" s="8">
        <v>200.0</v>
      </c>
      <c r="AC29" s="9">
        <f t="shared" si="8"/>
        <v>0.001579703963</v>
      </c>
      <c r="AD29" s="8">
        <v>19.0</v>
      </c>
      <c r="AE29" s="4" t="s">
        <v>195</v>
      </c>
      <c r="AF29" s="4"/>
      <c r="AG29" s="4"/>
    </row>
    <row r="30" ht="15.75" customHeight="1">
      <c r="A30" s="4" t="s">
        <v>217</v>
      </c>
      <c r="B30" s="4" t="s">
        <v>218</v>
      </c>
      <c r="C30" s="4" t="s">
        <v>122</v>
      </c>
      <c r="D30" s="4" t="s">
        <v>123</v>
      </c>
      <c r="E30" s="4" t="s">
        <v>66</v>
      </c>
      <c r="F30" s="7">
        <v>46077.8958333333</v>
      </c>
      <c r="G30" s="4" t="s">
        <v>142</v>
      </c>
      <c r="H30" s="4" t="s">
        <v>91</v>
      </c>
      <c r="I30" s="4" t="s">
        <v>219</v>
      </c>
      <c r="J30" s="4">
        <v>2.0</v>
      </c>
      <c r="K30" s="8">
        <v>85362.0</v>
      </c>
      <c r="L30" s="8">
        <v>84551.0</v>
      </c>
      <c r="M30" s="8">
        <v>811.0</v>
      </c>
      <c r="N30" s="9">
        <f t="shared" si="1"/>
        <v>0.9904992854</v>
      </c>
      <c r="O30" s="8">
        <v>35398.0</v>
      </c>
      <c r="P30" s="8">
        <v>24705.0</v>
      </c>
      <c r="Q30" s="9">
        <f t="shared" si="2"/>
        <v>0.2921905122</v>
      </c>
      <c r="R30" s="8">
        <v>1132.0</v>
      </c>
      <c r="S30" s="8">
        <v>832.0</v>
      </c>
      <c r="T30" s="9">
        <f t="shared" si="3"/>
        <v>0.009840214782</v>
      </c>
      <c r="U30" s="9">
        <f t="shared" si="4"/>
        <v>0.03367739324</v>
      </c>
      <c r="V30" s="8">
        <v>588.0</v>
      </c>
      <c r="W30" s="8">
        <v>548.0</v>
      </c>
      <c r="X30" s="9">
        <f t="shared" si="5"/>
        <v>0.006481295313</v>
      </c>
      <c r="Y30" s="10">
        <v>40420.71</v>
      </c>
      <c r="Z30" s="10">
        <f t="shared" si="6"/>
        <v>68.74270408</v>
      </c>
      <c r="AA30" s="11">
        <f t="shared" si="7"/>
        <v>0.4780630625</v>
      </c>
      <c r="AB30" s="8">
        <v>60.0</v>
      </c>
      <c r="AC30" s="9">
        <f t="shared" si="8"/>
        <v>0.0007096308737</v>
      </c>
      <c r="AD30" s="8">
        <v>21.0</v>
      </c>
      <c r="AE30" s="4" t="s">
        <v>69</v>
      </c>
      <c r="AF30" s="4"/>
      <c r="AG30" s="4"/>
    </row>
    <row r="31" ht="15.75" customHeight="1">
      <c r="A31" s="4" t="s">
        <v>220</v>
      </c>
      <c r="B31" s="4" t="s">
        <v>221</v>
      </c>
      <c r="C31" s="4" t="s">
        <v>222</v>
      </c>
      <c r="D31" s="4" t="s">
        <v>104</v>
      </c>
      <c r="E31" s="4" t="s">
        <v>66</v>
      </c>
      <c r="F31" s="7">
        <v>46074.7291666667</v>
      </c>
      <c r="G31" s="4" t="s">
        <v>181</v>
      </c>
      <c r="H31" s="4" t="s">
        <v>105</v>
      </c>
      <c r="I31" s="4" t="s">
        <v>149</v>
      </c>
      <c r="J31" s="4">
        <v>1.0</v>
      </c>
      <c r="K31" s="8">
        <v>61864.0</v>
      </c>
      <c r="L31" s="8">
        <v>61518.0</v>
      </c>
      <c r="M31" s="8">
        <v>346.0</v>
      </c>
      <c r="N31" s="9">
        <f t="shared" si="1"/>
        <v>0.9944070865</v>
      </c>
      <c r="O31" s="8">
        <v>43992.0</v>
      </c>
      <c r="P31" s="8">
        <v>30295.0</v>
      </c>
      <c r="Q31" s="9">
        <f t="shared" si="2"/>
        <v>0.4924574921</v>
      </c>
      <c r="R31" s="8">
        <v>6448.0</v>
      </c>
      <c r="S31" s="8">
        <v>3602.0</v>
      </c>
      <c r="T31" s="9">
        <f t="shared" si="3"/>
        <v>0.05855196853</v>
      </c>
      <c r="U31" s="9">
        <f t="shared" si="4"/>
        <v>0.1188975078</v>
      </c>
      <c r="V31" s="8">
        <v>1529.0</v>
      </c>
      <c r="W31" s="8">
        <v>1479.0</v>
      </c>
      <c r="X31" s="9">
        <f t="shared" si="5"/>
        <v>0.02404174388</v>
      </c>
      <c r="Y31" s="10">
        <v>122549.79</v>
      </c>
      <c r="Z31" s="10">
        <f t="shared" si="6"/>
        <v>80.15028777</v>
      </c>
      <c r="AA31" s="11">
        <f t="shared" si="7"/>
        <v>1.99209646</v>
      </c>
      <c r="AB31" s="8">
        <v>173.0</v>
      </c>
      <c r="AC31" s="9">
        <f t="shared" si="8"/>
        <v>0.002812185052</v>
      </c>
      <c r="AD31" s="8">
        <v>2.0</v>
      </c>
      <c r="AE31" s="4" t="s">
        <v>126</v>
      </c>
      <c r="AF31" s="4"/>
      <c r="AG31" s="4"/>
    </row>
    <row r="32" ht="15.75" customHeight="1">
      <c r="A32" s="4" t="s">
        <v>223</v>
      </c>
      <c r="B32" s="4" t="s">
        <v>224</v>
      </c>
      <c r="C32" s="4" t="s">
        <v>225</v>
      </c>
      <c r="D32" s="4" t="s">
        <v>176</v>
      </c>
      <c r="E32" s="4" t="s">
        <v>66</v>
      </c>
      <c r="F32" s="7">
        <v>46071.5625</v>
      </c>
      <c r="G32" s="4" t="s">
        <v>148</v>
      </c>
      <c r="H32" s="4" t="s">
        <v>82</v>
      </c>
      <c r="I32" s="4" t="s">
        <v>226</v>
      </c>
      <c r="J32" s="4">
        <v>1.0</v>
      </c>
      <c r="K32" s="8">
        <v>34368.0</v>
      </c>
      <c r="L32" s="8">
        <v>33930.0</v>
      </c>
      <c r="M32" s="8">
        <v>438.0</v>
      </c>
      <c r="N32" s="9">
        <f t="shared" si="1"/>
        <v>0.9872555866</v>
      </c>
      <c r="O32" s="8">
        <v>24636.0</v>
      </c>
      <c r="P32" s="8">
        <v>17183.0</v>
      </c>
      <c r="Q32" s="9">
        <f t="shared" si="2"/>
        <v>0.5064249926</v>
      </c>
      <c r="R32" s="8">
        <v>1939.0</v>
      </c>
      <c r="S32" s="8">
        <v>1177.0</v>
      </c>
      <c r="T32" s="9">
        <f t="shared" si="3"/>
        <v>0.03468906572</v>
      </c>
      <c r="U32" s="9">
        <f t="shared" si="4"/>
        <v>0.068497934</v>
      </c>
      <c r="V32" s="8">
        <v>165.0</v>
      </c>
      <c r="W32" s="8">
        <v>157.0</v>
      </c>
      <c r="X32" s="9">
        <f t="shared" si="5"/>
        <v>0.004627173593</v>
      </c>
      <c r="Y32" s="10">
        <v>13419.76</v>
      </c>
      <c r="Z32" s="10">
        <f t="shared" si="6"/>
        <v>81.33187879</v>
      </c>
      <c r="AA32" s="11">
        <f t="shared" si="7"/>
        <v>0.3955131152</v>
      </c>
      <c r="AB32" s="8">
        <v>109.0</v>
      </c>
      <c r="AC32" s="9">
        <f t="shared" si="8"/>
        <v>0.003212496316</v>
      </c>
      <c r="AD32" s="8">
        <v>5.0</v>
      </c>
      <c r="AE32" s="4" t="s">
        <v>227</v>
      </c>
      <c r="AF32" s="4" t="s">
        <v>138</v>
      </c>
      <c r="AG32" s="4"/>
    </row>
    <row r="33" ht="15.75" customHeight="1">
      <c r="A33" s="4" t="s">
        <v>228</v>
      </c>
      <c r="B33" s="4" t="s">
        <v>229</v>
      </c>
      <c r="C33" s="4" t="s">
        <v>230</v>
      </c>
      <c r="D33" s="4" t="s">
        <v>123</v>
      </c>
      <c r="E33" s="4" t="s">
        <v>66</v>
      </c>
      <c r="F33" s="7">
        <v>46070.8958333333</v>
      </c>
      <c r="G33" s="4" t="s">
        <v>142</v>
      </c>
      <c r="H33" s="4" t="s">
        <v>91</v>
      </c>
      <c r="I33" s="4" t="s">
        <v>231</v>
      </c>
      <c r="J33" s="4">
        <v>3.0</v>
      </c>
      <c r="K33" s="8">
        <v>96637.0</v>
      </c>
      <c r="L33" s="8">
        <v>96338.0</v>
      </c>
      <c r="M33" s="8">
        <v>299.0</v>
      </c>
      <c r="N33" s="9">
        <f t="shared" si="1"/>
        <v>0.996905947</v>
      </c>
      <c r="O33" s="8">
        <v>31775.0</v>
      </c>
      <c r="P33" s="8">
        <v>26143.0</v>
      </c>
      <c r="Q33" s="9">
        <f t="shared" si="2"/>
        <v>0.271367477</v>
      </c>
      <c r="R33" s="8">
        <v>1328.0</v>
      </c>
      <c r="S33" s="8">
        <v>912.0</v>
      </c>
      <c r="T33" s="9">
        <f t="shared" si="3"/>
        <v>0.009466669435</v>
      </c>
      <c r="U33" s="9">
        <f t="shared" si="4"/>
        <v>0.03488505527</v>
      </c>
      <c r="V33" s="8">
        <v>578.0</v>
      </c>
      <c r="W33" s="8">
        <v>529.0</v>
      </c>
      <c r="X33" s="9">
        <f t="shared" si="5"/>
        <v>0.005491083477</v>
      </c>
      <c r="Y33" s="10">
        <v>34352.03</v>
      </c>
      <c r="Z33" s="10">
        <f t="shared" si="6"/>
        <v>59.43257785</v>
      </c>
      <c r="AA33" s="11">
        <f t="shared" si="7"/>
        <v>0.3565781934</v>
      </c>
      <c r="AB33" s="8">
        <v>210.0</v>
      </c>
      <c r="AC33" s="9">
        <f t="shared" si="8"/>
        <v>0.002179825199</v>
      </c>
      <c r="AD33" s="8">
        <v>24.0</v>
      </c>
      <c r="AE33" s="4" t="s">
        <v>232</v>
      </c>
      <c r="AF33" s="4"/>
      <c r="AG33" s="4"/>
    </row>
    <row r="34" ht="15.75" customHeight="1">
      <c r="A34" s="4" t="s">
        <v>233</v>
      </c>
      <c r="B34" s="4" t="s">
        <v>234</v>
      </c>
      <c r="C34" s="4" t="s">
        <v>235</v>
      </c>
      <c r="D34" s="4" t="s">
        <v>104</v>
      </c>
      <c r="E34" s="4" t="s">
        <v>66</v>
      </c>
      <c r="F34" s="7">
        <v>46070.6666666667</v>
      </c>
      <c r="G34" s="4" t="s">
        <v>74</v>
      </c>
      <c r="H34" s="4" t="s">
        <v>91</v>
      </c>
      <c r="I34" s="4" t="s">
        <v>236</v>
      </c>
      <c r="J34" s="4">
        <v>2.0</v>
      </c>
      <c r="K34" s="8">
        <v>51652.0</v>
      </c>
      <c r="L34" s="8">
        <v>51427.0</v>
      </c>
      <c r="M34" s="8">
        <v>225.0</v>
      </c>
      <c r="N34" s="9">
        <f t="shared" si="1"/>
        <v>0.9956439247</v>
      </c>
      <c r="O34" s="8">
        <v>35657.0</v>
      </c>
      <c r="P34" s="8">
        <v>24685.0</v>
      </c>
      <c r="Q34" s="9">
        <f t="shared" si="2"/>
        <v>0.4800007778</v>
      </c>
      <c r="R34" s="8">
        <v>2709.0</v>
      </c>
      <c r="S34" s="8">
        <v>1973.0</v>
      </c>
      <c r="T34" s="9">
        <f t="shared" si="3"/>
        <v>0.03836506115</v>
      </c>
      <c r="U34" s="9">
        <f t="shared" si="4"/>
        <v>0.07992708122</v>
      </c>
      <c r="V34" s="8">
        <v>943.0</v>
      </c>
      <c r="W34" s="8">
        <v>875.0</v>
      </c>
      <c r="X34" s="9">
        <f t="shared" si="5"/>
        <v>0.01701440877</v>
      </c>
      <c r="Y34" s="10">
        <v>79295.96</v>
      </c>
      <c r="Z34" s="10">
        <f t="shared" si="6"/>
        <v>84.08903499</v>
      </c>
      <c r="AA34" s="11">
        <f t="shared" si="7"/>
        <v>1.541913003</v>
      </c>
      <c r="AB34" s="8">
        <v>143.0</v>
      </c>
      <c r="AC34" s="9">
        <f t="shared" si="8"/>
        <v>0.00278064052</v>
      </c>
      <c r="AD34" s="8">
        <v>3.0</v>
      </c>
      <c r="AE34" s="4" t="s">
        <v>93</v>
      </c>
      <c r="AF34" s="4"/>
      <c r="AG34" s="4"/>
    </row>
    <row r="35" ht="15.75" customHeight="1">
      <c r="A35" s="4" t="s">
        <v>237</v>
      </c>
      <c r="B35" s="4" t="s">
        <v>238</v>
      </c>
      <c r="C35" s="4" t="s">
        <v>239</v>
      </c>
      <c r="D35" s="4" t="s">
        <v>104</v>
      </c>
      <c r="E35" s="4" t="s">
        <v>66</v>
      </c>
      <c r="F35" s="7">
        <v>46067.8333333333</v>
      </c>
      <c r="G35" s="4" t="s">
        <v>188</v>
      </c>
      <c r="H35" s="4" t="s">
        <v>105</v>
      </c>
      <c r="I35" s="4" t="s">
        <v>240</v>
      </c>
      <c r="J35" s="4">
        <v>2.0</v>
      </c>
      <c r="K35" s="8">
        <v>285182.0</v>
      </c>
      <c r="L35" s="8">
        <v>284016.0</v>
      </c>
      <c r="M35" s="8">
        <v>1166.0</v>
      </c>
      <c r="N35" s="9">
        <f t="shared" si="1"/>
        <v>0.9959113829</v>
      </c>
      <c r="O35" s="8">
        <v>171613.0</v>
      </c>
      <c r="P35" s="8">
        <v>117290.0</v>
      </c>
      <c r="Q35" s="9">
        <f t="shared" si="2"/>
        <v>0.4129696918</v>
      </c>
      <c r="R35" s="8">
        <v>18414.0</v>
      </c>
      <c r="S35" s="8">
        <v>14157.0</v>
      </c>
      <c r="T35" s="9">
        <f t="shared" si="3"/>
        <v>0.04984578334</v>
      </c>
      <c r="U35" s="9">
        <f t="shared" si="4"/>
        <v>0.120700827</v>
      </c>
      <c r="V35" s="8">
        <v>7738.0</v>
      </c>
      <c r="W35" s="8">
        <v>7431.0</v>
      </c>
      <c r="X35" s="9">
        <f t="shared" si="5"/>
        <v>0.02616401893</v>
      </c>
      <c r="Y35" s="10">
        <v>644705.65</v>
      </c>
      <c r="Z35" s="10">
        <f t="shared" si="6"/>
        <v>83.31683251</v>
      </c>
      <c r="AA35" s="11">
        <f t="shared" si="7"/>
        <v>2.269962432</v>
      </c>
      <c r="AB35" s="8">
        <v>245.0</v>
      </c>
      <c r="AC35" s="9">
        <f t="shared" si="8"/>
        <v>0.0008626274576</v>
      </c>
      <c r="AD35" s="8">
        <v>47.0</v>
      </c>
      <c r="AE35" s="4" t="s">
        <v>69</v>
      </c>
      <c r="AF35" s="4"/>
      <c r="AG35" s="4"/>
    </row>
    <row r="36" ht="15.75" customHeight="1">
      <c r="A36" s="4" t="s">
        <v>241</v>
      </c>
      <c r="B36" s="4" t="s">
        <v>242</v>
      </c>
      <c r="C36" s="4" t="s">
        <v>116</v>
      </c>
      <c r="D36" s="4" t="s">
        <v>117</v>
      </c>
      <c r="E36" s="4" t="s">
        <v>66</v>
      </c>
      <c r="F36" s="7">
        <v>46043.7291666667</v>
      </c>
      <c r="G36" s="4" t="s">
        <v>181</v>
      </c>
      <c r="H36" s="4" t="s">
        <v>82</v>
      </c>
      <c r="I36" s="4" t="s">
        <v>243</v>
      </c>
      <c r="J36" s="4">
        <v>3.0</v>
      </c>
      <c r="K36" s="8">
        <v>77640.0</v>
      </c>
      <c r="L36" s="8">
        <v>76806.0</v>
      </c>
      <c r="M36" s="8">
        <v>834.0</v>
      </c>
      <c r="N36" s="9">
        <f t="shared" si="1"/>
        <v>0.9892581144</v>
      </c>
      <c r="O36" s="8">
        <v>35794.0</v>
      </c>
      <c r="P36" s="8">
        <v>27776.0</v>
      </c>
      <c r="Q36" s="9">
        <f t="shared" si="2"/>
        <v>0.3616384137</v>
      </c>
      <c r="R36" s="8">
        <v>3342.0</v>
      </c>
      <c r="S36" s="8">
        <v>2015.0</v>
      </c>
      <c r="T36" s="9">
        <f t="shared" si="3"/>
        <v>0.02623492956</v>
      </c>
      <c r="U36" s="9">
        <f t="shared" si="4"/>
        <v>0.07254464286</v>
      </c>
      <c r="V36" s="8">
        <v>191.0</v>
      </c>
      <c r="W36" s="8">
        <v>173.0</v>
      </c>
      <c r="X36" s="9">
        <f t="shared" si="5"/>
        <v>0.002252428196</v>
      </c>
      <c r="Y36" s="10">
        <v>14661.7</v>
      </c>
      <c r="Z36" s="10">
        <f t="shared" si="6"/>
        <v>76.76282723</v>
      </c>
      <c r="AA36" s="11">
        <f t="shared" si="7"/>
        <v>0.1908926386</v>
      </c>
      <c r="AB36" s="8">
        <v>233.0</v>
      </c>
      <c r="AC36" s="9">
        <f t="shared" si="8"/>
        <v>0.003033617165</v>
      </c>
      <c r="AD36" s="8">
        <v>21.0</v>
      </c>
      <c r="AE36" s="4" t="s">
        <v>244</v>
      </c>
      <c r="AF36" s="4"/>
      <c r="AG36" s="4"/>
    </row>
    <row r="37" ht="15.75" customHeight="1">
      <c r="A37" s="4" t="s">
        <v>245</v>
      </c>
      <c r="B37" s="4" t="s">
        <v>246</v>
      </c>
      <c r="C37" s="4" t="s">
        <v>247</v>
      </c>
      <c r="D37" s="4" t="s">
        <v>81</v>
      </c>
      <c r="E37" s="4" t="s">
        <v>66</v>
      </c>
      <c r="F37" s="7">
        <v>46040.8958333333</v>
      </c>
      <c r="G37" s="4" t="s">
        <v>142</v>
      </c>
      <c r="H37" s="4" t="s">
        <v>59</v>
      </c>
      <c r="I37" s="4" t="s">
        <v>248</v>
      </c>
      <c r="J37" s="4">
        <v>3.0</v>
      </c>
      <c r="K37" s="8">
        <v>551576.0</v>
      </c>
      <c r="L37" s="8">
        <v>545180.0</v>
      </c>
      <c r="M37" s="8">
        <v>6396.0</v>
      </c>
      <c r="N37" s="9">
        <f t="shared" si="1"/>
        <v>0.9884041365</v>
      </c>
      <c r="O37" s="8">
        <v>384447.0</v>
      </c>
      <c r="P37" s="8">
        <v>270287.0</v>
      </c>
      <c r="Q37" s="9">
        <f t="shared" si="2"/>
        <v>0.4957757071</v>
      </c>
      <c r="R37" s="8">
        <v>37967.0</v>
      </c>
      <c r="S37" s="8">
        <v>25080.0</v>
      </c>
      <c r="T37" s="9">
        <f t="shared" si="3"/>
        <v>0.04600315492</v>
      </c>
      <c r="U37" s="9">
        <f t="shared" si="4"/>
        <v>0.09279025628</v>
      </c>
      <c r="V37" s="8">
        <v>1408.0</v>
      </c>
      <c r="W37" s="8">
        <v>1210.0</v>
      </c>
      <c r="X37" s="9">
        <f t="shared" si="5"/>
        <v>0.002219450457</v>
      </c>
      <c r="Y37" s="10">
        <v>140813.23</v>
      </c>
      <c r="Z37" s="10">
        <f t="shared" si="6"/>
        <v>100.0093963</v>
      </c>
      <c r="AA37" s="11">
        <f t="shared" si="7"/>
        <v>0.2582875931</v>
      </c>
      <c r="AB37" s="8">
        <v>1997.0</v>
      </c>
      <c r="AC37" s="9">
        <f t="shared" si="8"/>
        <v>0.003663010382</v>
      </c>
      <c r="AD37" s="8">
        <v>94.0</v>
      </c>
      <c r="AE37" s="4" t="s">
        <v>244</v>
      </c>
      <c r="AF37" s="4" t="s">
        <v>249</v>
      </c>
      <c r="AG37" s="4"/>
    </row>
    <row r="38" ht="15.75" customHeight="1">
      <c r="A38" s="4" t="s">
        <v>250</v>
      </c>
      <c r="B38" s="4" t="s">
        <v>251</v>
      </c>
      <c r="C38" s="4" t="s">
        <v>159</v>
      </c>
      <c r="D38" s="4" t="s">
        <v>65</v>
      </c>
      <c r="E38" s="4" t="s">
        <v>57</v>
      </c>
      <c r="F38" s="7">
        <v>46034.75</v>
      </c>
      <c r="G38" s="4" t="s">
        <v>58</v>
      </c>
      <c r="H38" s="4" t="s">
        <v>98</v>
      </c>
      <c r="I38" s="4" t="s">
        <v>99</v>
      </c>
      <c r="J38" s="4">
        <v>1.0</v>
      </c>
      <c r="K38" s="8">
        <v>20362.0</v>
      </c>
      <c r="L38" s="8">
        <v>19390.0</v>
      </c>
      <c r="M38" s="8">
        <v>972.0</v>
      </c>
      <c r="N38" s="9">
        <f t="shared" si="1"/>
        <v>0.9522640212</v>
      </c>
      <c r="O38" s="8">
        <v>0.0</v>
      </c>
      <c r="P38" s="8">
        <v>0.0</v>
      </c>
      <c r="Q38" s="9">
        <f t="shared" si="2"/>
        <v>0</v>
      </c>
      <c r="R38" s="8">
        <v>2226.0</v>
      </c>
      <c r="S38" s="8">
        <v>1771.0</v>
      </c>
      <c r="T38" s="9">
        <f t="shared" si="3"/>
        <v>0.09133574007</v>
      </c>
      <c r="U38" s="9">
        <f t="shared" si="4"/>
        <v>0</v>
      </c>
      <c r="V38" s="8">
        <v>670.0</v>
      </c>
      <c r="W38" s="8">
        <v>644.0</v>
      </c>
      <c r="X38" s="9">
        <f t="shared" si="5"/>
        <v>0.03321299639</v>
      </c>
      <c r="Y38" s="10">
        <v>48710.19</v>
      </c>
      <c r="Z38" s="10">
        <f t="shared" si="6"/>
        <v>72.70177612</v>
      </c>
      <c r="AA38" s="11">
        <f t="shared" si="7"/>
        <v>2.512129448</v>
      </c>
      <c r="AB38" s="8">
        <v>45.0</v>
      </c>
      <c r="AC38" s="9">
        <f t="shared" si="8"/>
        <v>0.002320783909</v>
      </c>
      <c r="AD38" s="8">
        <v>0.0</v>
      </c>
      <c r="AE38" s="4" t="s">
        <v>84</v>
      </c>
      <c r="AF38" s="4"/>
      <c r="AG38" s="4"/>
    </row>
    <row r="39" ht="15.75" customHeight="1">
      <c r="A39" s="4" t="s">
        <v>252</v>
      </c>
      <c r="B39" s="4" t="s">
        <v>253</v>
      </c>
      <c r="C39" s="4" t="s">
        <v>254</v>
      </c>
      <c r="D39" s="4" t="s">
        <v>73</v>
      </c>
      <c r="E39" s="4" t="s">
        <v>66</v>
      </c>
      <c r="F39" s="7">
        <v>46033.8958333333</v>
      </c>
      <c r="G39" s="4" t="s">
        <v>142</v>
      </c>
      <c r="H39" s="4" t="s">
        <v>59</v>
      </c>
      <c r="I39" s="4" t="s">
        <v>255</v>
      </c>
      <c r="J39" s="4">
        <v>2.0</v>
      </c>
      <c r="K39" s="8">
        <v>35886.0</v>
      </c>
      <c r="L39" s="8">
        <v>35649.0</v>
      </c>
      <c r="M39" s="8">
        <v>237.0</v>
      </c>
      <c r="N39" s="9">
        <f t="shared" si="1"/>
        <v>0.9933957532</v>
      </c>
      <c r="O39" s="8">
        <v>18631.0</v>
      </c>
      <c r="P39" s="8">
        <v>13398.0</v>
      </c>
      <c r="Q39" s="9">
        <f t="shared" si="2"/>
        <v>0.3758310191</v>
      </c>
      <c r="R39" s="8">
        <v>1190.0</v>
      </c>
      <c r="S39" s="8">
        <v>721.0</v>
      </c>
      <c r="T39" s="9">
        <f t="shared" si="3"/>
        <v>0.02022497125</v>
      </c>
      <c r="U39" s="9">
        <f t="shared" si="4"/>
        <v>0.05381400209</v>
      </c>
      <c r="V39" s="8">
        <v>305.0</v>
      </c>
      <c r="W39" s="8">
        <v>263.0</v>
      </c>
      <c r="X39" s="9">
        <f t="shared" si="5"/>
        <v>0.007377486044</v>
      </c>
      <c r="Y39" s="10">
        <v>20545.14</v>
      </c>
      <c r="Z39" s="10">
        <f t="shared" si="6"/>
        <v>67.36111475</v>
      </c>
      <c r="AA39" s="11">
        <f t="shared" si="7"/>
        <v>0.5763174283</v>
      </c>
      <c r="AB39" s="8">
        <v>22.0</v>
      </c>
      <c r="AC39" s="9">
        <f t="shared" si="8"/>
        <v>0.0006171281102</v>
      </c>
      <c r="AD39" s="8">
        <v>10.0</v>
      </c>
      <c r="AE39" s="4" t="s">
        <v>77</v>
      </c>
      <c r="AF39" s="4"/>
      <c r="AG39" s="4"/>
    </row>
    <row r="40" ht="15.75" customHeight="1">
      <c r="A40" s="4" t="s">
        <v>256</v>
      </c>
      <c r="B40" s="4" t="s">
        <v>257</v>
      </c>
      <c r="C40" s="4" t="s">
        <v>133</v>
      </c>
      <c r="D40" s="4" t="s">
        <v>134</v>
      </c>
      <c r="E40" s="4" t="s">
        <v>66</v>
      </c>
      <c r="F40" s="7">
        <v>46028.9166666667</v>
      </c>
      <c r="G40" s="4" t="s">
        <v>67</v>
      </c>
      <c r="H40" s="4" t="s">
        <v>91</v>
      </c>
      <c r="I40" s="4" t="s">
        <v>258</v>
      </c>
      <c r="J40" s="4">
        <v>3.0</v>
      </c>
      <c r="K40" s="8">
        <v>84820.0</v>
      </c>
      <c r="L40" s="8">
        <v>83706.0</v>
      </c>
      <c r="M40" s="8">
        <v>1114.0</v>
      </c>
      <c r="N40" s="9">
        <f t="shared" si="1"/>
        <v>0.9868663051</v>
      </c>
      <c r="O40" s="8">
        <v>38455.0</v>
      </c>
      <c r="P40" s="8">
        <v>26316.0</v>
      </c>
      <c r="Q40" s="9">
        <f t="shared" si="2"/>
        <v>0.3143860655</v>
      </c>
      <c r="R40" s="8">
        <v>2706.0</v>
      </c>
      <c r="S40" s="8">
        <v>2024.0</v>
      </c>
      <c r="T40" s="9">
        <f t="shared" si="3"/>
        <v>0.02417986763</v>
      </c>
      <c r="U40" s="9">
        <f t="shared" si="4"/>
        <v>0.07691138471</v>
      </c>
      <c r="V40" s="8">
        <v>610.0</v>
      </c>
      <c r="W40" s="8">
        <v>539.0</v>
      </c>
      <c r="X40" s="9">
        <f t="shared" si="5"/>
        <v>0.00643920388</v>
      </c>
      <c r="Y40" s="10">
        <v>54273.35</v>
      </c>
      <c r="Z40" s="10">
        <f t="shared" si="6"/>
        <v>88.97270492</v>
      </c>
      <c r="AA40" s="11">
        <f t="shared" si="7"/>
        <v>0.6483806418</v>
      </c>
      <c r="AB40" s="8">
        <v>158.0</v>
      </c>
      <c r="AC40" s="9">
        <f t="shared" si="8"/>
        <v>0.001887558837</v>
      </c>
      <c r="AD40" s="8">
        <v>3.0</v>
      </c>
      <c r="AE40" s="4" t="s">
        <v>137</v>
      </c>
      <c r="AF40" s="4" t="s">
        <v>259</v>
      </c>
      <c r="AG40" s="4"/>
    </row>
    <row r="41" ht="15.75" customHeight="1">
      <c r="A41" s="4" t="s">
        <v>260</v>
      </c>
      <c r="B41" s="4" t="s">
        <v>261</v>
      </c>
      <c r="C41" s="4" t="s">
        <v>262</v>
      </c>
      <c r="D41" s="4" t="s">
        <v>117</v>
      </c>
      <c r="E41" s="4" t="s">
        <v>66</v>
      </c>
      <c r="F41" s="7">
        <v>46027.6666666667</v>
      </c>
      <c r="G41" s="4" t="s">
        <v>74</v>
      </c>
      <c r="H41" s="4" t="s">
        <v>98</v>
      </c>
      <c r="I41" s="4" t="s">
        <v>263</v>
      </c>
      <c r="J41" s="4">
        <v>2.0</v>
      </c>
      <c r="K41" s="8">
        <v>33720.0</v>
      </c>
      <c r="L41" s="8">
        <v>33331.0</v>
      </c>
      <c r="M41" s="8">
        <v>389.0</v>
      </c>
      <c r="N41" s="9">
        <f t="shared" si="1"/>
        <v>0.9884638197</v>
      </c>
      <c r="O41" s="8">
        <v>15550.0</v>
      </c>
      <c r="P41" s="8">
        <v>12762.0</v>
      </c>
      <c r="Q41" s="9">
        <f t="shared" si="2"/>
        <v>0.3828868021</v>
      </c>
      <c r="R41" s="8">
        <v>1800.0</v>
      </c>
      <c r="S41" s="8">
        <v>1102.0</v>
      </c>
      <c r="T41" s="9">
        <f t="shared" si="3"/>
        <v>0.03306231436</v>
      </c>
      <c r="U41" s="9">
        <f t="shared" si="4"/>
        <v>0.08635010186</v>
      </c>
      <c r="V41" s="8">
        <v>75.0</v>
      </c>
      <c r="W41" s="8">
        <v>67.0</v>
      </c>
      <c r="X41" s="9">
        <f t="shared" si="5"/>
        <v>0.00201014071</v>
      </c>
      <c r="Y41" s="10">
        <v>5922.74</v>
      </c>
      <c r="Z41" s="10">
        <f t="shared" si="6"/>
        <v>78.96986667</v>
      </c>
      <c r="AA41" s="11">
        <f t="shared" si="7"/>
        <v>0.1776946386</v>
      </c>
      <c r="AB41" s="8">
        <v>129.0</v>
      </c>
      <c r="AC41" s="9">
        <f t="shared" si="8"/>
        <v>0.003870270919</v>
      </c>
      <c r="AD41" s="8">
        <v>6.0</v>
      </c>
      <c r="AE41" s="4" t="s">
        <v>77</v>
      </c>
      <c r="AF41" s="4"/>
      <c r="AG41" s="4"/>
    </row>
    <row r="42" ht="15.75" customHeight="1">
      <c r="A42" s="4" t="s">
        <v>264</v>
      </c>
      <c r="B42" s="4" t="s">
        <v>265</v>
      </c>
      <c r="C42" s="4" t="s">
        <v>266</v>
      </c>
      <c r="D42" s="4" t="s">
        <v>97</v>
      </c>
      <c r="E42" s="4" t="s">
        <v>66</v>
      </c>
      <c r="F42" s="7">
        <v>46027.6041666667</v>
      </c>
      <c r="G42" s="4" t="s">
        <v>118</v>
      </c>
      <c r="H42" s="4" t="s">
        <v>98</v>
      </c>
      <c r="I42" s="4" t="s">
        <v>267</v>
      </c>
      <c r="J42" s="4">
        <v>2.0</v>
      </c>
      <c r="K42" s="8">
        <v>76688.0</v>
      </c>
      <c r="L42" s="8">
        <v>76205.0</v>
      </c>
      <c r="M42" s="8">
        <v>483.0</v>
      </c>
      <c r="N42" s="9">
        <f t="shared" si="1"/>
        <v>0.9937017526</v>
      </c>
      <c r="O42" s="8">
        <v>42532.0</v>
      </c>
      <c r="P42" s="8">
        <v>30153.0</v>
      </c>
      <c r="Q42" s="9">
        <f t="shared" si="2"/>
        <v>0.395682698</v>
      </c>
      <c r="R42" s="8">
        <v>3575.0</v>
      </c>
      <c r="S42" s="8">
        <v>2677.0</v>
      </c>
      <c r="T42" s="9">
        <f t="shared" si="3"/>
        <v>0.03512892855</v>
      </c>
      <c r="U42" s="9">
        <f t="shared" si="4"/>
        <v>0.08878055252</v>
      </c>
      <c r="V42" s="8">
        <v>861.0</v>
      </c>
      <c r="W42" s="8">
        <v>791.0</v>
      </c>
      <c r="X42" s="9">
        <f t="shared" si="5"/>
        <v>0.01037989633</v>
      </c>
      <c r="Y42" s="10">
        <v>65117.43</v>
      </c>
      <c r="Z42" s="10">
        <f t="shared" si="6"/>
        <v>75.63</v>
      </c>
      <c r="AA42" s="11">
        <f t="shared" si="7"/>
        <v>0.854503379</v>
      </c>
      <c r="AB42" s="8">
        <v>161.0</v>
      </c>
      <c r="AC42" s="9">
        <f t="shared" si="8"/>
        <v>0.002112722262</v>
      </c>
      <c r="AD42" s="8">
        <v>7.0</v>
      </c>
      <c r="AE42" s="4" t="s">
        <v>227</v>
      </c>
      <c r="AF42" s="4"/>
      <c r="AG42" s="4"/>
    </row>
    <row r="43" ht="15.75" customHeight="1">
      <c r="A43" s="4" t="s">
        <v>268</v>
      </c>
      <c r="B43" s="4" t="s">
        <v>269</v>
      </c>
      <c r="C43" s="4" t="s">
        <v>122</v>
      </c>
      <c r="D43" s="4" t="s">
        <v>123</v>
      </c>
      <c r="E43" s="4" t="s">
        <v>66</v>
      </c>
      <c r="F43" s="7">
        <v>46023.9375</v>
      </c>
      <c r="G43" s="4" t="s">
        <v>270</v>
      </c>
      <c r="H43" s="4" t="s">
        <v>75</v>
      </c>
      <c r="I43" s="4" t="s">
        <v>271</v>
      </c>
      <c r="J43" s="4">
        <v>3.0</v>
      </c>
      <c r="K43" s="8">
        <v>390235.0</v>
      </c>
      <c r="L43" s="8">
        <v>386730.0</v>
      </c>
      <c r="M43" s="8">
        <v>3505.0</v>
      </c>
      <c r="N43" s="9">
        <f t="shared" si="1"/>
        <v>0.9910182326</v>
      </c>
      <c r="O43" s="8">
        <v>182641.0</v>
      </c>
      <c r="P43" s="8">
        <v>129009.0</v>
      </c>
      <c r="Q43" s="9">
        <f t="shared" si="2"/>
        <v>0.3335893259</v>
      </c>
      <c r="R43" s="8">
        <v>7336.0</v>
      </c>
      <c r="S43" s="8">
        <v>4925.0</v>
      </c>
      <c r="T43" s="9">
        <f t="shared" si="3"/>
        <v>0.01273498306</v>
      </c>
      <c r="U43" s="9">
        <f t="shared" si="4"/>
        <v>0.03817563116</v>
      </c>
      <c r="V43" s="8">
        <v>2061.0</v>
      </c>
      <c r="W43" s="8">
        <v>1875.0</v>
      </c>
      <c r="X43" s="9">
        <f t="shared" si="5"/>
        <v>0.004848343806</v>
      </c>
      <c r="Y43" s="10">
        <v>122506.59</v>
      </c>
      <c r="Z43" s="10">
        <f t="shared" si="6"/>
        <v>59.4403639</v>
      </c>
      <c r="AA43" s="11">
        <f t="shared" si="7"/>
        <v>0.3167755023</v>
      </c>
      <c r="AB43" s="8">
        <v>448.0</v>
      </c>
      <c r="AC43" s="9">
        <f t="shared" si="8"/>
        <v>0.001158430947</v>
      </c>
      <c r="AD43" s="8">
        <v>102.0</v>
      </c>
      <c r="AE43" s="4" t="s">
        <v>190</v>
      </c>
      <c r="AF43" s="4"/>
      <c r="AG43" s="4"/>
    </row>
    <row r="44" ht="15.75" customHeight="1">
      <c r="A44" s="4" t="s">
        <v>272</v>
      </c>
      <c r="B44" s="4" t="s">
        <v>273</v>
      </c>
      <c r="C44" s="4" t="s">
        <v>274</v>
      </c>
      <c r="D44" s="4" t="s">
        <v>187</v>
      </c>
      <c r="E44" s="4" t="s">
        <v>66</v>
      </c>
      <c r="F44" s="7">
        <v>46022.8333333333</v>
      </c>
      <c r="G44" s="4" t="s">
        <v>188</v>
      </c>
      <c r="H44" s="4" t="s">
        <v>82</v>
      </c>
      <c r="I44" s="4" t="s">
        <v>275</v>
      </c>
      <c r="J44" s="4">
        <v>3.0</v>
      </c>
      <c r="K44" s="8">
        <v>137876.0</v>
      </c>
      <c r="L44" s="8">
        <v>136825.0</v>
      </c>
      <c r="M44" s="8">
        <v>1051.0</v>
      </c>
      <c r="N44" s="9">
        <f t="shared" si="1"/>
        <v>0.9923772085</v>
      </c>
      <c r="O44" s="8">
        <v>43359.0</v>
      </c>
      <c r="P44" s="8">
        <v>35189.0</v>
      </c>
      <c r="Q44" s="9">
        <f t="shared" si="2"/>
        <v>0.2571825324</v>
      </c>
      <c r="R44" s="8">
        <v>3272.0</v>
      </c>
      <c r="S44" s="8">
        <v>2269.0</v>
      </c>
      <c r="T44" s="9">
        <f t="shared" si="3"/>
        <v>0.01658322675</v>
      </c>
      <c r="U44" s="9">
        <f t="shared" si="4"/>
        <v>0.06448037739</v>
      </c>
      <c r="V44" s="8">
        <v>3569.0</v>
      </c>
      <c r="W44" s="8">
        <v>3285.0</v>
      </c>
      <c r="X44" s="9">
        <f t="shared" si="5"/>
        <v>0.02400877033</v>
      </c>
      <c r="Y44" s="10">
        <v>244528.77</v>
      </c>
      <c r="Z44" s="10">
        <f t="shared" si="6"/>
        <v>68.51464556</v>
      </c>
      <c r="AA44" s="11">
        <f t="shared" si="7"/>
        <v>1.787164407</v>
      </c>
      <c r="AB44" s="8">
        <v>517.0</v>
      </c>
      <c r="AC44" s="9">
        <f t="shared" si="8"/>
        <v>0.003778549242</v>
      </c>
      <c r="AD44" s="8">
        <v>35.0</v>
      </c>
      <c r="AE44" s="4" t="s">
        <v>100</v>
      </c>
      <c r="AF44" s="4"/>
      <c r="AG44" s="4"/>
    </row>
    <row r="45" ht="15.75" customHeight="1">
      <c r="A45" s="4" t="s">
        <v>276</v>
      </c>
      <c r="B45" s="4" t="s">
        <v>277</v>
      </c>
      <c r="C45" s="4" t="s">
        <v>88</v>
      </c>
      <c r="D45" s="4" t="s">
        <v>89</v>
      </c>
      <c r="E45" s="4" t="s">
        <v>66</v>
      </c>
      <c r="F45" s="7">
        <v>46020.5416666667</v>
      </c>
      <c r="G45" s="4" t="s">
        <v>163</v>
      </c>
      <c r="H45" s="4" t="s">
        <v>98</v>
      </c>
      <c r="I45" s="4" t="s">
        <v>278</v>
      </c>
      <c r="J45" s="4">
        <v>2.0</v>
      </c>
      <c r="K45" s="8">
        <v>70035.0</v>
      </c>
      <c r="L45" s="8">
        <v>69154.0</v>
      </c>
      <c r="M45" s="8">
        <v>881.0</v>
      </c>
      <c r="N45" s="9">
        <f t="shared" si="1"/>
        <v>0.9874205754</v>
      </c>
      <c r="O45" s="8">
        <v>41669.0</v>
      </c>
      <c r="P45" s="8">
        <v>29824.0</v>
      </c>
      <c r="Q45" s="9">
        <f t="shared" si="2"/>
        <v>0.4312693409</v>
      </c>
      <c r="R45" s="8">
        <v>3964.0</v>
      </c>
      <c r="S45" s="8">
        <v>2376.0</v>
      </c>
      <c r="T45" s="9">
        <f t="shared" si="3"/>
        <v>0.03435809931</v>
      </c>
      <c r="U45" s="9">
        <f t="shared" si="4"/>
        <v>0.07966738197</v>
      </c>
      <c r="V45" s="8">
        <v>2766.0</v>
      </c>
      <c r="W45" s="8">
        <v>2512.0</v>
      </c>
      <c r="X45" s="9">
        <f t="shared" si="5"/>
        <v>0.03632472453</v>
      </c>
      <c r="Y45" s="10">
        <v>147831.84</v>
      </c>
      <c r="Z45" s="10">
        <f t="shared" si="6"/>
        <v>53.44607375</v>
      </c>
      <c r="AA45" s="11">
        <f t="shared" si="7"/>
        <v>2.137719293</v>
      </c>
      <c r="AB45" s="8">
        <v>35.0</v>
      </c>
      <c r="AC45" s="9">
        <f t="shared" si="8"/>
        <v>0.0005061167828</v>
      </c>
      <c r="AD45" s="8">
        <v>5.0</v>
      </c>
      <c r="AE45" s="4" t="s">
        <v>126</v>
      </c>
      <c r="AF45" s="4"/>
      <c r="AG45" s="4"/>
    </row>
    <row r="46" ht="15.75" customHeight="1">
      <c r="A46" s="4" t="s">
        <v>279</v>
      </c>
      <c r="B46" s="4" t="s">
        <v>280</v>
      </c>
      <c r="C46" s="4" t="s">
        <v>281</v>
      </c>
      <c r="D46" s="4" t="s">
        <v>81</v>
      </c>
      <c r="E46" s="4" t="s">
        <v>57</v>
      </c>
      <c r="F46" s="7">
        <v>46012.5833333333</v>
      </c>
      <c r="G46" s="4" t="s">
        <v>168</v>
      </c>
      <c r="H46" s="4" t="s">
        <v>59</v>
      </c>
      <c r="I46" s="4" t="s">
        <v>282</v>
      </c>
      <c r="J46" s="4">
        <v>4.0</v>
      </c>
      <c r="K46" s="8">
        <v>84768.0</v>
      </c>
      <c r="L46" s="8">
        <v>82883.0</v>
      </c>
      <c r="M46" s="8">
        <v>1885.0</v>
      </c>
      <c r="N46" s="9">
        <f t="shared" si="1"/>
        <v>0.977762835</v>
      </c>
      <c r="O46" s="8">
        <v>0.0</v>
      </c>
      <c r="P46" s="8">
        <v>0.0</v>
      </c>
      <c r="Q46" s="9">
        <f t="shared" si="2"/>
        <v>0</v>
      </c>
      <c r="R46" s="8">
        <v>8916.0</v>
      </c>
      <c r="S46" s="8">
        <v>7939.0</v>
      </c>
      <c r="T46" s="9">
        <f t="shared" si="3"/>
        <v>0.09578562552</v>
      </c>
      <c r="U46" s="9">
        <f t="shared" si="4"/>
        <v>0</v>
      </c>
      <c r="V46" s="8">
        <v>1558.0</v>
      </c>
      <c r="W46" s="8">
        <v>1469.0</v>
      </c>
      <c r="X46" s="9">
        <f t="shared" si="5"/>
        <v>0.0177237793</v>
      </c>
      <c r="Y46" s="10">
        <v>126818.21</v>
      </c>
      <c r="Z46" s="10">
        <f t="shared" si="6"/>
        <v>81.39808087</v>
      </c>
      <c r="AA46" s="11">
        <f t="shared" si="7"/>
        <v>1.530087111</v>
      </c>
      <c r="AB46" s="8">
        <v>497.0</v>
      </c>
      <c r="AC46" s="9">
        <f t="shared" si="8"/>
        <v>0.00599640457</v>
      </c>
      <c r="AD46" s="8">
        <v>0.0</v>
      </c>
      <c r="AE46" s="4" t="s">
        <v>112</v>
      </c>
      <c r="AF46" s="4" t="s">
        <v>283</v>
      </c>
      <c r="AG46" s="4"/>
    </row>
    <row r="47" ht="15.75" customHeight="1">
      <c r="A47" s="4" t="s">
        <v>284</v>
      </c>
      <c r="B47" s="4" t="s">
        <v>285</v>
      </c>
      <c r="C47" s="4" t="s">
        <v>286</v>
      </c>
      <c r="D47" s="4" t="s">
        <v>199</v>
      </c>
      <c r="E47" s="4" t="s">
        <v>66</v>
      </c>
      <c r="F47" s="7">
        <v>46007.5833333333</v>
      </c>
      <c r="G47" s="4" t="s">
        <v>168</v>
      </c>
      <c r="H47" s="4" t="s">
        <v>91</v>
      </c>
      <c r="I47" s="4" t="s">
        <v>287</v>
      </c>
      <c r="J47" s="4">
        <v>2.0</v>
      </c>
      <c r="K47" s="8">
        <v>46131.0</v>
      </c>
      <c r="L47" s="8">
        <v>46016.0</v>
      </c>
      <c r="M47" s="8">
        <v>115.0</v>
      </c>
      <c r="N47" s="9">
        <f t="shared" si="1"/>
        <v>0.9975070993</v>
      </c>
      <c r="O47" s="8">
        <v>25799.0</v>
      </c>
      <c r="P47" s="8">
        <v>18226.0</v>
      </c>
      <c r="Q47" s="9">
        <f t="shared" si="2"/>
        <v>0.3960796245</v>
      </c>
      <c r="R47" s="8">
        <v>1909.0</v>
      </c>
      <c r="S47" s="8">
        <v>1382.0</v>
      </c>
      <c r="T47" s="9">
        <f t="shared" si="3"/>
        <v>0.03003303199</v>
      </c>
      <c r="U47" s="9">
        <f t="shared" si="4"/>
        <v>0.07582574344</v>
      </c>
      <c r="V47" s="8">
        <v>878.0</v>
      </c>
      <c r="W47" s="8">
        <v>812.0</v>
      </c>
      <c r="X47" s="9">
        <f t="shared" si="5"/>
        <v>0.01764603616</v>
      </c>
      <c r="Y47" s="10">
        <v>71111.93</v>
      </c>
      <c r="Z47" s="10">
        <f t="shared" si="6"/>
        <v>80.99308656</v>
      </c>
      <c r="AA47" s="11">
        <f t="shared" si="7"/>
        <v>1.545374</v>
      </c>
      <c r="AB47" s="8">
        <v>115.0</v>
      </c>
      <c r="AC47" s="9">
        <f t="shared" si="8"/>
        <v>0.002499130737</v>
      </c>
      <c r="AD47" s="8">
        <v>12.0</v>
      </c>
      <c r="AE47" s="4" t="s">
        <v>232</v>
      </c>
      <c r="AF47" s="4"/>
      <c r="AG47" s="4"/>
    </row>
    <row r="48" ht="15.75" customHeight="1">
      <c r="A48" s="4" t="s">
        <v>288</v>
      </c>
      <c r="B48" s="4" t="s">
        <v>289</v>
      </c>
      <c r="C48" s="4" t="s">
        <v>290</v>
      </c>
      <c r="D48" s="4" t="s">
        <v>176</v>
      </c>
      <c r="E48" s="4" t="s">
        <v>66</v>
      </c>
      <c r="F48" s="7">
        <v>46004.9375</v>
      </c>
      <c r="G48" s="4" t="s">
        <v>270</v>
      </c>
      <c r="H48" s="4" t="s">
        <v>105</v>
      </c>
      <c r="I48" s="4" t="s">
        <v>291</v>
      </c>
      <c r="J48" s="4">
        <v>3.0</v>
      </c>
      <c r="K48" s="8">
        <v>237139.0</v>
      </c>
      <c r="L48" s="8">
        <v>235014.0</v>
      </c>
      <c r="M48" s="8">
        <v>2125.0</v>
      </c>
      <c r="N48" s="9">
        <f t="shared" si="1"/>
        <v>0.9910390109</v>
      </c>
      <c r="O48" s="8">
        <v>131285.0</v>
      </c>
      <c r="P48" s="8">
        <v>94921.0</v>
      </c>
      <c r="Q48" s="9">
        <f t="shared" si="2"/>
        <v>0.4038950871</v>
      </c>
      <c r="R48" s="8">
        <v>8099.0</v>
      </c>
      <c r="S48" s="8">
        <v>6162.0</v>
      </c>
      <c r="T48" s="9">
        <f t="shared" si="3"/>
        <v>0.02621971457</v>
      </c>
      <c r="U48" s="9">
        <f t="shared" si="4"/>
        <v>0.06491714162</v>
      </c>
      <c r="V48" s="8">
        <v>1504.0</v>
      </c>
      <c r="W48" s="8">
        <v>1313.0</v>
      </c>
      <c r="X48" s="9">
        <f t="shared" si="5"/>
        <v>0.005586901206</v>
      </c>
      <c r="Y48" s="10">
        <v>128616.55</v>
      </c>
      <c r="Z48" s="10">
        <f t="shared" si="6"/>
        <v>85.51632314</v>
      </c>
      <c r="AA48" s="11">
        <f t="shared" si="7"/>
        <v>0.5472718647</v>
      </c>
      <c r="AB48" s="8">
        <v>773.0</v>
      </c>
      <c r="AC48" s="9">
        <f t="shared" si="8"/>
        <v>0.003289165752</v>
      </c>
      <c r="AD48" s="8">
        <v>27.0</v>
      </c>
      <c r="AE48" s="4" t="s">
        <v>69</v>
      </c>
      <c r="AF48" s="4" t="s">
        <v>292</v>
      </c>
      <c r="AG48" s="4"/>
    </row>
    <row r="49" ht="15.75" customHeight="1">
      <c r="A49" s="4" t="s">
        <v>293</v>
      </c>
      <c r="B49" s="4" t="s">
        <v>294</v>
      </c>
      <c r="C49" s="4" t="s">
        <v>159</v>
      </c>
      <c r="D49" s="4" t="s">
        <v>65</v>
      </c>
      <c r="E49" s="4" t="s">
        <v>57</v>
      </c>
      <c r="F49" s="7">
        <v>45998.5833333333</v>
      </c>
      <c r="G49" s="4" t="s">
        <v>168</v>
      </c>
      <c r="H49" s="4" t="s">
        <v>59</v>
      </c>
      <c r="I49" s="4" t="s">
        <v>295</v>
      </c>
      <c r="J49" s="4">
        <v>2.0</v>
      </c>
      <c r="K49" s="8">
        <v>14515.0</v>
      </c>
      <c r="L49" s="8">
        <v>13880.0</v>
      </c>
      <c r="M49" s="8">
        <v>635.0</v>
      </c>
      <c r="N49" s="9">
        <f t="shared" si="1"/>
        <v>0.9562521529</v>
      </c>
      <c r="O49" s="8">
        <v>0.0</v>
      </c>
      <c r="P49" s="8">
        <v>0.0</v>
      </c>
      <c r="Q49" s="9">
        <f t="shared" si="2"/>
        <v>0</v>
      </c>
      <c r="R49" s="8">
        <v>2071.0</v>
      </c>
      <c r="S49" s="8">
        <v>1640.0</v>
      </c>
      <c r="T49" s="9">
        <f t="shared" si="3"/>
        <v>0.1181556196</v>
      </c>
      <c r="U49" s="9">
        <f t="shared" si="4"/>
        <v>0</v>
      </c>
      <c r="V49" s="8">
        <v>368.0</v>
      </c>
      <c r="W49" s="8">
        <v>344.0</v>
      </c>
      <c r="X49" s="9">
        <f t="shared" si="5"/>
        <v>0.02478386167</v>
      </c>
      <c r="Y49" s="10">
        <v>28140.82</v>
      </c>
      <c r="Z49" s="10">
        <f t="shared" si="6"/>
        <v>76.46961957</v>
      </c>
      <c r="AA49" s="11">
        <f t="shared" si="7"/>
        <v>2.027436599</v>
      </c>
      <c r="AB49" s="8">
        <v>37.0</v>
      </c>
      <c r="AC49" s="9">
        <f t="shared" si="8"/>
        <v>0.002665706052</v>
      </c>
      <c r="AD49" s="8">
        <v>0.0</v>
      </c>
      <c r="AE49" s="4" t="s">
        <v>244</v>
      </c>
      <c r="AF49" s="4"/>
      <c r="AG49" s="4"/>
    </row>
    <row r="50" ht="15.75" customHeight="1">
      <c r="A50" s="4" t="s">
        <v>296</v>
      </c>
      <c r="B50" s="4" t="s">
        <v>297</v>
      </c>
      <c r="C50" s="4" t="s">
        <v>298</v>
      </c>
      <c r="D50" s="4" t="s">
        <v>176</v>
      </c>
      <c r="E50" s="4" t="s">
        <v>66</v>
      </c>
      <c r="F50" s="7">
        <v>45997.5833333333</v>
      </c>
      <c r="G50" s="4" t="s">
        <v>168</v>
      </c>
      <c r="H50" s="4" t="s">
        <v>105</v>
      </c>
      <c r="I50" s="4" t="s">
        <v>299</v>
      </c>
      <c r="J50" s="4">
        <v>3.0</v>
      </c>
      <c r="K50" s="8">
        <v>165274.0</v>
      </c>
      <c r="L50" s="8">
        <v>163490.0</v>
      </c>
      <c r="M50" s="8">
        <v>1784.0</v>
      </c>
      <c r="N50" s="9">
        <f t="shared" si="1"/>
        <v>0.9892058037</v>
      </c>
      <c r="O50" s="8">
        <v>100992.0</v>
      </c>
      <c r="P50" s="8">
        <v>83702.0</v>
      </c>
      <c r="Q50" s="9">
        <f t="shared" si="2"/>
        <v>0.5119701511</v>
      </c>
      <c r="R50" s="8">
        <v>10838.0</v>
      </c>
      <c r="S50" s="8">
        <v>6163.0</v>
      </c>
      <c r="T50" s="9">
        <f t="shared" si="3"/>
        <v>0.0376964952</v>
      </c>
      <c r="U50" s="9">
        <f t="shared" si="4"/>
        <v>0.07363025973</v>
      </c>
      <c r="V50" s="8">
        <v>996.0</v>
      </c>
      <c r="W50" s="8">
        <v>956.0</v>
      </c>
      <c r="X50" s="9">
        <f t="shared" si="5"/>
        <v>0.005847452444</v>
      </c>
      <c r="Y50" s="10">
        <v>103312.69</v>
      </c>
      <c r="Z50" s="10">
        <f t="shared" si="6"/>
        <v>103.7276004</v>
      </c>
      <c r="AA50" s="11">
        <f t="shared" si="7"/>
        <v>0.6319205456</v>
      </c>
      <c r="AB50" s="8">
        <v>631.0</v>
      </c>
      <c r="AC50" s="9">
        <f t="shared" si="8"/>
        <v>0.003859563276</v>
      </c>
      <c r="AD50" s="8">
        <v>20.0</v>
      </c>
      <c r="AE50" s="4" t="s">
        <v>244</v>
      </c>
      <c r="AF50" s="4" t="s">
        <v>300</v>
      </c>
      <c r="AG50" s="4"/>
    </row>
    <row r="51" ht="15.75" customHeight="1">
      <c r="A51" s="4" t="s">
        <v>301</v>
      </c>
      <c r="B51" s="4" t="s">
        <v>302</v>
      </c>
      <c r="C51" s="4" t="s">
        <v>64</v>
      </c>
      <c r="D51" s="4" t="s">
        <v>65</v>
      </c>
      <c r="E51" s="4" t="s">
        <v>66</v>
      </c>
      <c r="F51" s="7">
        <v>45997.5416666667</v>
      </c>
      <c r="G51" s="4" t="s">
        <v>163</v>
      </c>
      <c r="H51" s="4" t="s">
        <v>105</v>
      </c>
      <c r="I51" s="4" t="s">
        <v>303</v>
      </c>
      <c r="J51" s="4">
        <v>2.0</v>
      </c>
      <c r="K51" s="8">
        <v>145917.0</v>
      </c>
      <c r="L51" s="8">
        <v>145505.0</v>
      </c>
      <c r="M51" s="8">
        <v>412.0</v>
      </c>
      <c r="N51" s="9">
        <f t="shared" si="1"/>
        <v>0.997176477</v>
      </c>
      <c r="O51" s="8">
        <v>76827.0</v>
      </c>
      <c r="P51" s="8">
        <v>51610.0</v>
      </c>
      <c r="Q51" s="9">
        <f t="shared" si="2"/>
        <v>0.3546957149</v>
      </c>
      <c r="R51" s="8">
        <v>7870.0</v>
      </c>
      <c r="S51" s="8">
        <v>4373.0</v>
      </c>
      <c r="T51" s="9">
        <f t="shared" si="3"/>
        <v>0.03005395004</v>
      </c>
      <c r="U51" s="9">
        <f t="shared" si="4"/>
        <v>0.08473164115</v>
      </c>
      <c r="V51" s="8">
        <v>5006.0</v>
      </c>
      <c r="W51" s="8">
        <v>4412.0</v>
      </c>
      <c r="X51" s="9">
        <f t="shared" si="5"/>
        <v>0.03032198206</v>
      </c>
      <c r="Y51" s="10">
        <v>382562.76</v>
      </c>
      <c r="Z51" s="10">
        <f t="shared" si="6"/>
        <v>76.42084698</v>
      </c>
      <c r="AA51" s="11">
        <f t="shared" si="7"/>
        <v>2.629206969</v>
      </c>
      <c r="AB51" s="8">
        <v>176.0</v>
      </c>
      <c r="AC51" s="9">
        <f t="shared" si="8"/>
        <v>0.001209580427</v>
      </c>
      <c r="AD51" s="8">
        <v>40.0</v>
      </c>
      <c r="AE51" s="4" t="s">
        <v>112</v>
      </c>
      <c r="AF51" s="4"/>
      <c r="AG51" s="4"/>
    </row>
    <row r="52" ht="15.75" customHeight="1">
      <c r="A52" s="4" t="s">
        <v>304</v>
      </c>
      <c r="B52" s="4" t="s">
        <v>305</v>
      </c>
      <c r="C52" s="4" t="s">
        <v>306</v>
      </c>
      <c r="D52" s="4" t="s">
        <v>65</v>
      </c>
      <c r="E52" s="4" t="s">
        <v>66</v>
      </c>
      <c r="F52" s="7">
        <v>45995.9375</v>
      </c>
      <c r="G52" s="4" t="s">
        <v>270</v>
      </c>
      <c r="H52" s="4" t="s">
        <v>75</v>
      </c>
      <c r="I52" s="4" t="s">
        <v>307</v>
      </c>
      <c r="J52" s="4">
        <v>2.0</v>
      </c>
      <c r="K52" s="8">
        <v>231167.0</v>
      </c>
      <c r="L52" s="8">
        <v>230438.0</v>
      </c>
      <c r="M52" s="8">
        <v>729.0</v>
      </c>
      <c r="N52" s="9">
        <f t="shared" si="1"/>
        <v>0.9968464357</v>
      </c>
      <c r="O52" s="8">
        <v>162083.0</v>
      </c>
      <c r="P52" s="8">
        <v>116792.0</v>
      </c>
      <c r="Q52" s="9">
        <f t="shared" si="2"/>
        <v>0.5068261311</v>
      </c>
      <c r="R52" s="8">
        <v>19014.0</v>
      </c>
      <c r="S52" s="8">
        <v>12285.0</v>
      </c>
      <c r="T52" s="9">
        <f t="shared" si="3"/>
        <v>0.0533115198</v>
      </c>
      <c r="U52" s="9">
        <f t="shared" si="4"/>
        <v>0.1051869991</v>
      </c>
      <c r="V52" s="8">
        <v>9217.0</v>
      </c>
      <c r="W52" s="8">
        <v>8962.0</v>
      </c>
      <c r="X52" s="9">
        <f t="shared" si="5"/>
        <v>0.0388911551</v>
      </c>
      <c r="Y52" s="10">
        <v>718086.74</v>
      </c>
      <c r="Z52" s="10">
        <f t="shared" si="6"/>
        <v>77.90894434</v>
      </c>
      <c r="AA52" s="11">
        <f t="shared" si="7"/>
        <v>3.116181967</v>
      </c>
      <c r="AB52" s="8">
        <v>748.0</v>
      </c>
      <c r="AC52" s="9">
        <f t="shared" si="8"/>
        <v>0.003245992414</v>
      </c>
      <c r="AD52" s="8">
        <v>25.0</v>
      </c>
      <c r="AE52" s="4" t="s">
        <v>126</v>
      </c>
      <c r="AF52" s="4"/>
      <c r="AG52" s="4"/>
    </row>
    <row r="53" ht="15.75" customHeight="1">
      <c r="A53" s="4" t="s">
        <v>308</v>
      </c>
      <c r="B53" s="4" t="s">
        <v>309</v>
      </c>
      <c r="C53" s="4" t="s">
        <v>122</v>
      </c>
      <c r="D53" s="4" t="s">
        <v>123</v>
      </c>
      <c r="E53" s="4" t="s">
        <v>66</v>
      </c>
      <c r="F53" s="7">
        <v>45993.875</v>
      </c>
      <c r="G53" s="4" t="s">
        <v>155</v>
      </c>
      <c r="H53" s="4" t="s">
        <v>91</v>
      </c>
      <c r="I53" s="4" t="s">
        <v>310</v>
      </c>
      <c r="J53" s="4">
        <v>3.0</v>
      </c>
      <c r="K53" s="8">
        <v>76871.0</v>
      </c>
      <c r="L53" s="8">
        <v>76668.0</v>
      </c>
      <c r="M53" s="8">
        <v>203.0</v>
      </c>
      <c r="N53" s="9">
        <f t="shared" si="1"/>
        <v>0.9973592122</v>
      </c>
      <c r="O53" s="8">
        <v>25822.0</v>
      </c>
      <c r="P53" s="8">
        <v>19825.0</v>
      </c>
      <c r="Q53" s="9">
        <f t="shared" si="2"/>
        <v>0.2585824594</v>
      </c>
      <c r="R53" s="8">
        <v>1282.0</v>
      </c>
      <c r="S53" s="8">
        <v>919.0</v>
      </c>
      <c r="T53" s="9">
        <f t="shared" si="3"/>
        <v>0.01198674806</v>
      </c>
      <c r="U53" s="9">
        <f t="shared" si="4"/>
        <v>0.0463556116</v>
      </c>
      <c r="V53" s="8">
        <v>1073.0</v>
      </c>
      <c r="W53" s="8">
        <v>933.0</v>
      </c>
      <c r="X53" s="9">
        <f t="shared" si="5"/>
        <v>0.01216935358</v>
      </c>
      <c r="Y53" s="10">
        <v>66781.7</v>
      </c>
      <c r="Z53" s="10">
        <f t="shared" si="6"/>
        <v>62.23830382</v>
      </c>
      <c r="AA53" s="11">
        <f t="shared" si="7"/>
        <v>0.8710505035</v>
      </c>
      <c r="AB53" s="8">
        <v>249.0</v>
      </c>
      <c r="AC53" s="9">
        <f t="shared" si="8"/>
        <v>0.003247769604</v>
      </c>
      <c r="AD53" s="8">
        <v>12.0</v>
      </c>
      <c r="AE53" s="4" t="s">
        <v>84</v>
      </c>
      <c r="AF53" s="4"/>
      <c r="AG53" s="4"/>
    </row>
    <row r="54" ht="15.75" customHeight="1">
      <c r="A54" s="4" t="s">
        <v>311</v>
      </c>
      <c r="B54" s="4" t="s">
        <v>312</v>
      </c>
      <c r="C54" s="4" t="s">
        <v>306</v>
      </c>
      <c r="D54" s="4" t="s">
        <v>65</v>
      </c>
      <c r="E54" s="4" t="s">
        <v>66</v>
      </c>
      <c r="F54" s="7">
        <v>45993.5416666667</v>
      </c>
      <c r="G54" s="4" t="s">
        <v>163</v>
      </c>
      <c r="H54" s="4" t="s">
        <v>91</v>
      </c>
      <c r="I54" s="4" t="s">
        <v>313</v>
      </c>
      <c r="J54" s="4">
        <v>4.0</v>
      </c>
      <c r="K54" s="8">
        <v>171513.0</v>
      </c>
      <c r="L54" s="8">
        <v>170437.0</v>
      </c>
      <c r="M54" s="8">
        <v>1076.0</v>
      </c>
      <c r="N54" s="9">
        <f t="shared" si="1"/>
        <v>0.9937264231</v>
      </c>
      <c r="O54" s="8">
        <v>92707.0</v>
      </c>
      <c r="P54" s="8">
        <v>71866.0</v>
      </c>
      <c r="Q54" s="9">
        <f t="shared" si="2"/>
        <v>0.4216572693</v>
      </c>
      <c r="R54" s="8">
        <v>11786.0</v>
      </c>
      <c r="S54" s="8">
        <v>7033.0</v>
      </c>
      <c r="T54" s="9">
        <f t="shared" si="3"/>
        <v>0.04126451416</v>
      </c>
      <c r="U54" s="9">
        <f t="shared" si="4"/>
        <v>0.09786268889</v>
      </c>
      <c r="V54" s="8">
        <v>3925.0</v>
      </c>
      <c r="W54" s="8">
        <v>3570.0</v>
      </c>
      <c r="X54" s="9">
        <f t="shared" si="5"/>
        <v>0.02094615606</v>
      </c>
      <c r="Y54" s="10">
        <v>334334.02</v>
      </c>
      <c r="Z54" s="10">
        <f t="shared" si="6"/>
        <v>85.18064204</v>
      </c>
      <c r="AA54" s="11">
        <f t="shared" si="7"/>
        <v>1.961628168</v>
      </c>
      <c r="AB54" s="8">
        <v>679.0</v>
      </c>
      <c r="AC54" s="9">
        <f t="shared" si="8"/>
        <v>0.00398387674</v>
      </c>
      <c r="AD54" s="8">
        <v>6.0</v>
      </c>
      <c r="AE54" s="4" t="s">
        <v>61</v>
      </c>
      <c r="AF54" s="4"/>
      <c r="AG54" s="4"/>
    </row>
    <row r="55" ht="15.75" customHeight="1">
      <c r="A55" s="4" t="s">
        <v>314</v>
      </c>
      <c r="B55" s="4" t="s">
        <v>315</v>
      </c>
      <c r="C55" s="4" t="s">
        <v>133</v>
      </c>
      <c r="D55" s="4" t="s">
        <v>134</v>
      </c>
      <c r="E55" s="4" t="s">
        <v>66</v>
      </c>
      <c r="F55" s="7">
        <v>45989.5625</v>
      </c>
      <c r="G55" s="4" t="s">
        <v>148</v>
      </c>
      <c r="H55" s="4" t="s">
        <v>135</v>
      </c>
      <c r="I55" s="4" t="s">
        <v>316</v>
      </c>
      <c r="J55" s="4">
        <v>3.0</v>
      </c>
      <c r="K55" s="8">
        <v>98105.0</v>
      </c>
      <c r="L55" s="8">
        <v>97517.0</v>
      </c>
      <c r="M55" s="8">
        <v>588.0</v>
      </c>
      <c r="N55" s="9">
        <f t="shared" si="1"/>
        <v>0.9940064217</v>
      </c>
      <c r="O55" s="8">
        <v>66778.0</v>
      </c>
      <c r="P55" s="8">
        <v>45162.0</v>
      </c>
      <c r="Q55" s="9">
        <f t="shared" si="2"/>
        <v>0.463119251</v>
      </c>
      <c r="R55" s="8">
        <v>4483.0</v>
      </c>
      <c r="S55" s="8">
        <v>3176.0</v>
      </c>
      <c r="T55" s="9">
        <f t="shared" si="3"/>
        <v>0.03256868033</v>
      </c>
      <c r="U55" s="9">
        <f t="shared" si="4"/>
        <v>0.07032460918</v>
      </c>
      <c r="V55" s="8">
        <v>1023.0</v>
      </c>
      <c r="W55" s="8">
        <v>892.0</v>
      </c>
      <c r="X55" s="9">
        <f t="shared" si="5"/>
        <v>0.009147123066</v>
      </c>
      <c r="Y55" s="10">
        <v>82686.67</v>
      </c>
      <c r="Z55" s="10">
        <f t="shared" si="6"/>
        <v>80.82763441</v>
      </c>
      <c r="AA55" s="11">
        <f t="shared" si="7"/>
        <v>0.8479205677</v>
      </c>
      <c r="AB55" s="8">
        <v>283.0</v>
      </c>
      <c r="AC55" s="9">
        <f t="shared" si="8"/>
        <v>0.002902058103</v>
      </c>
      <c r="AD55" s="8">
        <v>5.0</v>
      </c>
      <c r="AE55" s="4" t="s">
        <v>84</v>
      </c>
      <c r="AF55" s="4" t="s">
        <v>259</v>
      </c>
      <c r="AG55" s="4"/>
    </row>
    <row r="56" ht="15.75" customHeight="1">
      <c r="A56" s="4" t="s">
        <v>317</v>
      </c>
      <c r="B56" s="4" t="s">
        <v>318</v>
      </c>
      <c r="C56" s="4" t="s">
        <v>319</v>
      </c>
      <c r="D56" s="4" t="s">
        <v>81</v>
      </c>
      <c r="E56" s="4" t="s">
        <v>66</v>
      </c>
      <c r="F56" s="7">
        <v>45988.7291666667</v>
      </c>
      <c r="G56" s="4" t="s">
        <v>181</v>
      </c>
      <c r="H56" s="4" t="s">
        <v>75</v>
      </c>
      <c r="I56" s="4" t="s">
        <v>320</v>
      </c>
      <c r="J56" s="4">
        <v>3.0</v>
      </c>
      <c r="K56" s="8">
        <v>106648.0</v>
      </c>
      <c r="L56" s="8">
        <v>106358.0</v>
      </c>
      <c r="M56" s="8">
        <v>290.0</v>
      </c>
      <c r="N56" s="9">
        <f t="shared" si="1"/>
        <v>0.9972807741</v>
      </c>
      <c r="O56" s="8">
        <v>66070.0</v>
      </c>
      <c r="P56" s="8">
        <v>45753.0</v>
      </c>
      <c r="Q56" s="9">
        <f t="shared" si="2"/>
        <v>0.4301792061</v>
      </c>
      <c r="R56" s="8">
        <v>6477.0</v>
      </c>
      <c r="S56" s="8">
        <v>4241.0</v>
      </c>
      <c r="T56" s="9">
        <f t="shared" si="3"/>
        <v>0.03987476259</v>
      </c>
      <c r="U56" s="9">
        <f t="shared" si="4"/>
        <v>0.0926933753</v>
      </c>
      <c r="V56" s="8">
        <v>634.0</v>
      </c>
      <c r="W56" s="8">
        <v>565.0</v>
      </c>
      <c r="X56" s="9">
        <f t="shared" si="5"/>
        <v>0.005312247316</v>
      </c>
      <c r="Y56" s="10">
        <v>64891.59</v>
      </c>
      <c r="Z56" s="10">
        <f t="shared" si="6"/>
        <v>102.3526656</v>
      </c>
      <c r="AA56" s="11">
        <f t="shared" si="7"/>
        <v>0.6101242032</v>
      </c>
      <c r="AB56" s="8">
        <v>203.0</v>
      </c>
      <c r="AC56" s="9">
        <f t="shared" si="8"/>
        <v>0.001908648151</v>
      </c>
      <c r="AD56" s="8">
        <v>17.0</v>
      </c>
      <c r="AE56" s="4" t="s">
        <v>227</v>
      </c>
      <c r="AF56" s="4" t="s">
        <v>321</v>
      </c>
      <c r="AG56" s="4"/>
    </row>
    <row r="57" ht="15.75" customHeight="1">
      <c r="A57" s="4" t="s">
        <v>322</v>
      </c>
      <c r="B57" s="4" t="s">
        <v>323</v>
      </c>
      <c r="C57" s="4" t="s">
        <v>167</v>
      </c>
      <c r="D57" s="4" t="s">
        <v>97</v>
      </c>
      <c r="E57" s="4" t="s">
        <v>66</v>
      </c>
      <c r="F57" s="7">
        <v>45987.875</v>
      </c>
      <c r="G57" s="4" t="s">
        <v>155</v>
      </c>
      <c r="H57" s="4" t="s">
        <v>82</v>
      </c>
      <c r="I57" s="4" t="s">
        <v>324</v>
      </c>
      <c r="J57" s="4">
        <v>4.0</v>
      </c>
      <c r="K57" s="8">
        <v>159920.0</v>
      </c>
      <c r="L57" s="8">
        <v>159343.0</v>
      </c>
      <c r="M57" s="8">
        <v>577.0</v>
      </c>
      <c r="N57" s="9">
        <f t="shared" si="1"/>
        <v>0.996391946</v>
      </c>
      <c r="O57" s="8">
        <v>95382.0</v>
      </c>
      <c r="P57" s="8">
        <v>76042.0</v>
      </c>
      <c r="Q57" s="9">
        <f t="shared" si="2"/>
        <v>0.4772220932</v>
      </c>
      <c r="R57" s="8">
        <v>6293.0</v>
      </c>
      <c r="S57" s="8">
        <v>4614.0</v>
      </c>
      <c r="T57" s="9">
        <f t="shared" si="3"/>
        <v>0.02895640223</v>
      </c>
      <c r="U57" s="9">
        <f t="shared" si="4"/>
        <v>0.06067699429</v>
      </c>
      <c r="V57" s="8">
        <v>2160.0</v>
      </c>
      <c r="W57" s="8">
        <v>2062.0</v>
      </c>
      <c r="X57" s="9">
        <f t="shared" si="5"/>
        <v>0.01294063749</v>
      </c>
      <c r="Y57" s="10">
        <v>190857.39</v>
      </c>
      <c r="Z57" s="10">
        <f t="shared" si="6"/>
        <v>88.35990278</v>
      </c>
      <c r="AA57" s="11">
        <f t="shared" si="7"/>
        <v>1.19777706</v>
      </c>
      <c r="AB57" s="8">
        <v>181.0</v>
      </c>
      <c r="AC57" s="9">
        <f t="shared" si="8"/>
        <v>0.001135914348</v>
      </c>
      <c r="AD57" s="8">
        <v>33.0</v>
      </c>
      <c r="AE57" s="4" t="s">
        <v>93</v>
      </c>
      <c r="AF57" s="4"/>
      <c r="AG57" s="4"/>
    </row>
    <row r="58" ht="15.75" customHeight="1">
      <c r="A58" s="4" t="s">
        <v>325</v>
      </c>
      <c r="B58" s="4" t="s">
        <v>326</v>
      </c>
      <c r="C58" s="4" t="s">
        <v>88</v>
      </c>
      <c r="D58" s="4" t="s">
        <v>89</v>
      </c>
      <c r="E58" s="4" t="s">
        <v>66</v>
      </c>
      <c r="F58" s="7">
        <v>45984.8958333333</v>
      </c>
      <c r="G58" s="4" t="s">
        <v>142</v>
      </c>
      <c r="H58" s="4" t="s">
        <v>59</v>
      </c>
      <c r="I58" s="4" t="s">
        <v>327</v>
      </c>
      <c r="J58" s="4">
        <v>2.0</v>
      </c>
      <c r="K58" s="8">
        <v>85273.0</v>
      </c>
      <c r="L58" s="8">
        <v>84554.0</v>
      </c>
      <c r="M58" s="8">
        <v>719.0</v>
      </c>
      <c r="N58" s="9">
        <f t="shared" si="1"/>
        <v>0.9915682572</v>
      </c>
      <c r="O58" s="8">
        <v>60853.0</v>
      </c>
      <c r="P58" s="8">
        <v>40841.0</v>
      </c>
      <c r="Q58" s="9">
        <f t="shared" si="2"/>
        <v>0.4830167703</v>
      </c>
      <c r="R58" s="8">
        <v>4249.0</v>
      </c>
      <c r="S58" s="8">
        <v>2878.0</v>
      </c>
      <c r="T58" s="9">
        <f t="shared" si="3"/>
        <v>0.03403741987</v>
      </c>
      <c r="U58" s="9">
        <f t="shared" si="4"/>
        <v>0.07046840185</v>
      </c>
      <c r="V58" s="8">
        <v>1895.0</v>
      </c>
      <c r="W58" s="8">
        <v>1732.0</v>
      </c>
      <c r="X58" s="9">
        <f t="shared" si="5"/>
        <v>0.02048395108</v>
      </c>
      <c r="Y58" s="10">
        <v>115334.86</v>
      </c>
      <c r="Z58" s="10">
        <f t="shared" si="6"/>
        <v>60.86272296</v>
      </c>
      <c r="AA58" s="11">
        <f t="shared" si="7"/>
        <v>1.364037893</v>
      </c>
      <c r="AB58" s="8">
        <v>235.0</v>
      </c>
      <c r="AC58" s="9">
        <f t="shared" si="8"/>
        <v>0.002779288975</v>
      </c>
      <c r="AD58" s="8">
        <v>12.0</v>
      </c>
      <c r="AE58" s="4" t="s">
        <v>112</v>
      </c>
      <c r="AF58" s="4"/>
      <c r="AG58" s="4"/>
    </row>
    <row r="59" ht="15.75" customHeight="1">
      <c r="A59" s="4" t="s">
        <v>328</v>
      </c>
      <c r="B59" s="4" t="s">
        <v>329</v>
      </c>
      <c r="C59" s="4" t="s">
        <v>330</v>
      </c>
      <c r="D59" s="4" t="s">
        <v>187</v>
      </c>
      <c r="E59" s="4" t="s">
        <v>66</v>
      </c>
      <c r="F59" s="7">
        <v>45984.5416666667</v>
      </c>
      <c r="G59" s="4" t="s">
        <v>163</v>
      </c>
      <c r="H59" s="4" t="s">
        <v>59</v>
      </c>
      <c r="I59" s="4" t="s">
        <v>331</v>
      </c>
      <c r="J59" s="4">
        <v>3.0</v>
      </c>
      <c r="K59" s="8">
        <v>64201.0</v>
      </c>
      <c r="L59" s="8">
        <v>63565.0</v>
      </c>
      <c r="M59" s="8">
        <v>636.0</v>
      </c>
      <c r="N59" s="9">
        <f t="shared" si="1"/>
        <v>0.9900936122</v>
      </c>
      <c r="O59" s="8">
        <v>23986.0</v>
      </c>
      <c r="P59" s="8">
        <v>19434.0</v>
      </c>
      <c r="Q59" s="9">
        <f t="shared" si="2"/>
        <v>0.3057342877</v>
      </c>
      <c r="R59" s="8">
        <v>1353.0</v>
      </c>
      <c r="S59" s="8">
        <v>885.0</v>
      </c>
      <c r="T59" s="9">
        <f t="shared" si="3"/>
        <v>0.01392275623</v>
      </c>
      <c r="U59" s="9">
        <f t="shared" si="4"/>
        <v>0.04553874653</v>
      </c>
      <c r="V59" s="8">
        <v>985.0</v>
      </c>
      <c r="W59" s="8">
        <v>923.0</v>
      </c>
      <c r="X59" s="9">
        <f t="shared" si="5"/>
        <v>0.0145205695</v>
      </c>
      <c r="Y59" s="10">
        <v>73707.78</v>
      </c>
      <c r="Z59" s="10">
        <f t="shared" si="6"/>
        <v>74.8302335</v>
      </c>
      <c r="AA59" s="11">
        <f t="shared" si="7"/>
        <v>1.159565484</v>
      </c>
      <c r="AB59" s="8">
        <v>236.0</v>
      </c>
      <c r="AC59" s="9">
        <f t="shared" si="8"/>
        <v>0.003712734996</v>
      </c>
      <c r="AD59" s="8">
        <v>11.0</v>
      </c>
      <c r="AE59" s="4" t="s">
        <v>195</v>
      </c>
      <c r="AF59" s="4"/>
      <c r="AG59" s="4"/>
    </row>
    <row r="60" ht="15.75" customHeight="1">
      <c r="A60" s="4" t="s">
        <v>332</v>
      </c>
      <c r="B60" s="4" t="s">
        <v>333</v>
      </c>
      <c r="C60" s="4" t="s">
        <v>230</v>
      </c>
      <c r="D60" s="4" t="s">
        <v>123</v>
      </c>
      <c r="E60" s="4" t="s">
        <v>66</v>
      </c>
      <c r="F60" s="7">
        <v>45982.8958333333</v>
      </c>
      <c r="G60" s="4" t="s">
        <v>142</v>
      </c>
      <c r="H60" s="4" t="s">
        <v>135</v>
      </c>
      <c r="I60" s="4" t="s">
        <v>334</v>
      </c>
      <c r="J60" s="4">
        <v>2.0</v>
      </c>
      <c r="K60" s="8">
        <v>225299.0</v>
      </c>
      <c r="L60" s="8">
        <v>222670.0</v>
      </c>
      <c r="M60" s="8">
        <v>2629.0</v>
      </c>
      <c r="N60" s="9">
        <f t="shared" si="1"/>
        <v>0.9883310623</v>
      </c>
      <c r="O60" s="8">
        <v>81846.0</v>
      </c>
      <c r="P60" s="8">
        <v>60910.0</v>
      </c>
      <c r="Q60" s="9">
        <f t="shared" si="2"/>
        <v>0.2735438092</v>
      </c>
      <c r="R60" s="8">
        <v>3138.0</v>
      </c>
      <c r="S60" s="8">
        <v>2000.0</v>
      </c>
      <c r="T60" s="9">
        <f t="shared" si="3"/>
        <v>0.008981901469</v>
      </c>
      <c r="U60" s="9">
        <f t="shared" si="4"/>
        <v>0.03283533082</v>
      </c>
      <c r="V60" s="8">
        <v>3357.0</v>
      </c>
      <c r="W60" s="8">
        <v>3157.0</v>
      </c>
      <c r="X60" s="9">
        <f t="shared" si="5"/>
        <v>0.01417793147</v>
      </c>
      <c r="Y60" s="10">
        <v>198349.55</v>
      </c>
      <c r="Z60" s="10">
        <f t="shared" si="6"/>
        <v>59.08535895</v>
      </c>
      <c r="AA60" s="11">
        <f t="shared" si="7"/>
        <v>0.8907780572</v>
      </c>
      <c r="AB60" s="8">
        <v>591.0</v>
      </c>
      <c r="AC60" s="9">
        <f t="shared" si="8"/>
        <v>0.002654151884</v>
      </c>
      <c r="AD60" s="8">
        <v>41.0</v>
      </c>
      <c r="AE60" s="4" t="s">
        <v>77</v>
      </c>
      <c r="AF60" s="4"/>
      <c r="AG60" s="4"/>
    </row>
    <row r="61" ht="15.75" customHeight="1">
      <c r="A61" s="4" t="s">
        <v>335</v>
      </c>
      <c r="B61" s="4" t="s">
        <v>336</v>
      </c>
      <c r="C61" s="4" t="s">
        <v>122</v>
      </c>
      <c r="D61" s="4" t="s">
        <v>123</v>
      </c>
      <c r="E61" s="4" t="s">
        <v>66</v>
      </c>
      <c r="F61" s="7">
        <v>45979.8333333333</v>
      </c>
      <c r="G61" s="4" t="s">
        <v>188</v>
      </c>
      <c r="H61" s="4" t="s">
        <v>91</v>
      </c>
      <c r="I61" s="4" t="s">
        <v>337</v>
      </c>
      <c r="J61" s="4">
        <v>3.0</v>
      </c>
      <c r="K61" s="8">
        <v>65228.0</v>
      </c>
      <c r="L61" s="8">
        <v>64281.0</v>
      </c>
      <c r="M61" s="8">
        <v>947.0</v>
      </c>
      <c r="N61" s="9">
        <f t="shared" si="1"/>
        <v>0.985481695</v>
      </c>
      <c r="O61" s="8">
        <v>24091.0</v>
      </c>
      <c r="P61" s="8">
        <v>18783.0</v>
      </c>
      <c r="Q61" s="9">
        <f t="shared" si="2"/>
        <v>0.2922014281</v>
      </c>
      <c r="R61" s="8">
        <v>946.0</v>
      </c>
      <c r="S61" s="8">
        <v>590.0</v>
      </c>
      <c r="T61" s="9">
        <f t="shared" si="3"/>
        <v>0.009178450864</v>
      </c>
      <c r="U61" s="9">
        <f t="shared" si="4"/>
        <v>0.03141138263</v>
      </c>
      <c r="V61" s="8">
        <v>831.0</v>
      </c>
      <c r="W61" s="8">
        <v>710.0</v>
      </c>
      <c r="X61" s="9">
        <f t="shared" si="5"/>
        <v>0.01104525443</v>
      </c>
      <c r="Y61" s="10">
        <v>61534.41</v>
      </c>
      <c r="Z61" s="10">
        <f t="shared" si="6"/>
        <v>74.04862816</v>
      </c>
      <c r="AA61" s="11">
        <f t="shared" si="7"/>
        <v>0.9572721333</v>
      </c>
      <c r="AB61" s="8">
        <v>106.0</v>
      </c>
      <c r="AC61" s="9">
        <f t="shared" si="8"/>
        <v>0.001649009816</v>
      </c>
      <c r="AD61" s="8">
        <v>5.0</v>
      </c>
      <c r="AE61" s="4" t="s">
        <v>190</v>
      </c>
      <c r="AF61" s="4"/>
      <c r="AG61" s="4"/>
    </row>
    <row r="62" ht="15.75" customHeight="1">
      <c r="A62" s="4" t="s">
        <v>338</v>
      </c>
      <c r="B62" s="4" t="s">
        <v>339</v>
      </c>
      <c r="C62" s="4" t="s">
        <v>230</v>
      </c>
      <c r="D62" s="4" t="s">
        <v>123</v>
      </c>
      <c r="E62" s="4" t="s">
        <v>66</v>
      </c>
      <c r="F62" s="7">
        <v>45977.5833333333</v>
      </c>
      <c r="G62" s="4" t="s">
        <v>168</v>
      </c>
      <c r="H62" s="4" t="s">
        <v>59</v>
      </c>
      <c r="I62" s="4" t="s">
        <v>340</v>
      </c>
      <c r="J62" s="4">
        <v>3.0</v>
      </c>
      <c r="K62" s="8">
        <v>253613.0</v>
      </c>
      <c r="L62" s="8">
        <v>250267.0</v>
      </c>
      <c r="M62" s="8">
        <v>3346.0</v>
      </c>
      <c r="N62" s="9">
        <f t="shared" si="1"/>
        <v>0.98680667</v>
      </c>
      <c r="O62" s="8">
        <v>96714.0</v>
      </c>
      <c r="P62" s="8">
        <v>74923.0</v>
      </c>
      <c r="Q62" s="9">
        <f t="shared" si="2"/>
        <v>0.2993722704</v>
      </c>
      <c r="R62" s="8">
        <v>3514.0</v>
      </c>
      <c r="S62" s="8">
        <v>2552.0</v>
      </c>
      <c r="T62" s="9">
        <f t="shared" si="3"/>
        <v>0.01019710949</v>
      </c>
      <c r="U62" s="9">
        <f t="shared" si="4"/>
        <v>0.03406163661</v>
      </c>
      <c r="V62" s="8">
        <v>2630.0</v>
      </c>
      <c r="W62" s="8">
        <v>2364.0</v>
      </c>
      <c r="X62" s="9">
        <f t="shared" si="5"/>
        <v>0.009445911766</v>
      </c>
      <c r="Y62" s="10">
        <v>171704.64</v>
      </c>
      <c r="Z62" s="10">
        <f t="shared" si="6"/>
        <v>65.28693536</v>
      </c>
      <c r="AA62" s="11">
        <f t="shared" si="7"/>
        <v>0.6860858203</v>
      </c>
      <c r="AB62" s="8">
        <v>648.0</v>
      </c>
      <c r="AC62" s="9">
        <f t="shared" si="8"/>
        <v>0.002589234697</v>
      </c>
      <c r="AD62" s="8">
        <v>45.0</v>
      </c>
      <c r="AE62" s="4" t="s">
        <v>144</v>
      </c>
      <c r="AF62" s="4"/>
      <c r="AG62" s="4"/>
    </row>
    <row r="63" ht="15.75" customHeight="1">
      <c r="A63" s="4" t="s">
        <v>341</v>
      </c>
      <c r="B63" s="4" t="s">
        <v>342</v>
      </c>
      <c r="C63" s="4" t="s">
        <v>88</v>
      </c>
      <c r="D63" s="4" t="s">
        <v>89</v>
      </c>
      <c r="E63" s="4" t="s">
        <v>66</v>
      </c>
      <c r="F63" s="7">
        <v>45974.6666666667</v>
      </c>
      <c r="G63" s="4" t="s">
        <v>74</v>
      </c>
      <c r="H63" s="4" t="s">
        <v>75</v>
      </c>
      <c r="I63" s="4" t="s">
        <v>99</v>
      </c>
      <c r="J63" s="4">
        <v>1.0</v>
      </c>
      <c r="K63" s="8">
        <v>58026.0</v>
      </c>
      <c r="L63" s="8">
        <v>57547.0</v>
      </c>
      <c r="M63" s="8">
        <v>479.0</v>
      </c>
      <c r="N63" s="9">
        <f t="shared" si="1"/>
        <v>0.9917450798</v>
      </c>
      <c r="O63" s="8">
        <v>32938.0</v>
      </c>
      <c r="P63" s="8">
        <v>26463.0</v>
      </c>
      <c r="Q63" s="9">
        <f t="shared" si="2"/>
        <v>0.4598502094</v>
      </c>
      <c r="R63" s="8">
        <v>3806.0</v>
      </c>
      <c r="S63" s="8">
        <v>2779.0</v>
      </c>
      <c r="T63" s="9">
        <f t="shared" si="3"/>
        <v>0.04829096217</v>
      </c>
      <c r="U63" s="9">
        <f t="shared" si="4"/>
        <v>0.1050145486</v>
      </c>
      <c r="V63" s="8">
        <v>2301.0</v>
      </c>
      <c r="W63" s="8">
        <v>2051.0</v>
      </c>
      <c r="X63" s="9">
        <f t="shared" si="5"/>
        <v>0.03564043304</v>
      </c>
      <c r="Y63" s="10">
        <v>121600.02</v>
      </c>
      <c r="Z63" s="10">
        <f t="shared" si="6"/>
        <v>52.84659713</v>
      </c>
      <c r="AA63" s="11">
        <f t="shared" si="7"/>
        <v>2.113055763</v>
      </c>
      <c r="AB63" s="8">
        <v>152.0</v>
      </c>
      <c r="AC63" s="9">
        <f t="shared" si="8"/>
        <v>0.002641319269</v>
      </c>
      <c r="AD63" s="8">
        <v>14.0</v>
      </c>
      <c r="AE63" s="4" t="s">
        <v>112</v>
      </c>
      <c r="AF63" s="4"/>
      <c r="AG63" s="4"/>
    </row>
    <row r="64" ht="15.75" customHeight="1">
      <c r="A64" s="4" t="s">
        <v>343</v>
      </c>
      <c r="B64" s="4" t="s">
        <v>344</v>
      </c>
      <c r="C64" s="4" t="s">
        <v>290</v>
      </c>
      <c r="D64" s="4" t="s">
        <v>176</v>
      </c>
      <c r="E64" s="4" t="s">
        <v>66</v>
      </c>
      <c r="F64" s="7">
        <v>45973.5416666667</v>
      </c>
      <c r="G64" s="4" t="s">
        <v>163</v>
      </c>
      <c r="H64" s="4" t="s">
        <v>82</v>
      </c>
      <c r="I64" s="4" t="s">
        <v>345</v>
      </c>
      <c r="J64" s="4">
        <v>3.0</v>
      </c>
      <c r="K64" s="8">
        <v>125945.0</v>
      </c>
      <c r="L64" s="8">
        <v>124537.0</v>
      </c>
      <c r="M64" s="8">
        <v>1408.0</v>
      </c>
      <c r="N64" s="9">
        <f t="shared" si="1"/>
        <v>0.9888205169</v>
      </c>
      <c r="O64" s="8">
        <v>59748.0</v>
      </c>
      <c r="P64" s="8">
        <v>45219.0</v>
      </c>
      <c r="Q64" s="9">
        <f t="shared" si="2"/>
        <v>0.363096911</v>
      </c>
      <c r="R64" s="8">
        <v>4368.0</v>
      </c>
      <c r="S64" s="8">
        <v>2677.0</v>
      </c>
      <c r="T64" s="9">
        <f t="shared" si="3"/>
        <v>0.02149561978</v>
      </c>
      <c r="U64" s="9">
        <f t="shared" si="4"/>
        <v>0.05920077843</v>
      </c>
      <c r="V64" s="8">
        <v>624.0</v>
      </c>
      <c r="W64" s="8">
        <v>575.0</v>
      </c>
      <c r="X64" s="9">
        <f t="shared" si="5"/>
        <v>0.004617101745</v>
      </c>
      <c r="Y64" s="10">
        <v>55668.73</v>
      </c>
      <c r="Z64" s="10">
        <f t="shared" si="6"/>
        <v>89.21270833</v>
      </c>
      <c r="AA64" s="11">
        <f t="shared" si="7"/>
        <v>0.4470055486</v>
      </c>
      <c r="AB64" s="8">
        <v>496.0</v>
      </c>
      <c r="AC64" s="9">
        <f t="shared" si="8"/>
        <v>0.003982752114</v>
      </c>
      <c r="AD64" s="8">
        <v>21.0</v>
      </c>
      <c r="AE64" s="4" t="s">
        <v>227</v>
      </c>
      <c r="AF64" s="4" t="s">
        <v>292</v>
      </c>
      <c r="AG64" s="4"/>
    </row>
    <row r="65" ht="15.75" customHeight="1">
      <c r="A65" s="4" t="s">
        <v>346</v>
      </c>
      <c r="B65" s="4" t="s">
        <v>347</v>
      </c>
      <c r="C65" s="4" t="s">
        <v>306</v>
      </c>
      <c r="D65" s="4" t="s">
        <v>65</v>
      </c>
      <c r="E65" s="4" t="s">
        <v>66</v>
      </c>
      <c r="F65" s="7">
        <v>45971.6041666667</v>
      </c>
      <c r="G65" s="4" t="s">
        <v>118</v>
      </c>
      <c r="H65" s="4" t="s">
        <v>98</v>
      </c>
      <c r="I65" s="4" t="s">
        <v>348</v>
      </c>
      <c r="J65" s="4">
        <v>2.0</v>
      </c>
      <c r="K65" s="8">
        <v>61644.0</v>
      </c>
      <c r="L65" s="8">
        <v>61427.0</v>
      </c>
      <c r="M65" s="8">
        <v>217.0</v>
      </c>
      <c r="N65" s="9">
        <f t="shared" si="1"/>
        <v>0.9964797872</v>
      </c>
      <c r="O65" s="8">
        <v>39731.0</v>
      </c>
      <c r="P65" s="8">
        <v>30056.0</v>
      </c>
      <c r="Q65" s="9">
        <f t="shared" si="2"/>
        <v>0.4892962378</v>
      </c>
      <c r="R65" s="8">
        <v>4882.0</v>
      </c>
      <c r="S65" s="8">
        <v>3545.0</v>
      </c>
      <c r="T65" s="9">
        <f t="shared" si="3"/>
        <v>0.05771077865</v>
      </c>
      <c r="U65" s="9">
        <f t="shared" si="4"/>
        <v>0.1179464999</v>
      </c>
      <c r="V65" s="8">
        <v>0.0</v>
      </c>
      <c r="W65" s="8">
        <v>0.0</v>
      </c>
      <c r="X65" s="9">
        <f t="shared" si="5"/>
        <v>0</v>
      </c>
      <c r="Y65" s="10">
        <v>0.0</v>
      </c>
      <c r="Z65" s="10">
        <f t="shared" si="6"/>
        <v>0</v>
      </c>
      <c r="AA65" s="11">
        <f t="shared" si="7"/>
        <v>0</v>
      </c>
      <c r="AB65" s="8">
        <v>205.0</v>
      </c>
      <c r="AC65" s="9">
        <f t="shared" si="8"/>
        <v>0.003337294675</v>
      </c>
      <c r="AD65" s="8">
        <v>16.0</v>
      </c>
      <c r="AE65" s="4" t="s">
        <v>232</v>
      </c>
      <c r="AF65" s="4"/>
      <c r="AG65" s="4"/>
    </row>
    <row r="66" ht="15.75" customHeight="1">
      <c r="A66" s="4" t="s">
        <v>349</v>
      </c>
      <c r="B66" s="4" t="s">
        <v>350</v>
      </c>
      <c r="C66" s="4" t="s">
        <v>351</v>
      </c>
      <c r="D66" s="4" t="s">
        <v>104</v>
      </c>
      <c r="E66" s="4" t="s">
        <v>57</v>
      </c>
      <c r="F66" s="7">
        <v>45971.5833333333</v>
      </c>
      <c r="G66" s="4" t="s">
        <v>168</v>
      </c>
      <c r="H66" s="4" t="s">
        <v>98</v>
      </c>
      <c r="I66" s="4" t="s">
        <v>352</v>
      </c>
      <c r="J66" s="4">
        <v>3.0</v>
      </c>
      <c r="K66" s="8">
        <v>79181.0</v>
      </c>
      <c r="L66" s="8">
        <v>76953.0</v>
      </c>
      <c r="M66" s="8">
        <v>2228.0</v>
      </c>
      <c r="N66" s="9">
        <f t="shared" si="1"/>
        <v>0.9718619366</v>
      </c>
      <c r="O66" s="8">
        <v>0.0</v>
      </c>
      <c r="P66" s="8">
        <v>0.0</v>
      </c>
      <c r="Q66" s="9">
        <f t="shared" si="2"/>
        <v>0</v>
      </c>
      <c r="R66" s="8">
        <v>11423.0</v>
      </c>
      <c r="S66" s="8">
        <v>9101.0</v>
      </c>
      <c r="T66" s="9">
        <f t="shared" si="3"/>
        <v>0.1182669941</v>
      </c>
      <c r="U66" s="9">
        <f t="shared" si="4"/>
        <v>0</v>
      </c>
      <c r="V66" s="8">
        <v>2624.0</v>
      </c>
      <c r="W66" s="8">
        <v>2431.0</v>
      </c>
      <c r="X66" s="9">
        <f t="shared" si="5"/>
        <v>0.03159071121</v>
      </c>
      <c r="Y66" s="10">
        <v>192436.89</v>
      </c>
      <c r="Z66" s="10">
        <f t="shared" si="6"/>
        <v>73.33722942</v>
      </c>
      <c r="AA66" s="11">
        <f t="shared" si="7"/>
        <v>2.500706795</v>
      </c>
      <c r="AB66" s="8">
        <v>469.0</v>
      </c>
      <c r="AC66" s="9">
        <f t="shared" si="8"/>
        <v>0.006094629189</v>
      </c>
      <c r="AD66" s="8">
        <v>0.0</v>
      </c>
      <c r="AE66" s="4" t="s">
        <v>144</v>
      </c>
      <c r="AF66" s="4"/>
      <c r="AG66" s="4"/>
    </row>
    <row r="67" ht="15.75" customHeight="1">
      <c r="A67" s="4" t="s">
        <v>353</v>
      </c>
      <c r="B67" s="4" t="s">
        <v>354</v>
      </c>
      <c r="C67" s="4" t="s">
        <v>355</v>
      </c>
      <c r="D67" s="4" t="s">
        <v>117</v>
      </c>
      <c r="E67" s="4" t="s">
        <v>66</v>
      </c>
      <c r="F67" s="7">
        <v>45970.8333333333</v>
      </c>
      <c r="G67" s="4" t="s">
        <v>188</v>
      </c>
      <c r="H67" s="4" t="s">
        <v>59</v>
      </c>
      <c r="I67" s="4" t="s">
        <v>356</v>
      </c>
      <c r="J67" s="4">
        <v>3.0</v>
      </c>
      <c r="K67" s="8">
        <v>69200.0</v>
      </c>
      <c r="L67" s="8">
        <v>68908.0</v>
      </c>
      <c r="M67" s="8">
        <v>292.0</v>
      </c>
      <c r="N67" s="9">
        <f t="shared" si="1"/>
        <v>0.9957803468</v>
      </c>
      <c r="O67" s="8">
        <v>35518.0</v>
      </c>
      <c r="P67" s="8">
        <v>24918.0</v>
      </c>
      <c r="Q67" s="9">
        <f t="shared" si="2"/>
        <v>0.3616125849</v>
      </c>
      <c r="R67" s="8">
        <v>2955.0</v>
      </c>
      <c r="S67" s="8">
        <v>1642.0</v>
      </c>
      <c r="T67" s="9">
        <f t="shared" si="3"/>
        <v>0.02382887328</v>
      </c>
      <c r="U67" s="9">
        <f t="shared" si="4"/>
        <v>0.06589613934</v>
      </c>
      <c r="V67" s="8">
        <v>370.0</v>
      </c>
      <c r="W67" s="8">
        <v>331.0</v>
      </c>
      <c r="X67" s="9">
        <f t="shared" si="5"/>
        <v>0.004803506124</v>
      </c>
      <c r="Y67" s="10">
        <v>31602.24</v>
      </c>
      <c r="Z67" s="10">
        <f t="shared" si="6"/>
        <v>85.41145946</v>
      </c>
      <c r="AA67" s="11">
        <f t="shared" si="7"/>
        <v>0.4586149649</v>
      </c>
      <c r="AB67" s="8">
        <v>140.0</v>
      </c>
      <c r="AC67" s="9">
        <f t="shared" si="8"/>
        <v>0.002031694433</v>
      </c>
      <c r="AD67" s="8">
        <v>20.0</v>
      </c>
      <c r="AE67" s="4" t="s">
        <v>190</v>
      </c>
      <c r="AF67" s="4"/>
      <c r="AG67" s="4"/>
    </row>
    <row r="68" ht="15.75" customHeight="1">
      <c r="A68" s="4" t="s">
        <v>357</v>
      </c>
      <c r="B68" s="4" t="s">
        <v>358</v>
      </c>
      <c r="C68" s="4" t="s">
        <v>359</v>
      </c>
      <c r="D68" s="4" t="s">
        <v>117</v>
      </c>
      <c r="E68" s="4" t="s">
        <v>66</v>
      </c>
      <c r="F68" s="7">
        <v>45967.9375</v>
      </c>
      <c r="G68" s="4" t="s">
        <v>270</v>
      </c>
      <c r="H68" s="4" t="s">
        <v>75</v>
      </c>
      <c r="I68" s="4" t="s">
        <v>360</v>
      </c>
      <c r="J68" s="4">
        <v>2.0</v>
      </c>
      <c r="K68" s="8">
        <v>69854.0</v>
      </c>
      <c r="L68" s="8">
        <v>69513.0</v>
      </c>
      <c r="M68" s="8">
        <v>341.0</v>
      </c>
      <c r="N68" s="9">
        <f t="shared" si="1"/>
        <v>0.9951183898</v>
      </c>
      <c r="O68" s="8">
        <v>42154.0</v>
      </c>
      <c r="P68" s="8">
        <v>34622.0</v>
      </c>
      <c r="Q68" s="9">
        <f t="shared" si="2"/>
        <v>0.4980651101</v>
      </c>
      <c r="R68" s="8">
        <v>5260.0</v>
      </c>
      <c r="S68" s="8">
        <v>3362.0</v>
      </c>
      <c r="T68" s="9">
        <f t="shared" si="3"/>
        <v>0.04836505402</v>
      </c>
      <c r="U68" s="9">
        <f t="shared" si="4"/>
        <v>0.09710588643</v>
      </c>
      <c r="V68" s="8">
        <v>472.0</v>
      </c>
      <c r="W68" s="8">
        <v>462.0</v>
      </c>
      <c r="X68" s="9">
        <f t="shared" si="5"/>
        <v>0.006646238833</v>
      </c>
      <c r="Y68" s="10">
        <v>42051.01</v>
      </c>
      <c r="Z68" s="10">
        <f t="shared" si="6"/>
        <v>89.09112288</v>
      </c>
      <c r="AA68" s="11">
        <f t="shared" si="7"/>
        <v>0.6049373498</v>
      </c>
      <c r="AB68" s="8">
        <v>59.0</v>
      </c>
      <c r="AC68" s="9">
        <f t="shared" si="8"/>
        <v>0.0008487621021</v>
      </c>
      <c r="AD68" s="8">
        <v>14.0</v>
      </c>
      <c r="AE68" s="4" t="s">
        <v>195</v>
      </c>
      <c r="AF68" s="4"/>
      <c r="AG68" s="4"/>
    </row>
    <row r="69" ht="15.75" customHeight="1">
      <c r="A69" s="4" t="s">
        <v>361</v>
      </c>
      <c r="B69" s="4" t="s">
        <v>362</v>
      </c>
      <c r="C69" s="4" t="s">
        <v>363</v>
      </c>
      <c r="D69" s="4" t="s">
        <v>176</v>
      </c>
      <c r="E69" s="4" t="s">
        <v>66</v>
      </c>
      <c r="F69" s="7">
        <v>45967.8333333333</v>
      </c>
      <c r="G69" s="4" t="s">
        <v>188</v>
      </c>
      <c r="H69" s="4" t="s">
        <v>75</v>
      </c>
      <c r="I69" s="4" t="s">
        <v>364</v>
      </c>
      <c r="J69" s="4">
        <v>3.0</v>
      </c>
      <c r="K69" s="8">
        <v>173118.0</v>
      </c>
      <c r="L69" s="8">
        <v>171790.0</v>
      </c>
      <c r="M69" s="8">
        <v>1328.0</v>
      </c>
      <c r="N69" s="9">
        <f t="shared" si="1"/>
        <v>0.9923289317</v>
      </c>
      <c r="O69" s="8">
        <v>97404.0</v>
      </c>
      <c r="P69" s="8">
        <v>71098.0</v>
      </c>
      <c r="Q69" s="9">
        <f t="shared" si="2"/>
        <v>0.4138657663</v>
      </c>
      <c r="R69" s="8">
        <v>9863.0</v>
      </c>
      <c r="S69" s="8">
        <v>6020.0</v>
      </c>
      <c r="T69" s="9">
        <f t="shared" si="3"/>
        <v>0.0350427848</v>
      </c>
      <c r="U69" s="9">
        <f t="shared" si="4"/>
        <v>0.08467186137</v>
      </c>
      <c r="V69" s="8">
        <v>993.0</v>
      </c>
      <c r="W69" s="8">
        <v>893.0</v>
      </c>
      <c r="X69" s="9">
        <f t="shared" si="5"/>
        <v>0.005198207113</v>
      </c>
      <c r="Y69" s="10">
        <v>99629.72</v>
      </c>
      <c r="Z69" s="10">
        <f t="shared" si="6"/>
        <v>100.3320443</v>
      </c>
      <c r="AA69" s="11">
        <f t="shared" si="7"/>
        <v>0.5799506374</v>
      </c>
      <c r="AB69" s="8">
        <v>561.0</v>
      </c>
      <c r="AC69" s="9">
        <f t="shared" si="8"/>
        <v>0.003265614995</v>
      </c>
      <c r="AD69" s="8">
        <v>36.0</v>
      </c>
      <c r="AE69" s="4" t="s">
        <v>150</v>
      </c>
      <c r="AF69" s="4" t="s">
        <v>212</v>
      </c>
      <c r="AG69" s="4"/>
    </row>
    <row r="70" ht="15.75" customHeight="1">
      <c r="A70" s="4" t="s">
        <v>365</v>
      </c>
      <c r="B70" s="4" t="s">
        <v>366</v>
      </c>
      <c r="C70" s="4" t="s">
        <v>367</v>
      </c>
      <c r="D70" s="4" t="s">
        <v>56</v>
      </c>
      <c r="E70" s="4" t="s">
        <v>66</v>
      </c>
      <c r="F70" s="7">
        <v>45967.5625</v>
      </c>
      <c r="G70" s="4" t="s">
        <v>148</v>
      </c>
      <c r="H70" s="4" t="s">
        <v>75</v>
      </c>
      <c r="I70" s="4" t="s">
        <v>368</v>
      </c>
      <c r="J70" s="4">
        <v>2.0</v>
      </c>
      <c r="K70" s="8">
        <v>45726.0</v>
      </c>
      <c r="L70" s="8">
        <v>45237.0</v>
      </c>
      <c r="M70" s="8">
        <v>489.0</v>
      </c>
      <c r="N70" s="9">
        <f t="shared" si="1"/>
        <v>0.9893058654</v>
      </c>
      <c r="O70" s="8">
        <v>35531.0</v>
      </c>
      <c r="P70" s="8">
        <v>24694.0</v>
      </c>
      <c r="Q70" s="9">
        <f t="shared" si="2"/>
        <v>0.5458805845</v>
      </c>
      <c r="R70" s="8">
        <v>2416.0</v>
      </c>
      <c r="S70" s="8">
        <v>1791.0</v>
      </c>
      <c r="T70" s="9">
        <f t="shared" si="3"/>
        <v>0.03959148485</v>
      </c>
      <c r="U70" s="9">
        <f t="shared" si="4"/>
        <v>0.07252773953</v>
      </c>
      <c r="V70" s="8">
        <v>1034.0</v>
      </c>
      <c r="W70" s="8">
        <v>979.0</v>
      </c>
      <c r="X70" s="9">
        <f t="shared" si="5"/>
        <v>0.02164157659</v>
      </c>
      <c r="Y70" s="10">
        <v>88619.6</v>
      </c>
      <c r="Z70" s="10">
        <f t="shared" si="6"/>
        <v>85.70560928</v>
      </c>
      <c r="AA70" s="11">
        <f t="shared" si="7"/>
        <v>1.959007008</v>
      </c>
      <c r="AB70" s="8">
        <v>131.0</v>
      </c>
      <c r="AC70" s="9">
        <f t="shared" si="8"/>
        <v>0.002895859584</v>
      </c>
      <c r="AD70" s="8">
        <v>3.0</v>
      </c>
      <c r="AE70" s="4" t="s">
        <v>227</v>
      </c>
      <c r="AF70" s="4"/>
      <c r="AG70" s="4"/>
    </row>
    <row r="71" ht="15.75" customHeight="1">
      <c r="A71" s="4" t="s">
        <v>369</v>
      </c>
      <c r="B71" s="4" t="s">
        <v>370</v>
      </c>
      <c r="C71" s="4" t="s">
        <v>88</v>
      </c>
      <c r="D71" s="4" t="s">
        <v>89</v>
      </c>
      <c r="E71" s="4" t="s">
        <v>66</v>
      </c>
      <c r="F71" s="7">
        <v>45965.5416666667</v>
      </c>
      <c r="G71" s="4" t="s">
        <v>163</v>
      </c>
      <c r="H71" s="4" t="s">
        <v>91</v>
      </c>
      <c r="I71" s="4" t="s">
        <v>371</v>
      </c>
      <c r="J71" s="4">
        <v>1.0</v>
      </c>
      <c r="K71" s="8">
        <v>31014.0</v>
      </c>
      <c r="L71" s="8">
        <v>30573.0</v>
      </c>
      <c r="M71" s="8">
        <v>441.0</v>
      </c>
      <c r="N71" s="9">
        <f t="shared" si="1"/>
        <v>0.9857806152</v>
      </c>
      <c r="O71" s="8">
        <v>17926.0</v>
      </c>
      <c r="P71" s="8">
        <v>12364.0</v>
      </c>
      <c r="Q71" s="9">
        <f t="shared" si="2"/>
        <v>0.4044091192</v>
      </c>
      <c r="R71" s="8">
        <v>1652.0</v>
      </c>
      <c r="S71" s="8">
        <v>981.0</v>
      </c>
      <c r="T71" s="9">
        <f t="shared" si="3"/>
        <v>0.03208713571</v>
      </c>
      <c r="U71" s="9">
        <f t="shared" si="4"/>
        <v>0.07934325461</v>
      </c>
      <c r="V71" s="8">
        <v>1222.0</v>
      </c>
      <c r="W71" s="8">
        <v>1041.0</v>
      </c>
      <c r="X71" s="9">
        <f t="shared" si="5"/>
        <v>0.03404965165</v>
      </c>
      <c r="Y71" s="10">
        <v>74340.56</v>
      </c>
      <c r="Z71" s="10">
        <f t="shared" si="6"/>
        <v>60.83515548</v>
      </c>
      <c r="AA71" s="11">
        <f t="shared" si="7"/>
        <v>2.431575573</v>
      </c>
      <c r="AB71" s="8">
        <v>76.0</v>
      </c>
      <c r="AC71" s="9">
        <f t="shared" si="8"/>
        <v>0.002485853531</v>
      </c>
      <c r="AD71" s="8">
        <v>4.0</v>
      </c>
      <c r="AE71" s="4" t="s">
        <v>232</v>
      </c>
      <c r="AF71" s="4"/>
      <c r="AG71" s="4"/>
    </row>
    <row r="72" ht="15.75" customHeight="1">
      <c r="A72" s="4" t="s">
        <v>372</v>
      </c>
      <c r="B72" s="4" t="s">
        <v>373</v>
      </c>
      <c r="C72" s="4" t="s">
        <v>374</v>
      </c>
      <c r="D72" s="4" t="s">
        <v>176</v>
      </c>
      <c r="E72" s="4" t="s">
        <v>66</v>
      </c>
      <c r="F72" s="7">
        <v>45964.6041666667</v>
      </c>
      <c r="G72" s="4" t="s">
        <v>118</v>
      </c>
      <c r="H72" s="4" t="s">
        <v>98</v>
      </c>
      <c r="I72" s="4" t="s">
        <v>375</v>
      </c>
      <c r="J72" s="4">
        <v>3.0</v>
      </c>
      <c r="K72" s="8">
        <v>110223.0</v>
      </c>
      <c r="L72" s="8">
        <v>109933.0</v>
      </c>
      <c r="M72" s="8">
        <v>290.0</v>
      </c>
      <c r="N72" s="9">
        <f t="shared" si="1"/>
        <v>0.9973689702</v>
      </c>
      <c r="O72" s="8">
        <v>57648.0</v>
      </c>
      <c r="P72" s="8">
        <v>47651.0</v>
      </c>
      <c r="Q72" s="9">
        <f t="shared" si="2"/>
        <v>0.4334549225</v>
      </c>
      <c r="R72" s="8">
        <v>4680.0</v>
      </c>
      <c r="S72" s="8">
        <v>3076.0</v>
      </c>
      <c r="T72" s="9">
        <f t="shared" si="3"/>
        <v>0.02798067914</v>
      </c>
      <c r="U72" s="9">
        <f t="shared" si="4"/>
        <v>0.06455268515</v>
      </c>
      <c r="V72" s="8">
        <v>837.0</v>
      </c>
      <c r="W72" s="8">
        <v>804.0</v>
      </c>
      <c r="X72" s="9">
        <f t="shared" si="5"/>
        <v>0.007313545523</v>
      </c>
      <c r="Y72" s="10">
        <v>68926.85</v>
      </c>
      <c r="Z72" s="10">
        <f t="shared" si="6"/>
        <v>82.34988053</v>
      </c>
      <c r="AA72" s="11">
        <f t="shared" si="7"/>
        <v>0.626989621</v>
      </c>
      <c r="AB72" s="8">
        <v>318.0</v>
      </c>
      <c r="AC72" s="9">
        <f t="shared" si="8"/>
        <v>0.002892670991</v>
      </c>
      <c r="AD72" s="8">
        <v>18.0</v>
      </c>
      <c r="AE72" s="4" t="s">
        <v>69</v>
      </c>
      <c r="AF72" s="4" t="s">
        <v>376</v>
      </c>
      <c r="AG72" s="4"/>
    </row>
    <row r="73" ht="15.75" customHeight="1">
      <c r="A73" s="4" t="s">
        <v>377</v>
      </c>
      <c r="B73" s="4" t="s">
        <v>378</v>
      </c>
      <c r="C73" s="4" t="s">
        <v>379</v>
      </c>
      <c r="D73" s="4" t="s">
        <v>176</v>
      </c>
      <c r="E73" s="4" t="s">
        <v>66</v>
      </c>
      <c r="F73" s="7">
        <v>45963.6666666667</v>
      </c>
      <c r="G73" s="4" t="s">
        <v>74</v>
      </c>
      <c r="H73" s="4" t="s">
        <v>59</v>
      </c>
      <c r="I73" s="4" t="s">
        <v>380</v>
      </c>
      <c r="J73" s="4">
        <v>4.0</v>
      </c>
      <c r="K73" s="8">
        <v>147698.0</v>
      </c>
      <c r="L73" s="8">
        <v>146163.0</v>
      </c>
      <c r="M73" s="8">
        <v>1535.0</v>
      </c>
      <c r="N73" s="9">
        <f t="shared" si="1"/>
        <v>0.9896071714</v>
      </c>
      <c r="O73" s="8">
        <v>85242.0</v>
      </c>
      <c r="P73" s="8">
        <v>59259.0</v>
      </c>
      <c r="Q73" s="9">
        <f t="shared" si="2"/>
        <v>0.405430923</v>
      </c>
      <c r="R73" s="8">
        <v>5516.0</v>
      </c>
      <c r="S73" s="8">
        <v>3100.0</v>
      </c>
      <c r="T73" s="9">
        <f t="shared" si="3"/>
        <v>0.02120919795</v>
      </c>
      <c r="U73" s="9">
        <f t="shared" si="4"/>
        <v>0.05231272887</v>
      </c>
      <c r="V73" s="8">
        <v>791.0</v>
      </c>
      <c r="W73" s="8">
        <v>697.0</v>
      </c>
      <c r="X73" s="9">
        <f t="shared" si="5"/>
        <v>0.0047686487</v>
      </c>
      <c r="Y73" s="10">
        <v>78418.47</v>
      </c>
      <c r="Z73" s="10">
        <f t="shared" si="6"/>
        <v>99.13839444</v>
      </c>
      <c r="AA73" s="11">
        <f t="shared" si="7"/>
        <v>0.5365138236</v>
      </c>
      <c r="AB73" s="8">
        <v>226.0</v>
      </c>
      <c r="AC73" s="9">
        <f t="shared" si="8"/>
        <v>0.001546218947</v>
      </c>
      <c r="AD73" s="8">
        <v>36.0</v>
      </c>
      <c r="AE73" s="4" t="s">
        <v>244</v>
      </c>
      <c r="AF73" s="4" t="s">
        <v>381</v>
      </c>
      <c r="AG73" s="4"/>
    </row>
    <row r="74" ht="15.75" customHeight="1">
      <c r="A74" s="4" t="s">
        <v>382</v>
      </c>
      <c r="B74" s="4" t="s">
        <v>383</v>
      </c>
      <c r="C74" s="4" t="s">
        <v>122</v>
      </c>
      <c r="D74" s="4" t="s">
        <v>123</v>
      </c>
      <c r="E74" s="4" t="s">
        <v>66</v>
      </c>
      <c r="F74" s="7">
        <v>45960.6875</v>
      </c>
      <c r="G74" s="4" t="s">
        <v>384</v>
      </c>
      <c r="H74" s="4" t="s">
        <v>75</v>
      </c>
      <c r="I74" s="4" t="s">
        <v>385</v>
      </c>
      <c r="J74" s="4">
        <v>3.0</v>
      </c>
      <c r="K74" s="8">
        <v>78347.0</v>
      </c>
      <c r="L74" s="8">
        <v>77961.0</v>
      </c>
      <c r="M74" s="8">
        <v>386.0</v>
      </c>
      <c r="N74" s="9">
        <f t="shared" si="1"/>
        <v>0.9950732</v>
      </c>
      <c r="O74" s="8">
        <v>26094.0</v>
      </c>
      <c r="P74" s="8">
        <v>18491.0</v>
      </c>
      <c r="Q74" s="9">
        <f t="shared" si="2"/>
        <v>0.2371826939</v>
      </c>
      <c r="R74" s="8">
        <v>982.0</v>
      </c>
      <c r="S74" s="8">
        <v>612.0</v>
      </c>
      <c r="T74" s="9">
        <f t="shared" si="3"/>
        <v>0.007850078886</v>
      </c>
      <c r="U74" s="9">
        <f t="shared" si="4"/>
        <v>0.03309718241</v>
      </c>
      <c r="V74" s="8">
        <v>792.0</v>
      </c>
      <c r="W74" s="8">
        <v>776.0</v>
      </c>
      <c r="X74" s="9">
        <f t="shared" si="5"/>
        <v>0.009953694796</v>
      </c>
      <c r="Y74" s="10">
        <v>47786.55</v>
      </c>
      <c r="Z74" s="10">
        <f t="shared" si="6"/>
        <v>60.33655303</v>
      </c>
      <c r="AA74" s="11">
        <f t="shared" si="7"/>
        <v>0.6129545542</v>
      </c>
      <c r="AB74" s="8">
        <v>76.0</v>
      </c>
      <c r="AC74" s="9">
        <f t="shared" si="8"/>
        <v>0.0009748463976</v>
      </c>
      <c r="AD74" s="8">
        <v>3.0</v>
      </c>
      <c r="AE74" s="4" t="s">
        <v>93</v>
      </c>
      <c r="AF74" s="4"/>
      <c r="AG74" s="4"/>
    </row>
    <row r="75" ht="15.75" customHeight="1">
      <c r="A75" s="4" t="s">
        <v>386</v>
      </c>
      <c r="B75" s="4" t="s">
        <v>387</v>
      </c>
      <c r="C75" s="4" t="s">
        <v>355</v>
      </c>
      <c r="D75" s="4" t="s">
        <v>117</v>
      </c>
      <c r="E75" s="4" t="s">
        <v>66</v>
      </c>
      <c r="F75" s="7">
        <v>45958.8958333333</v>
      </c>
      <c r="G75" s="4" t="s">
        <v>142</v>
      </c>
      <c r="H75" s="4" t="s">
        <v>91</v>
      </c>
      <c r="I75" s="4" t="s">
        <v>236</v>
      </c>
      <c r="J75" s="4">
        <v>2.0</v>
      </c>
      <c r="K75" s="8">
        <v>48979.0</v>
      </c>
      <c r="L75" s="8">
        <v>48453.0</v>
      </c>
      <c r="M75" s="8">
        <v>526.0</v>
      </c>
      <c r="N75" s="9">
        <f t="shared" si="1"/>
        <v>0.9892607036</v>
      </c>
      <c r="O75" s="8">
        <v>22599.0</v>
      </c>
      <c r="P75" s="8">
        <v>18797.0</v>
      </c>
      <c r="Q75" s="9">
        <f t="shared" si="2"/>
        <v>0.387942955</v>
      </c>
      <c r="R75" s="8">
        <v>2245.0</v>
      </c>
      <c r="S75" s="8">
        <v>1618.0</v>
      </c>
      <c r="T75" s="9">
        <f t="shared" si="3"/>
        <v>0.03339318515</v>
      </c>
      <c r="U75" s="9">
        <f t="shared" si="4"/>
        <v>0.08607756557</v>
      </c>
      <c r="V75" s="8">
        <v>192.0</v>
      </c>
      <c r="W75" s="8">
        <v>180.0</v>
      </c>
      <c r="X75" s="9">
        <f t="shared" si="5"/>
        <v>0.003714940251</v>
      </c>
      <c r="Y75" s="10">
        <v>14977.18</v>
      </c>
      <c r="Z75" s="10">
        <f t="shared" si="6"/>
        <v>78.00614583</v>
      </c>
      <c r="AA75" s="11">
        <f t="shared" si="7"/>
        <v>0.3091073824</v>
      </c>
      <c r="AB75" s="8">
        <v>165.0</v>
      </c>
      <c r="AC75" s="9">
        <f t="shared" si="8"/>
        <v>0.003405361897</v>
      </c>
      <c r="AD75" s="8">
        <v>11.0</v>
      </c>
      <c r="AE75" s="4" t="s">
        <v>100</v>
      </c>
      <c r="AF75" s="4"/>
      <c r="AG75" s="4"/>
    </row>
    <row r="76" ht="15.75" customHeight="1">
      <c r="A76" s="4" t="s">
        <v>388</v>
      </c>
      <c r="B76" s="4" t="s">
        <v>389</v>
      </c>
      <c r="C76" s="4" t="s">
        <v>64</v>
      </c>
      <c r="D76" s="4" t="s">
        <v>65</v>
      </c>
      <c r="E76" s="4" t="s">
        <v>66</v>
      </c>
      <c r="F76" s="7">
        <v>45957.6875</v>
      </c>
      <c r="G76" s="4" t="s">
        <v>384</v>
      </c>
      <c r="H76" s="4" t="s">
        <v>98</v>
      </c>
      <c r="I76" s="4" t="s">
        <v>390</v>
      </c>
      <c r="J76" s="4">
        <v>4.0</v>
      </c>
      <c r="K76" s="8">
        <v>356099.0</v>
      </c>
      <c r="L76" s="8">
        <v>351735.0</v>
      </c>
      <c r="M76" s="8">
        <v>4364.0</v>
      </c>
      <c r="N76" s="9">
        <f t="shared" si="1"/>
        <v>0.987744981</v>
      </c>
      <c r="O76" s="8">
        <v>222950.0</v>
      </c>
      <c r="P76" s="8">
        <v>184780.0</v>
      </c>
      <c r="Q76" s="9">
        <f t="shared" si="2"/>
        <v>0.5253386783</v>
      </c>
      <c r="R76" s="8">
        <v>27751.0</v>
      </c>
      <c r="S76" s="8">
        <v>20382.0</v>
      </c>
      <c r="T76" s="9">
        <f t="shared" si="3"/>
        <v>0.05794703399</v>
      </c>
      <c r="U76" s="9">
        <f t="shared" si="4"/>
        <v>0.1103041455</v>
      </c>
      <c r="V76" s="8">
        <v>12663.0</v>
      </c>
      <c r="W76" s="8">
        <v>12067.0</v>
      </c>
      <c r="X76" s="9">
        <f t="shared" si="5"/>
        <v>0.03430707777</v>
      </c>
      <c r="Y76" s="10">
        <v>903195.16</v>
      </c>
      <c r="Z76" s="10">
        <f t="shared" si="6"/>
        <v>71.32552792</v>
      </c>
      <c r="AA76" s="11">
        <f t="shared" si="7"/>
        <v>2.567828507</v>
      </c>
      <c r="AB76" s="8">
        <v>964.0</v>
      </c>
      <c r="AC76" s="9">
        <f t="shared" si="8"/>
        <v>0.002740699674</v>
      </c>
      <c r="AD76" s="8">
        <v>82.0</v>
      </c>
      <c r="AE76" s="4" t="s">
        <v>232</v>
      </c>
      <c r="AF76" s="4"/>
      <c r="AG76" s="4"/>
    </row>
    <row r="77" ht="15.75" customHeight="1">
      <c r="A77" s="4" t="s">
        <v>391</v>
      </c>
      <c r="B77" s="4" t="s">
        <v>392</v>
      </c>
      <c r="C77" s="4" t="s">
        <v>230</v>
      </c>
      <c r="D77" s="4" t="s">
        <v>123</v>
      </c>
      <c r="E77" s="4" t="s">
        <v>66</v>
      </c>
      <c r="F77" s="7">
        <v>45954.6041666667</v>
      </c>
      <c r="G77" s="4" t="s">
        <v>118</v>
      </c>
      <c r="H77" s="4" t="s">
        <v>135</v>
      </c>
      <c r="I77" s="4" t="s">
        <v>393</v>
      </c>
      <c r="J77" s="4">
        <v>3.0</v>
      </c>
      <c r="K77" s="8">
        <v>65888.0</v>
      </c>
      <c r="L77" s="8">
        <v>65435.0</v>
      </c>
      <c r="M77" s="8">
        <v>453.0</v>
      </c>
      <c r="N77" s="9">
        <f t="shared" si="1"/>
        <v>0.9931246965</v>
      </c>
      <c r="O77" s="8">
        <v>23073.0</v>
      </c>
      <c r="P77" s="8">
        <v>16668.0</v>
      </c>
      <c r="Q77" s="9">
        <f t="shared" si="2"/>
        <v>0.254726064</v>
      </c>
      <c r="R77" s="8">
        <v>816.0</v>
      </c>
      <c r="S77" s="8">
        <v>504.0</v>
      </c>
      <c r="T77" s="9">
        <f t="shared" si="3"/>
        <v>0.007702299992</v>
      </c>
      <c r="U77" s="9">
        <f t="shared" si="4"/>
        <v>0.03023758099</v>
      </c>
      <c r="V77" s="8">
        <v>618.0</v>
      </c>
      <c r="W77" s="8">
        <v>571.0</v>
      </c>
      <c r="X77" s="9">
        <f t="shared" si="5"/>
        <v>0.008726216856</v>
      </c>
      <c r="Y77" s="10">
        <v>36931.79</v>
      </c>
      <c r="Z77" s="10">
        <f t="shared" si="6"/>
        <v>59.76017799</v>
      </c>
      <c r="AA77" s="11">
        <f t="shared" si="7"/>
        <v>0.5644042179</v>
      </c>
      <c r="AB77" s="8">
        <v>175.0</v>
      </c>
      <c r="AC77" s="9">
        <f t="shared" si="8"/>
        <v>0.00267440972</v>
      </c>
      <c r="AD77" s="8">
        <v>17.0</v>
      </c>
      <c r="AE77" s="4" t="s">
        <v>150</v>
      </c>
      <c r="AF77" s="4"/>
      <c r="AG77" s="4"/>
    </row>
    <row r="78" ht="15.75" customHeight="1">
      <c r="A78" s="4" t="s">
        <v>394</v>
      </c>
      <c r="B78" s="4" t="s">
        <v>395</v>
      </c>
      <c r="C78" s="4" t="s">
        <v>64</v>
      </c>
      <c r="D78" s="4" t="s">
        <v>65</v>
      </c>
      <c r="E78" s="4" t="s">
        <v>66</v>
      </c>
      <c r="F78" s="7">
        <v>45948.7291666667</v>
      </c>
      <c r="G78" s="4" t="s">
        <v>181</v>
      </c>
      <c r="H78" s="4" t="s">
        <v>105</v>
      </c>
      <c r="I78" s="4" t="s">
        <v>396</v>
      </c>
      <c r="J78" s="4">
        <v>2.0</v>
      </c>
      <c r="K78" s="8">
        <v>186509.0</v>
      </c>
      <c r="L78" s="8">
        <v>184544.0</v>
      </c>
      <c r="M78" s="8">
        <v>1965.0</v>
      </c>
      <c r="N78" s="9">
        <f t="shared" si="1"/>
        <v>0.9894643154</v>
      </c>
      <c r="O78" s="8">
        <v>133172.0</v>
      </c>
      <c r="P78" s="8">
        <v>94162.0</v>
      </c>
      <c r="Q78" s="9">
        <f t="shared" si="2"/>
        <v>0.51024146</v>
      </c>
      <c r="R78" s="8">
        <v>14397.0</v>
      </c>
      <c r="S78" s="8">
        <v>10386.0</v>
      </c>
      <c r="T78" s="9">
        <f t="shared" si="3"/>
        <v>0.05627926131</v>
      </c>
      <c r="U78" s="9">
        <f t="shared" si="4"/>
        <v>0.1102992715</v>
      </c>
      <c r="V78" s="8">
        <v>4536.0</v>
      </c>
      <c r="W78" s="8">
        <v>4113.0</v>
      </c>
      <c r="X78" s="9">
        <f t="shared" si="5"/>
        <v>0.02228736778</v>
      </c>
      <c r="Y78" s="10">
        <v>330009.18</v>
      </c>
      <c r="Z78" s="10">
        <f t="shared" si="6"/>
        <v>72.75334656</v>
      </c>
      <c r="AA78" s="11">
        <f t="shared" si="7"/>
        <v>1.788241178</v>
      </c>
      <c r="AB78" s="8">
        <v>429.0</v>
      </c>
      <c r="AC78" s="9">
        <f t="shared" si="8"/>
        <v>0.002324648864</v>
      </c>
      <c r="AD78" s="8">
        <v>11.0</v>
      </c>
      <c r="AE78" s="4" t="s">
        <v>100</v>
      </c>
      <c r="AF78" s="4"/>
      <c r="AG78" s="4"/>
    </row>
    <row r="79" ht="15.75" customHeight="1">
      <c r="A79" s="4" t="s">
        <v>397</v>
      </c>
      <c r="B79" s="4" t="s">
        <v>398</v>
      </c>
      <c r="C79" s="4" t="s">
        <v>399</v>
      </c>
      <c r="D79" s="4" t="s">
        <v>73</v>
      </c>
      <c r="E79" s="4" t="s">
        <v>66</v>
      </c>
      <c r="F79" s="7">
        <v>45947.8541666667</v>
      </c>
      <c r="G79" s="4" t="s">
        <v>90</v>
      </c>
      <c r="H79" s="4" t="s">
        <v>135</v>
      </c>
      <c r="I79" s="4" t="s">
        <v>400</v>
      </c>
      <c r="J79" s="4">
        <v>2.0</v>
      </c>
      <c r="K79" s="8">
        <v>76054.0</v>
      </c>
      <c r="L79" s="8">
        <v>75324.0</v>
      </c>
      <c r="M79" s="8">
        <v>730.0</v>
      </c>
      <c r="N79" s="9">
        <f t="shared" si="1"/>
        <v>0.9904015568</v>
      </c>
      <c r="O79" s="8">
        <v>32693.0</v>
      </c>
      <c r="P79" s="8">
        <v>26612.0</v>
      </c>
      <c r="Q79" s="9">
        <f t="shared" si="2"/>
        <v>0.3533004089</v>
      </c>
      <c r="R79" s="8">
        <v>2283.0</v>
      </c>
      <c r="S79" s="8">
        <v>1399.0</v>
      </c>
      <c r="T79" s="9">
        <f t="shared" si="3"/>
        <v>0.01857309755</v>
      </c>
      <c r="U79" s="9">
        <f t="shared" si="4"/>
        <v>0.05257026905</v>
      </c>
      <c r="V79" s="8">
        <v>670.0</v>
      </c>
      <c r="W79" s="8">
        <v>582.0</v>
      </c>
      <c r="X79" s="9">
        <f t="shared" si="5"/>
        <v>0.007726620997</v>
      </c>
      <c r="Y79" s="10">
        <v>58891.56</v>
      </c>
      <c r="Z79" s="10">
        <f t="shared" si="6"/>
        <v>87.89785075</v>
      </c>
      <c r="AA79" s="11">
        <f t="shared" si="7"/>
        <v>0.7818432372</v>
      </c>
      <c r="AB79" s="8">
        <v>55.0</v>
      </c>
      <c r="AC79" s="9">
        <f t="shared" si="8"/>
        <v>0.0007301789602</v>
      </c>
      <c r="AD79" s="8">
        <v>19.0</v>
      </c>
      <c r="AE79" s="4" t="s">
        <v>190</v>
      </c>
      <c r="AF79" s="4"/>
      <c r="AG79" s="4"/>
    </row>
    <row r="80" ht="15.75" customHeight="1">
      <c r="A80" s="4" t="s">
        <v>401</v>
      </c>
      <c r="B80" s="4" t="s">
        <v>402</v>
      </c>
      <c r="C80" s="4" t="s">
        <v>403</v>
      </c>
      <c r="D80" s="4" t="s">
        <v>56</v>
      </c>
      <c r="E80" s="4" t="s">
        <v>57</v>
      </c>
      <c r="F80" s="7">
        <v>45947.6666666667</v>
      </c>
      <c r="G80" s="4" t="s">
        <v>74</v>
      </c>
      <c r="H80" s="4" t="s">
        <v>135</v>
      </c>
      <c r="I80" s="4" t="s">
        <v>404</v>
      </c>
      <c r="J80" s="4">
        <v>2.0</v>
      </c>
      <c r="K80" s="8">
        <v>101562.0</v>
      </c>
      <c r="L80" s="8">
        <v>98720.0</v>
      </c>
      <c r="M80" s="8">
        <v>2842.0</v>
      </c>
      <c r="N80" s="9">
        <f t="shared" si="1"/>
        <v>0.972017093</v>
      </c>
      <c r="O80" s="8">
        <v>0.0</v>
      </c>
      <c r="P80" s="8">
        <v>0.0</v>
      </c>
      <c r="Q80" s="9">
        <f t="shared" si="2"/>
        <v>0</v>
      </c>
      <c r="R80" s="8">
        <v>12507.0</v>
      </c>
      <c r="S80" s="8">
        <v>9900.0</v>
      </c>
      <c r="T80" s="9">
        <f t="shared" si="3"/>
        <v>0.1002836305</v>
      </c>
      <c r="U80" s="9">
        <f t="shared" si="4"/>
        <v>0</v>
      </c>
      <c r="V80" s="8">
        <v>1181.0</v>
      </c>
      <c r="W80" s="8">
        <v>1110.0</v>
      </c>
      <c r="X80" s="9">
        <f t="shared" si="5"/>
        <v>0.0112439222</v>
      </c>
      <c r="Y80" s="10">
        <v>96189.16</v>
      </c>
      <c r="Z80" s="10">
        <f t="shared" si="6"/>
        <v>81.44721423</v>
      </c>
      <c r="AA80" s="11">
        <f t="shared" si="7"/>
        <v>0.9743634522</v>
      </c>
      <c r="AB80" s="8">
        <v>249.0</v>
      </c>
      <c r="AC80" s="9">
        <f t="shared" si="8"/>
        <v>0.002522285251</v>
      </c>
      <c r="AD80" s="8">
        <v>0.0</v>
      </c>
      <c r="AE80" s="4" t="s">
        <v>137</v>
      </c>
      <c r="AF80" s="4"/>
      <c r="AG80" s="4"/>
    </row>
    <row r="81" ht="15.75" customHeight="1">
      <c r="A81" s="4" t="s">
        <v>405</v>
      </c>
      <c r="B81" s="4" t="s">
        <v>406</v>
      </c>
      <c r="C81" s="4" t="s">
        <v>407</v>
      </c>
      <c r="D81" s="4" t="s">
        <v>408</v>
      </c>
      <c r="E81" s="4" t="s">
        <v>66</v>
      </c>
      <c r="F81" s="7">
        <v>45947.5833333333</v>
      </c>
      <c r="G81" s="4" t="s">
        <v>168</v>
      </c>
      <c r="H81" s="4" t="s">
        <v>135</v>
      </c>
      <c r="I81" s="4" t="s">
        <v>409</v>
      </c>
      <c r="J81" s="4">
        <v>3.0</v>
      </c>
      <c r="K81" s="8">
        <v>194670.0</v>
      </c>
      <c r="L81" s="8">
        <v>192083.0</v>
      </c>
      <c r="M81" s="8">
        <v>2587.0</v>
      </c>
      <c r="N81" s="9">
        <f t="shared" si="1"/>
        <v>0.986710844</v>
      </c>
      <c r="O81" s="8">
        <v>73224.0</v>
      </c>
      <c r="P81" s="8">
        <v>55279.0</v>
      </c>
      <c r="Q81" s="9">
        <f t="shared" si="2"/>
        <v>0.2877870504</v>
      </c>
      <c r="R81" s="8">
        <v>4078.0</v>
      </c>
      <c r="S81" s="8">
        <v>2582.0</v>
      </c>
      <c r="T81" s="9">
        <f t="shared" si="3"/>
        <v>0.01344210576</v>
      </c>
      <c r="U81" s="9">
        <f t="shared" si="4"/>
        <v>0.04670851499</v>
      </c>
      <c r="V81" s="8">
        <v>1442.0</v>
      </c>
      <c r="W81" s="8">
        <v>1283.0</v>
      </c>
      <c r="X81" s="9">
        <f t="shared" si="5"/>
        <v>0.006679404216</v>
      </c>
      <c r="Y81" s="10">
        <v>91522.24</v>
      </c>
      <c r="Z81" s="10">
        <f t="shared" si="6"/>
        <v>63.46895978</v>
      </c>
      <c r="AA81" s="11">
        <f t="shared" si="7"/>
        <v>0.4764723583</v>
      </c>
      <c r="AB81" s="8">
        <v>267.0</v>
      </c>
      <c r="AC81" s="9">
        <f t="shared" si="8"/>
        <v>0.001390024104</v>
      </c>
      <c r="AD81" s="8">
        <v>4.0</v>
      </c>
      <c r="AE81" s="4" t="s">
        <v>150</v>
      </c>
      <c r="AF81" s="4"/>
      <c r="AG81" s="4"/>
    </row>
    <row r="82" ht="15.75" customHeight="1">
      <c r="A82" s="4" t="s">
        <v>410</v>
      </c>
      <c r="B82" s="4" t="s">
        <v>411</v>
      </c>
      <c r="C82" s="4" t="s">
        <v>412</v>
      </c>
      <c r="D82" s="4" t="s">
        <v>176</v>
      </c>
      <c r="E82" s="4" t="s">
        <v>66</v>
      </c>
      <c r="F82" s="7">
        <v>45945.8541666667</v>
      </c>
      <c r="G82" s="4" t="s">
        <v>90</v>
      </c>
      <c r="H82" s="4" t="s">
        <v>82</v>
      </c>
      <c r="I82" s="4" t="s">
        <v>413</v>
      </c>
      <c r="J82" s="4">
        <v>3.0</v>
      </c>
      <c r="K82" s="8">
        <v>523022.0</v>
      </c>
      <c r="L82" s="8">
        <v>519087.0</v>
      </c>
      <c r="M82" s="8">
        <v>3935.0</v>
      </c>
      <c r="N82" s="9">
        <f t="shared" si="1"/>
        <v>0.9924764159</v>
      </c>
      <c r="O82" s="8">
        <v>393556.0</v>
      </c>
      <c r="P82" s="8">
        <v>264979.0</v>
      </c>
      <c r="Q82" s="9">
        <f t="shared" si="2"/>
        <v>0.5104712697</v>
      </c>
      <c r="R82" s="8">
        <v>39444.0</v>
      </c>
      <c r="S82" s="8">
        <v>24108.0</v>
      </c>
      <c r="T82" s="9">
        <f t="shared" si="3"/>
        <v>0.0464430818</v>
      </c>
      <c r="U82" s="9">
        <f t="shared" si="4"/>
        <v>0.0909807947</v>
      </c>
      <c r="V82" s="8">
        <v>1862.0</v>
      </c>
      <c r="W82" s="8">
        <v>1592.0</v>
      </c>
      <c r="X82" s="9">
        <f t="shared" si="5"/>
        <v>0.003066923271</v>
      </c>
      <c r="Y82" s="10">
        <v>187682.21</v>
      </c>
      <c r="Z82" s="10">
        <f t="shared" si="6"/>
        <v>100.7960311</v>
      </c>
      <c r="AA82" s="11">
        <f t="shared" si="7"/>
        <v>0.3615621466</v>
      </c>
      <c r="AB82" s="8">
        <v>1114.0</v>
      </c>
      <c r="AC82" s="9">
        <f t="shared" si="8"/>
        <v>0.002146075706</v>
      </c>
      <c r="AD82" s="8">
        <v>105.0</v>
      </c>
      <c r="AE82" s="4" t="s">
        <v>69</v>
      </c>
      <c r="AF82" s="4" t="s">
        <v>283</v>
      </c>
      <c r="AG82" s="4"/>
    </row>
    <row r="83" ht="15.75" customHeight="1">
      <c r="A83" s="4" t="s">
        <v>414</v>
      </c>
      <c r="B83" s="4" t="s">
        <v>415</v>
      </c>
      <c r="C83" s="4" t="s">
        <v>215</v>
      </c>
      <c r="D83" s="4" t="s">
        <v>97</v>
      </c>
      <c r="E83" s="4" t="s">
        <v>66</v>
      </c>
      <c r="F83" s="7">
        <v>45944.9166666667</v>
      </c>
      <c r="G83" s="4" t="s">
        <v>67</v>
      </c>
      <c r="H83" s="4" t="s">
        <v>91</v>
      </c>
      <c r="I83" s="4" t="s">
        <v>416</v>
      </c>
      <c r="J83" s="4">
        <v>2.0</v>
      </c>
      <c r="K83" s="8">
        <v>261029.0</v>
      </c>
      <c r="L83" s="8">
        <v>257943.0</v>
      </c>
      <c r="M83" s="8">
        <v>3086.0</v>
      </c>
      <c r="N83" s="9">
        <f t="shared" si="1"/>
        <v>0.9881775588</v>
      </c>
      <c r="O83" s="8">
        <v>166434.0</v>
      </c>
      <c r="P83" s="8">
        <v>124063.0</v>
      </c>
      <c r="Q83" s="9">
        <f t="shared" si="2"/>
        <v>0.480970602</v>
      </c>
      <c r="R83" s="8">
        <v>12688.0</v>
      </c>
      <c r="S83" s="8">
        <v>9228.0</v>
      </c>
      <c r="T83" s="9">
        <f t="shared" si="3"/>
        <v>0.03577534572</v>
      </c>
      <c r="U83" s="9">
        <f t="shared" si="4"/>
        <v>0.07438156421</v>
      </c>
      <c r="V83" s="8">
        <v>4579.0</v>
      </c>
      <c r="W83" s="8">
        <v>4402.0</v>
      </c>
      <c r="X83" s="9">
        <f t="shared" si="5"/>
        <v>0.01706578585</v>
      </c>
      <c r="Y83" s="10">
        <v>380967.71</v>
      </c>
      <c r="Z83" s="10">
        <f t="shared" si="6"/>
        <v>83.1988884</v>
      </c>
      <c r="AA83" s="11">
        <f t="shared" si="7"/>
        <v>1.476945333</v>
      </c>
      <c r="AB83" s="8">
        <v>954.0</v>
      </c>
      <c r="AC83" s="9">
        <f t="shared" si="8"/>
        <v>0.003698491527</v>
      </c>
      <c r="AD83" s="8">
        <v>58.0</v>
      </c>
      <c r="AE83" s="4" t="s">
        <v>195</v>
      </c>
      <c r="AF83" s="4"/>
      <c r="AG83" s="4"/>
    </row>
    <row r="84" ht="15.75" customHeight="1">
      <c r="A84" s="4" t="s">
        <v>417</v>
      </c>
      <c r="B84" s="4" t="s">
        <v>418</v>
      </c>
      <c r="C84" s="4" t="s">
        <v>230</v>
      </c>
      <c r="D84" s="4" t="s">
        <v>123</v>
      </c>
      <c r="E84" s="4" t="s">
        <v>66</v>
      </c>
      <c r="F84" s="7">
        <v>45935.5625</v>
      </c>
      <c r="G84" s="4" t="s">
        <v>148</v>
      </c>
      <c r="H84" s="4" t="s">
        <v>59</v>
      </c>
      <c r="I84" s="4" t="s">
        <v>419</v>
      </c>
      <c r="J84" s="4">
        <v>2.0</v>
      </c>
      <c r="K84" s="8">
        <v>49479.0</v>
      </c>
      <c r="L84" s="8">
        <v>49288.0</v>
      </c>
      <c r="M84" s="8">
        <v>191.0</v>
      </c>
      <c r="N84" s="9">
        <f t="shared" si="1"/>
        <v>0.9961397765</v>
      </c>
      <c r="O84" s="8">
        <v>16382.0</v>
      </c>
      <c r="P84" s="8">
        <v>11353.0</v>
      </c>
      <c r="Q84" s="9">
        <f t="shared" si="2"/>
        <v>0.2303400422</v>
      </c>
      <c r="R84" s="8">
        <v>623.0</v>
      </c>
      <c r="S84" s="8">
        <v>427.0</v>
      </c>
      <c r="T84" s="9">
        <f t="shared" si="3"/>
        <v>0.008663366337</v>
      </c>
      <c r="U84" s="9">
        <f t="shared" si="4"/>
        <v>0.03761120409</v>
      </c>
      <c r="V84" s="8">
        <v>308.0</v>
      </c>
      <c r="W84" s="8">
        <v>262.0</v>
      </c>
      <c r="X84" s="9">
        <f t="shared" si="5"/>
        <v>0.005315695504</v>
      </c>
      <c r="Y84" s="10">
        <v>20404.31</v>
      </c>
      <c r="Z84" s="10">
        <f t="shared" si="6"/>
        <v>66.24775974</v>
      </c>
      <c r="AA84" s="11">
        <f t="shared" si="7"/>
        <v>0.4139812936</v>
      </c>
      <c r="AB84" s="8">
        <v>75.0</v>
      </c>
      <c r="AC84" s="9">
        <f t="shared" si="8"/>
        <v>0.00152166856</v>
      </c>
      <c r="AD84" s="8">
        <v>13.0</v>
      </c>
      <c r="AE84" s="4" t="s">
        <v>107</v>
      </c>
      <c r="AF84" s="4"/>
      <c r="AG84" s="4"/>
    </row>
    <row r="85" ht="15.75" customHeight="1">
      <c r="A85" s="4" t="s">
        <v>420</v>
      </c>
      <c r="B85" s="4" t="s">
        <v>421</v>
      </c>
      <c r="C85" s="4" t="s">
        <v>422</v>
      </c>
      <c r="D85" s="4" t="s">
        <v>81</v>
      </c>
      <c r="E85" s="4" t="s">
        <v>66</v>
      </c>
      <c r="F85" s="7">
        <v>45933.5416666667</v>
      </c>
      <c r="G85" s="4" t="s">
        <v>163</v>
      </c>
      <c r="H85" s="4" t="s">
        <v>135</v>
      </c>
      <c r="I85" s="4" t="s">
        <v>423</v>
      </c>
      <c r="J85" s="4">
        <v>3.0</v>
      </c>
      <c r="K85" s="8">
        <v>125321.0</v>
      </c>
      <c r="L85" s="8">
        <v>123814.0</v>
      </c>
      <c r="M85" s="8">
        <v>1507.0</v>
      </c>
      <c r="N85" s="9">
        <f t="shared" si="1"/>
        <v>0.9879748805</v>
      </c>
      <c r="O85" s="8">
        <v>70753.0</v>
      </c>
      <c r="P85" s="8">
        <v>57673.0</v>
      </c>
      <c r="Q85" s="9">
        <f t="shared" si="2"/>
        <v>0.465803544</v>
      </c>
      <c r="R85" s="8">
        <v>8302.0</v>
      </c>
      <c r="S85" s="8">
        <v>6143.0</v>
      </c>
      <c r="T85" s="9">
        <f t="shared" si="3"/>
        <v>0.0496147447</v>
      </c>
      <c r="U85" s="9">
        <f t="shared" si="4"/>
        <v>0.1065143135</v>
      </c>
      <c r="V85" s="8">
        <v>608.0</v>
      </c>
      <c r="W85" s="8">
        <v>540.0</v>
      </c>
      <c r="X85" s="9">
        <f t="shared" si="5"/>
        <v>0.004361380781</v>
      </c>
      <c r="Y85" s="10">
        <v>52618.77</v>
      </c>
      <c r="Z85" s="10">
        <f t="shared" si="6"/>
        <v>86.54402961</v>
      </c>
      <c r="AA85" s="11">
        <f t="shared" si="7"/>
        <v>0.4249823929</v>
      </c>
      <c r="AB85" s="8">
        <v>414.0</v>
      </c>
      <c r="AC85" s="9">
        <f t="shared" si="8"/>
        <v>0.003343725265</v>
      </c>
      <c r="AD85" s="8">
        <v>32.0</v>
      </c>
      <c r="AE85" s="4" t="s">
        <v>126</v>
      </c>
      <c r="AF85" s="4" t="s">
        <v>376</v>
      </c>
      <c r="AG85" s="4"/>
    </row>
    <row r="86" ht="15.75" customHeight="1">
      <c r="A86" s="4" t="s">
        <v>424</v>
      </c>
      <c r="B86" s="4" t="s">
        <v>425</v>
      </c>
      <c r="C86" s="4" t="s">
        <v>426</v>
      </c>
      <c r="D86" s="4" t="s">
        <v>117</v>
      </c>
      <c r="E86" s="4" t="s">
        <v>66</v>
      </c>
      <c r="F86" s="7">
        <v>45926.9375</v>
      </c>
      <c r="G86" s="4" t="s">
        <v>270</v>
      </c>
      <c r="H86" s="4" t="s">
        <v>135</v>
      </c>
      <c r="I86" s="4" t="s">
        <v>427</v>
      </c>
      <c r="J86" s="4">
        <v>1.0</v>
      </c>
      <c r="K86" s="8">
        <v>19278.0</v>
      </c>
      <c r="L86" s="8">
        <v>19137.0</v>
      </c>
      <c r="M86" s="8">
        <v>141.0</v>
      </c>
      <c r="N86" s="9">
        <f t="shared" si="1"/>
        <v>0.9926859633</v>
      </c>
      <c r="O86" s="8">
        <v>12016.0</v>
      </c>
      <c r="P86" s="8">
        <v>9204.0</v>
      </c>
      <c r="Q86" s="9">
        <f t="shared" si="2"/>
        <v>0.4809531274</v>
      </c>
      <c r="R86" s="8">
        <v>785.0</v>
      </c>
      <c r="S86" s="8">
        <v>513.0</v>
      </c>
      <c r="T86" s="9">
        <f t="shared" si="3"/>
        <v>0.02680670952</v>
      </c>
      <c r="U86" s="9">
        <f t="shared" si="4"/>
        <v>0.05573663625</v>
      </c>
      <c r="V86" s="8">
        <v>48.0</v>
      </c>
      <c r="W86" s="8">
        <v>43.0</v>
      </c>
      <c r="X86" s="9">
        <f t="shared" si="5"/>
        <v>0.002246956158</v>
      </c>
      <c r="Y86" s="10">
        <v>3504.84</v>
      </c>
      <c r="Z86" s="10">
        <f t="shared" si="6"/>
        <v>73.0175</v>
      </c>
      <c r="AA86" s="11">
        <f t="shared" si="7"/>
        <v>0.1831446935</v>
      </c>
      <c r="AB86" s="8">
        <v>52.0</v>
      </c>
      <c r="AC86" s="9">
        <f t="shared" si="8"/>
        <v>0.002717249308</v>
      </c>
      <c r="AD86" s="8">
        <v>5.0</v>
      </c>
      <c r="AE86" s="4" t="s">
        <v>93</v>
      </c>
      <c r="AF86" s="4"/>
      <c r="AG86" s="4"/>
    </row>
    <row r="87" ht="15.75" customHeight="1">
      <c r="A87" s="4" t="s">
        <v>428</v>
      </c>
      <c r="B87" s="4" t="s">
        <v>429</v>
      </c>
      <c r="C87" s="4" t="s">
        <v>430</v>
      </c>
      <c r="D87" s="4" t="s">
        <v>408</v>
      </c>
      <c r="E87" s="4" t="s">
        <v>66</v>
      </c>
      <c r="F87" s="7">
        <v>45925.7083333333</v>
      </c>
      <c r="G87" s="4" t="s">
        <v>124</v>
      </c>
      <c r="H87" s="4" t="s">
        <v>75</v>
      </c>
      <c r="I87" s="4" t="s">
        <v>431</v>
      </c>
      <c r="J87" s="4">
        <v>3.0</v>
      </c>
      <c r="K87" s="8">
        <v>53557.0</v>
      </c>
      <c r="L87" s="8">
        <v>53366.0</v>
      </c>
      <c r="M87" s="8">
        <v>191.0</v>
      </c>
      <c r="N87" s="9">
        <f t="shared" si="1"/>
        <v>0.9964337061</v>
      </c>
      <c r="O87" s="8">
        <v>22998.0</v>
      </c>
      <c r="P87" s="8">
        <v>17094.0</v>
      </c>
      <c r="Q87" s="9">
        <f t="shared" si="2"/>
        <v>0.3203163063</v>
      </c>
      <c r="R87" s="8">
        <v>889.0</v>
      </c>
      <c r="S87" s="8">
        <v>551.0</v>
      </c>
      <c r="T87" s="9">
        <f t="shared" si="3"/>
        <v>0.01032492598</v>
      </c>
      <c r="U87" s="9">
        <f t="shared" si="4"/>
        <v>0.03223353223</v>
      </c>
      <c r="V87" s="8">
        <v>396.0</v>
      </c>
      <c r="W87" s="8">
        <v>373.0</v>
      </c>
      <c r="X87" s="9">
        <f t="shared" si="5"/>
        <v>0.00698946895</v>
      </c>
      <c r="Y87" s="10">
        <v>27677.62</v>
      </c>
      <c r="Z87" s="10">
        <f t="shared" si="6"/>
        <v>69.8929798</v>
      </c>
      <c r="AA87" s="11">
        <f t="shared" si="7"/>
        <v>0.5186377094</v>
      </c>
      <c r="AB87" s="8">
        <v>29.0</v>
      </c>
      <c r="AC87" s="9">
        <f t="shared" si="8"/>
        <v>0.000543417157</v>
      </c>
      <c r="AD87" s="8">
        <v>7.0</v>
      </c>
      <c r="AE87" s="4" t="s">
        <v>112</v>
      </c>
      <c r="AF87" s="4"/>
      <c r="AG87" s="4"/>
    </row>
    <row r="88" ht="15.75" customHeight="1">
      <c r="A88" s="4" t="s">
        <v>432</v>
      </c>
      <c r="B88" s="4" t="s">
        <v>433</v>
      </c>
      <c r="C88" s="4" t="s">
        <v>230</v>
      </c>
      <c r="D88" s="4" t="s">
        <v>123</v>
      </c>
      <c r="E88" s="4" t="s">
        <v>66</v>
      </c>
      <c r="F88" s="7">
        <v>45925.5416666667</v>
      </c>
      <c r="G88" s="4" t="s">
        <v>163</v>
      </c>
      <c r="H88" s="4" t="s">
        <v>75</v>
      </c>
      <c r="I88" s="4" t="s">
        <v>434</v>
      </c>
      <c r="J88" s="4">
        <v>2.0</v>
      </c>
      <c r="K88" s="8">
        <v>69832.0</v>
      </c>
      <c r="L88" s="8">
        <v>68957.0</v>
      </c>
      <c r="M88" s="8">
        <v>875.0</v>
      </c>
      <c r="N88" s="9">
        <f t="shared" si="1"/>
        <v>0.9874699278</v>
      </c>
      <c r="O88" s="8">
        <v>22853.0</v>
      </c>
      <c r="P88" s="8">
        <v>16563.0</v>
      </c>
      <c r="Q88" s="9">
        <f t="shared" si="2"/>
        <v>0.2401931639</v>
      </c>
      <c r="R88" s="8">
        <v>1039.0</v>
      </c>
      <c r="S88" s="8">
        <v>760.0</v>
      </c>
      <c r="T88" s="9">
        <f t="shared" si="3"/>
        <v>0.01102136114</v>
      </c>
      <c r="U88" s="9">
        <f t="shared" si="4"/>
        <v>0.04588540723</v>
      </c>
      <c r="V88" s="8">
        <v>361.0</v>
      </c>
      <c r="W88" s="8">
        <v>343.0</v>
      </c>
      <c r="X88" s="9">
        <f t="shared" si="5"/>
        <v>0.004974114303</v>
      </c>
      <c r="Y88" s="10">
        <v>26479.08</v>
      </c>
      <c r="Z88" s="10">
        <f t="shared" si="6"/>
        <v>73.34925208</v>
      </c>
      <c r="AA88" s="11">
        <f t="shared" si="7"/>
        <v>0.3839940833</v>
      </c>
      <c r="AB88" s="8">
        <v>116.0</v>
      </c>
      <c r="AC88" s="9">
        <f t="shared" si="8"/>
        <v>0.001682207753</v>
      </c>
      <c r="AD88" s="8">
        <v>16.0</v>
      </c>
      <c r="AE88" s="4" t="s">
        <v>137</v>
      </c>
      <c r="AF88" s="4"/>
      <c r="AG88" s="4"/>
    </row>
    <row r="89" ht="15.75" customHeight="1">
      <c r="A89" s="4" t="s">
        <v>435</v>
      </c>
      <c r="B89" s="4" t="s">
        <v>436</v>
      </c>
      <c r="C89" s="4" t="s">
        <v>367</v>
      </c>
      <c r="D89" s="4" t="s">
        <v>56</v>
      </c>
      <c r="E89" s="4" t="s">
        <v>66</v>
      </c>
      <c r="F89" s="7">
        <v>45921.6666666667</v>
      </c>
      <c r="G89" s="4" t="s">
        <v>74</v>
      </c>
      <c r="H89" s="4" t="s">
        <v>59</v>
      </c>
      <c r="I89" s="4" t="s">
        <v>437</v>
      </c>
      <c r="J89" s="4">
        <v>3.0</v>
      </c>
      <c r="K89" s="8">
        <v>100460.0</v>
      </c>
      <c r="L89" s="8">
        <v>99308.0</v>
      </c>
      <c r="M89" s="8">
        <v>1152.0</v>
      </c>
      <c r="N89" s="9">
        <f t="shared" si="1"/>
        <v>0.9885327494</v>
      </c>
      <c r="O89" s="8">
        <v>68334.0</v>
      </c>
      <c r="P89" s="8">
        <v>48860.0</v>
      </c>
      <c r="Q89" s="9">
        <f t="shared" si="2"/>
        <v>0.4920046723</v>
      </c>
      <c r="R89" s="8">
        <v>6998.0</v>
      </c>
      <c r="S89" s="8">
        <v>4601.0</v>
      </c>
      <c r="T89" s="9">
        <f t="shared" si="3"/>
        <v>0.04633060781</v>
      </c>
      <c r="U89" s="9">
        <f t="shared" si="4"/>
        <v>0.09416700778</v>
      </c>
      <c r="V89" s="8">
        <v>1707.0</v>
      </c>
      <c r="W89" s="8">
        <v>1618.0</v>
      </c>
      <c r="X89" s="9">
        <f t="shared" si="5"/>
        <v>0.0162927458</v>
      </c>
      <c r="Y89" s="10">
        <v>127138.04</v>
      </c>
      <c r="Z89" s="10">
        <f t="shared" si="6"/>
        <v>74.48039836</v>
      </c>
      <c r="AA89" s="11">
        <f t="shared" si="7"/>
        <v>1.280239658</v>
      </c>
      <c r="AB89" s="8">
        <v>199.0</v>
      </c>
      <c r="AC89" s="9">
        <f t="shared" si="8"/>
        <v>0.002003866758</v>
      </c>
      <c r="AD89" s="8">
        <v>9.0</v>
      </c>
      <c r="AE89" s="4" t="s">
        <v>195</v>
      </c>
      <c r="AF89" s="4"/>
      <c r="AG89" s="4"/>
    </row>
    <row r="90" ht="15.75" customHeight="1">
      <c r="A90" s="4" t="s">
        <v>438</v>
      </c>
      <c r="B90" s="4" t="s">
        <v>439</v>
      </c>
      <c r="C90" s="4" t="s">
        <v>129</v>
      </c>
      <c r="D90" s="4" t="s">
        <v>73</v>
      </c>
      <c r="E90" s="4" t="s">
        <v>66</v>
      </c>
      <c r="F90" s="7">
        <v>45920.5416666667</v>
      </c>
      <c r="G90" s="4" t="s">
        <v>163</v>
      </c>
      <c r="H90" s="4" t="s">
        <v>105</v>
      </c>
      <c r="I90" s="4" t="s">
        <v>440</v>
      </c>
      <c r="J90" s="4">
        <v>2.0</v>
      </c>
      <c r="K90" s="8">
        <v>445784.0</v>
      </c>
      <c r="L90" s="8">
        <v>439487.0</v>
      </c>
      <c r="M90" s="8">
        <v>6297.0</v>
      </c>
      <c r="N90" s="9">
        <f t="shared" si="1"/>
        <v>0.9858743248</v>
      </c>
      <c r="O90" s="8">
        <v>157585.0</v>
      </c>
      <c r="P90" s="8">
        <v>130298.0</v>
      </c>
      <c r="Q90" s="9">
        <f t="shared" si="2"/>
        <v>0.296477484</v>
      </c>
      <c r="R90" s="8">
        <v>10022.0</v>
      </c>
      <c r="S90" s="8">
        <v>6437.0</v>
      </c>
      <c r="T90" s="9">
        <f t="shared" si="3"/>
        <v>0.01464662208</v>
      </c>
      <c r="U90" s="9">
        <f t="shared" si="4"/>
        <v>0.04940213971</v>
      </c>
      <c r="V90" s="8">
        <v>3254.0</v>
      </c>
      <c r="W90" s="8">
        <v>2971.0</v>
      </c>
      <c r="X90" s="9">
        <f t="shared" si="5"/>
        <v>0.006760154453</v>
      </c>
      <c r="Y90" s="10">
        <v>256799.41</v>
      </c>
      <c r="Z90" s="10">
        <f t="shared" si="6"/>
        <v>78.91807314</v>
      </c>
      <c r="AA90" s="11">
        <f t="shared" si="7"/>
        <v>0.5843162824</v>
      </c>
      <c r="AB90" s="8">
        <v>1332.0</v>
      </c>
      <c r="AC90" s="9">
        <f t="shared" si="8"/>
        <v>0.003030806372</v>
      </c>
      <c r="AD90" s="8">
        <v>117.0</v>
      </c>
      <c r="AE90" s="4" t="s">
        <v>126</v>
      </c>
      <c r="AF90" s="4"/>
      <c r="AG90" s="4"/>
    </row>
    <row r="91" ht="15.75" customHeight="1">
      <c r="A91" s="4" t="s">
        <v>441</v>
      </c>
      <c r="B91" s="4" t="s">
        <v>442</v>
      </c>
      <c r="C91" s="4" t="s">
        <v>159</v>
      </c>
      <c r="D91" s="4" t="s">
        <v>65</v>
      </c>
      <c r="E91" s="4" t="s">
        <v>57</v>
      </c>
      <c r="F91" s="7">
        <v>45917.6666666667</v>
      </c>
      <c r="G91" s="4" t="s">
        <v>74</v>
      </c>
      <c r="H91" s="4" t="s">
        <v>82</v>
      </c>
      <c r="I91" s="4" t="s">
        <v>443</v>
      </c>
      <c r="J91" s="4">
        <v>2.0</v>
      </c>
      <c r="K91" s="8">
        <v>175241.0</v>
      </c>
      <c r="L91" s="8">
        <v>172029.0</v>
      </c>
      <c r="M91" s="8">
        <v>3212.0</v>
      </c>
      <c r="N91" s="9">
        <f t="shared" si="1"/>
        <v>0.981670956</v>
      </c>
      <c r="O91" s="8">
        <v>0.0</v>
      </c>
      <c r="P91" s="8">
        <v>0.0</v>
      </c>
      <c r="Q91" s="9">
        <f t="shared" si="2"/>
        <v>0</v>
      </c>
      <c r="R91" s="8">
        <v>31052.0</v>
      </c>
      <c r="S91" s="8">
        <v>25297.0</v>
      </c>
      <c r="T91" s="9">
        <f t="shared" si="3"/>
        <v>0.1470507879</v>
      </c>
      <c r="U91" s="9">
        <f t="shared" si="4"/>
        <v>0</v>
      </c>
      <c r="V91" s="8">
        <v>5548.0</v>
      </c>
      <c r="W91" s="8">
        <v>5273.0</v>
      </c>
      <c r="X91" s="9">
        <f t="shared" si="5"/>
        <v>0.03065180871</v>
      </c>
      <c r="Y91" s="10">
        <v>461145.42</v>
      </c>
      <c r="Z91" s="10">
        <f t="shared" si="6"/>
        <v>83.11921774</v>
      </c>
      <c r="AA91" s="11">
        <f t="shared" si="7"/>
        <v>2.680626057</v>
      </c>
      <c r="AB91" s="8">
        <v>814.0</v>
      </c>
      <c r="AC91" s="9">
        <f t="shared" si="8"/>
        <v>0.004731760343</v>
      </c>
      <c r="AD91" s="8">
        <v>0.0</v>
      </c>
      <c r="AE91" s="4" t="s">
        <v>190</v>
      </c>
      <c r="AF91" s="4"/>
      <c r="AG91" s="4"/>
    </row>
    <row r="92" ht="15.75" customHeight="1">
      <c r="A92" s="4" t="s">
        <v>444</v>
      </c>
      <c r="B92" s="4" t="s">
        <v>445</v>
      </c>
      <c r="C92" s="4" t="s">
        <v>64</v>
      </c>
      <c r="D92" s="4" t="s">
        <v>65</v>
      </c>
      <c r="E92" s="4" t="s">
        <v>66</v>
      </c>
      <c r="F92" s="7">
        <v>45917.6041666667</v>
      </c>
      <c r="G92" s="4" t="s">
        <v>118</v>
      </c>
      <c r="H92" s="4" t="s">
        <v>82</v>
      </c>
      <c r="I92" s="4" t="s">
        <v>446</v>
      </c>
      <c r="J92" s="4">
        <v>2.0</v>
      </c>
      <c r="K92" s="8">
        <v>197210.0</v>
      </c>
      <c r="L92" s="8">
        <v>196725.0</v>
      </c>
      <c r="M92" s="8">
        <v>485.0</v>
      </c>
      <c r="N92" s="9">
        <f t="shared" si="1"/>
        <v>0.9975406927</v>
      </c>
      <c r="O92" s="8">
        <v>129772.0</v>
      </c>
      <c r="P92" s="8">
        <v>89060.0</v>
      </c>
      <c r="Q92" s="9">
        <f t="shared" si="2"/>
        <v>0.4527131783</v>
      </c>
      <c r="R92" s="8">
        <v>17473.0</v>
      </c>
      <c r="S92" s="8">
        <v>10662.0</v>
      </c>
      <c r="T92" s="9">
        <f t="shared" si="3"/>
        <v>0.0541974838</v>
      </c>
      <c r="U92" s="9">
        <f t="shared" si="4"/>
        <v>0.1197170447</v>
      </c>
      <c r="V92" s="8">
        <v>4490.0</v>
      </c>
      <c r="W92" s="8">
        <v>4055.0</v>
      </c>
      <c r="X92" s="9">
        <f t="shared" si="5"/>
        <v>0.02061253018</v>
      </c>
      <c r="Y92" s="10">
        <v>284804.13</v>
      </c>
      <c r="Z92" s="10">
        <f t="shared" si="6"/>
        <v>63.43076392</v>
      </c>
      <c r="AA92" s="11">
        <f t="shared" si="7"/>
        <v>1.447727183</v>
      </c>
      <c r="AB92" s="8">
        <v>2465.0</v>
      </c>
      <c r="AC92" s="9">
        <f t="shared" si="8"/>
        <v>0.01253018173</v>
      </c>
      <c r="AD92" s="8">
        <v>46.0</v>
      </c>
      <c r="AE92" s="4" t="s">
        <v>195</v>
      </c>
      <c r="AF92" s="4"/>
      <c r="AG92" s="4"/>
    </row>
    <row r="93" ht="15.75" customHeight="1">
      <c r="A93" s="4" t="s">
        <v>447</v>
      </c>
      <c r="B93" s="4" t="s">
        <v>448</v>
      </c>
      <c r="C93" s="4" t="s">
        <v>274</v>
      </c>
      <c r="D93" s="4" t="s">
        <v>187</v>
      </c>
      <c r="E93" s="4" t="s">
        <v>66</v>
      </c>
      <c r="F93" s="7">
        <v>45915.9166666667</v>
      </c>
      <c r="G93" s="4" t="s">
        <v>67</v>
      </c>
      <c r="H93" s="4" t="s">
        <v>98</v>
      </c>
      <c r="I93" s="4" t="s">
        <v>449</v>
      </c>
      <c r="J93" s="4">
        <v>2.0</v>
      </c>
      <c r="K93" s="8">
        <v>48915.0</v>
      </c>
      <c r="L93" s="8">
        <v>48285.0</v>
      </c>
      <c r="M93" s="8">
        <v>630.0</v>
      </c>
      <c r="N93" s="9">
        <f t="shared" si="1"/>
        <v>0.9871205152</v>
      </c>
      <c r="O93" s="8">
        <v>21537.0</v>
      </c>
      <c r="P93" s="8">
        <v>17938.0</v>
      </c>
      <c r="Q93" s="9">
        <f t="shared" si="2"/>
        <v>0.371502537</v>
      </c>
      <c r="R93" s="8">
        <v>1475.0</v>
      </c>
      <c r="S93" s="8">
        <v>837.0</v>
      </c>
      <c r="T93" s="9">
        <f t="shared" si="3"/>
        <v>0.01733457596</v>
      </c>
      <c r="U93" s="9">
        <f t="shared" si="4"/>
        <v>0.04666072026</v>
      </c>
      <c r="V93" s="8">
        <v>889.0</v>
      </c>
      <c r="W93" s="8">
        <v>788.0</v>
      </c>
      <c r="X93" s="9">
        <f t="shared" si="5"/>
        <v>0.01631976804</v>
      </c>
      <c r="Y93" s="10">
        <v>64619.82</v>
      </c>
      <c r="Z93" s="10">
        <f t="shared" si="6"/>
        <v>72.68821147</v>
      </c>
      <c r="AA93" s="11">
        <f t="shared" si="7"/>
        <v>1.338300093</v>
      </c>
      <c r="AB93" s="8">
        <v>147.0</v>
      </c>
      <c r="AC93" s="9">
        <f t="shared" si="8"/>
        <v>0.003044423734</v>
      </c>
      <c r="AD93" s="8">
        <v>11.0</v>
      </c>
      <c r="AE93" s="4" t="s">
        <v>100</v>
      </c>
      <c r="AF93" s="4"/>
      <c r="AG93" s="4"/>
    </row>
    <row r="94" ht="15.75" customHeight="1">
      <c r="A94" s="4" t="s">
        <v>450</v>
      </c>
      <c r="B94" s="4" t="s">
        <v>451</v>
      </c>
      <c r="C94" s="4" t="s">
        <v>266</v>
      </c>
      <c r="D94" s="4" t="s">
        <v>97</v>
      </c>
      <c r="E94" s="4" t="s">
        <v>66</v>
      </c>
      <c r="F94" s="7">
        <v>45912.5625</v>
      </c>
      <c r="G94" s="4" t="s">
        <v>148</v>
      </c>
      <c r="H94" s="4" t="s">
        <v>135</v>
      </c>
      <c r="I94" s="4" t="s">
        <v>452</v>
      </c>
      <c r="J94" s="4">
        <v>3.0</v>
      </c>
      <c r="K94" s="8">
        <v>139609.0</v>
      </c>
      <c r="L94" s="8">
        <v>137826.0</v>
      </c>
      <c r="M94" s="8">
        <v>1783.0</v>
      </c>
      <c r="N94" s="9">
        <f t="shared" si="1"/>
        <v>0.9872286171</v>
      </c>
      <c r="O94" s="8">
        <v>101942.0</v>
      </c>
      <c r="P94" s="8">
        <v>68681.0</v>
      </c>
      <c r="Q94" s="9">
        <f t="shared" si="2"/>
        <v>0.4983167182</v>
      </c>
      <c r="R94" s="8">
        <v>8819.0</v>
      </c>
      <c r="S94" s="8">
        <v>5362.0</v>
      </c>
      <c r="T94" s="9">
        <f t="shared" si="3"/>
        <v>0.03890412549</v>
      </c>
      <c r="U94" s="9">
        <f t="shared" si="4"/>
        <v>0.07807108225</v>
      </c>
      <c r="V94" s="8">
        <v>1471.0</v>
      </c>
      <c r="W94" s="8">
        <v>1333.0</v>
      </c>
      <c r="X94" s="9">
        <f t="shared" si="5"/>
        <v>0.009671614935</v>
      </c>
      <c r="Y94" s="10">
        <v>106229.82</v>
      </c>
      <c r="Z94" s="10">
        <f t="shared" si="6"/>
        <v>72.2160571</v>
      </c>
      <c r="AA94" s="11">
        <f t="shared" si="7"/>
        <v>0.7707531235</v>
      </c>
      <c r="AB94" s="8">
        <v>279.0</v>
      </c>
      <c r="AC94" s="9">
        <f t="shared" si="8"/>
        <v>0.002024291498</v>
      </c>
      <c r="AD94" s="8">
        <v>18.0</v>
      </c>
      <c r="AE94" s="4" t="s">
        <v>227</v>
      </c>
      <c r="AF94" s="4"/>
      <c r="AG94" s="4"/>
    </row>
    <row r="95" ht="15.75" customHeight="1">
      <c r="A95" s="4" t="s">
        <v>453</v>
      </c>
      <c r="B95" s="4" t="s">
        <v>454</v>
      </c>
      <c r="C95" s="4" t="s">
        <v>147</v>
      </c>
      <c r="D95" s="4" t="s">
        <v>81</v>
      </c>
      <c r="E95" s="4" t="s">
        <v>66</v>
      </c>
      <c r="F95" s="7">
        <v>45909.9375</v>
      </c>
      <c r="G95" s="4" t="s">
        <v>270</v>
      </c>
      <c r="H95" s="4" t="s">
        <v>91</v>
      </c>
      <c r="I95" s="4" t="s">
        <v>455</v>
      </c>
      <c r="J95" s="4">
        <v>3.0</v>
      </c>
      <c r="K95" s="8">
        <v>92585.0</v>
      </c>
      <c r="L95" s="8">
        <v>91995.0</v>
      </c>
      <c r="M95" s="8">
        <v>590.0</v>
      </c>
      <c r="N95" s="9">
        <f t="shared" si="1"/>
        <v>0.9936274775</v>
      </c>
      <c r="O95" s="8">
        <v>54735.0</v>
      </c>
      <c r="P95" s="8">
        <v>39498.0</v>
      </c>
      <c r="Q95" s="9">
        <f t="shared" si="2"/>
        <v>0.4293494212</v>
      </c>
      <c r="R95" s="8">
        <v>4772.0</v>
      </c>
      <c r="S95" s="8">
        <v>2687.0</v>
      </c>
      <c r="T95" s="9">
        <f t="shared" si="3"/>
        <v>0.02920810914</v>
      </c>
      <c r="U95" s="9">
        <f t="shared" si="4"/>
        <v>0.06802876095</v>
      </c>
      <c r="V95" s="8">
        <v>362.0</v>
      </c>
      <c r="W95" s="8">
        <v>322.0</v>
      </c>
      <c r="X95" s="9">
        <f t="shared" si="5"/>
        <v>0.003500190228</v>
      </c>
      <c r="Y95" s="10">
        <v>35457.76</v>
      </c>
      <c r="Z95" s="10">
        <f t="shared" si="6"/>
        <v>97.94961326</v>
      </c>
      <c r="AA95" s="11">
        <f t="shared" si="7"/>
        <v>0.3854313821</v>
      </c>
      <c r="AB95" s="8">
        <v>93.0</v>
      </c>
      <c r="AC95" s="9">
        <f t="shared" si="8"/>
        <v>0.001010924507</v>
      </c>
      <c r="AD95" s="8">
        <v>3.0</v>
      </c>
      <c r="AE95" s="4" t="s">
        <v>69</v>
      </c>
      <c r="AF95" s="4" t="s">
        <v>151</v>
      </c>
      <c r="AG95" s="4"/>
    </row>
    <row r="96" ht="15.75" customHeight="1">
      <c r="A96" s="4" t="s">
        <v>456</v>
      </c>
      <c r="B96" s="4" t="s">
        <v>457</v>
      </c>
      <c r="C96" s="4" t="s">
        <v>230</v>
      </c>
      <c r="D96" s="4" t="s">
        <v>123</v>
      </c>
      <c r="E96" s="4" t="s">
        <v>66</v>
      </c>
      <c r="F96" s="7">
        <v>45909.6041666667</v>
      </c>
      <c r="G96" s="4" t="s">
        <v>118</v>
      </c>
      <c r="H96" s="4" t="s">
        <v>91</v>
      </c>
      <c r="I96" s="4" t="s">
        <v>458</v>
      </c>
      <c r="J96" s="4">
        <v>1.0</v>
      </c>
      <c r="K96" s="8">
        <v>20512.0</v>
      </c>
      <c r="L96" s="8">
        <v>20223.0</v>
      </c>
      <c r="M96" s="8">
        <v>289.0</v>
      </c>
      <c r="N96" s="9">
        <f t="shared" si="1"/>
        <v>0.9859106864</v>
      </c>
      <c r="O96" s="8">
        <v>7813.0</v>
      </c>
      <c r="P96" s="8">
        <v>5782.0</v>
      </c>
      <c r="Q96" s="9">
        <f t="shared" si="2"/>
        <v>0.2859120803</v>
      </c>
      <c r="R96" s="8">
        <v>384.0</v>
      </c>
      <c r="S96" s="8">
        <v>267.0</v>
      </c>
      <c r="T96" s="9">
        <f t="shared" si="3"/>
        <v>0.0132027889</v>
      </c>
      <c r="U96" s="9">
        <f t="shared" si="4"/>
        <v>0.04617779315</v>
      </c>
      <c r="V96" s="8">
        <v>225.0</v>
      </c>
      <c r="W96" s="8">
        <v>211.0</v>
      </c>
      <c r="X96" s="9">
        <f t="shared" si="5"/>
        <v>0.01043366464</v>
      </c>
      <c r="Y96" s="10">
        <v>13211.58</v>
      </c>
      <c r="Z96" s="10">
        <f t="shared" si="6"/>
        <v>58.71813333</v>
      </c>
      <c r="AA96" s="11">
        <f t="shared" si="7"/>
        <v>0.6532947634</v>
      </c>
      <c r="AB96" s="8">
        <v>79.0</v>
      </c>
      <c r="AC96" s="9">
        <f t="shared" si="8"/>
        <v>0.003906443159</v>
      </c>
      <c r="AD96" s="8">
        <v>2.0</v>
      </c>
      <c r="AE96" s="4" t="s">
        <v>195</v>
      </c>
      <c r="AF96" s="4"/>
      <c r="AG96" s="4"/>
    </row>
    <row r="97" ht="15.75" customHeight="1">
      <c r="A97" s="4" t="s">
        <v>459</v>
      </c>
      <c r="B97" s="4" t="s">
        <v>460</v>
      </c>
      <c r="C97" s="4" t="s">
        <v>306</v>
      </c>
      <c r="D97" s="4" t="s">
        <v>65</v>
      </c>
      <c r="E97" s="4" t="s">
        <v>66</v>
      </c>
      <c r="F97" s="7">
        <v>45904.6666666667</v>
      </c>
      <c r="G97" s="4" t="s">
        <v>74</v>
      </c>
      <c r="H97" s="4" t="s">
        <v>75</v>
      </c>
      <c r="I97" s="4" t="s">
        <v>461</v>
      </c>
      <c r="J97" s="4">
        <v>1.0</v>
      </c>
      <c r="K97" s="8">
        <v>18949.0</v>
      </c>
      <c r="L97" s="8">
        <v>18859.0</v>
      </c>
      <c r="M97" s="8">
        <v>90.0</v>
      </c>
      <c r="N97" s="9">
        <f t="shared" si="1"/>
        <v>0.995250409</v>
      </c>
      <c r="O97" s="8">
        <v>9246.0</v>
      </c>
      <c r="P97" s="8">
        <v>6839.0</v>
      </c>
      <c r="Q97" s="9">
        <f t="shared" si="2"/>
        <v>0.362638528</v>
      </c>
      <c r="R97" s="8">
        <v>1255.0</v>
      </c>
      <c r="S97" s="8">
        <v>810.0</v>
      </c>
      <c r="T97" s="9">
        <f t="shared" si="3"/>
        <v>0.0429503155</v>
      </c>
      <c r="U97" s="9">
        <f t="shared" si="4"/>
        <v>0.1184383682</v>
      </c>
      <c r="V97" s="8">
        <v>492.0</v>
      </c>
      <c r="W97" s="8">
        <v>463.0</v>
      </c>
      <c r="X97" s="9">
        <f t="shared" si="5"/>
        <v>0.02455061244</v>
      </c>
      <c r="Y97" s="10">
        <v>31890.15</v>
      </c>
      <c r="Z97" s="10">
        <f t="shared" si="6"/>
        <v>64.81737805</v>
      </c>
      <c r="AA97" s="11">
        <f t="shared" si="7"/>
        <v>1.690977782</v>
      </c>
      <c r="AB97" s="8">
        <v>44.0</v>
      </c>
      <c r="AC97" s="9">
        <f t="shared" si="8"/>
        <v>0.002333103558</v>
      </c>
      <c r="AD97" s="8">
        <v>3.0</v>
      </c>
      <c r="AE97" s="4" t="s">
        <v>137</v>
      </c>
      <c r="AF97" s="4"/>
      <c r="AG97" s="4"/>
    </row>
    <row r="98" ht="15.75" customHeight="1">
      <c r="A98" s="4" t="s">
        <v>462</v>
      </c>
      <c r="B98" s="4" t="s">
        <v>463</v>
      </c>
      <c r="C98" s="4" t="s">
        <v>306</v>
      </c>
      <c r="D98" s="4" t="s">
        <v>65</v>
      </c>
      <c r="E98" s="4" t="s">
        <v>66</v>
      </c>
      <c r="F98" s="7">
        <v>45889.9166666667</v>
      </c>
      <c r="G98" s="4" t="s">
        <v>67</v>
      </c>
      <c r="H98" s="4" t="s">
        <v>82</v>
      </c>
      <c r="I98" s="4" t="s">
        <v>464</v>
      </c>
      <c r="J98" s="4">
        <v>4.0</v>
      </c>
      <c r="K98" s="8">
        <v>292718.0</v>
      </c>
      <c r="L98" s="8">
        <v>288966.0</v>
      </c>
      <c r="M98" s="8">
        <v>3752.0</v>
      </c>
      <c r="N98" s="9">
        <f t="shared" si="1"/>
        <v>0.9871822027</v>
      </c>
      <c r="O98" s="8">
        <v>222297.0</v>
      </c>
      <c r="P98" s="8">
        <v>151677.0</v>
      </c>
      <c r="Q98" s="9">
        <f t="shared" si="2"/>
        <v>0.5248956625</v>
      </c>
      <c r="R98" s="8">
        <v>20791.0</v>
      </c>
      <c r="S98" s="8">
        <v>12567.0</v>
      </c>
      <c r="T98" s="9">
        <f t="shared" si="3"/>
        <v>0.04348954548</v>
      </c>
      <c r="U98" s="9">
        <f t="shared" si="4"/>
        <v>0.08285369568</v>
      </c>
      <c r="V98" s="8">
        <v>8541.0</v>
      </c>
      <c r="W98" s="8">
        <v>8244.0</v>
      </c>
      <c r="X98" s="9">
        <f t="shared" si="5"/>
        <v>0.02852930795</v>
      </c>
      <c r="Y98" s="10">
        <v>622754.92</v>
      </c>
      <c r="Z98" s="10">
        <f t="shared" si="6"/>
        <v>72.91358389</v>
      </c>
      <c r="AA98" s="11">
        <f t="shared" si="7"/>
        <v>2.155114858</v>
      </c>
      <c r="AB98" s="8">
        <v>412.0</v>
      </c>
      <c r="AC98" s="9">
        <f t="shared" si="8"/>
        <v>0.001425773274</v>
      </c>
      <c r="AD98" s="8">
        <v>25.0</v>
      </c>
      <c r="AE98" s="4" t="s">
        <v>150</v>
      </c>
      <c r="AF98" s="4"/>
      <c r="AG98" s="4"/>
    </row>
    <row r="99" ht="15.75" customHeight="1">
      <c r="A99" s="4" t="s">
        <v>465</v>
      </c>
      <c r="B99" s="4" t="s">
        <v>466</v>
      </c>
      <c r="C99" s="4" t="s">
        <v>467</v>
      </c>
      <c r="D99" s="4" t="s">
        <v>104</v>
      </c>
      <c r="E99" s="4" t="s">
        <v>66</v>
      </c>
      <c r="F99" s="7">
        <v>45887.7291666667</v>
      </c>
      <c r="G99" s="4" t="s">
        <v>181</v>
      </c>
      <c r="H99" s="4" t="s">
        <v>98</v>
      </c>
      <c r="I99" s="4" t="s">
        <v>468</v>
      </c>
      <c r="J99" s="4">
        <v>1.0</v>
      </c>
      <c r="K99" s="8">
        <v>20682.0</v>
      </c>
      <c r="L99" s="8">
        <v>20600.0</v>
      </c>
      <c r="M99" s="8">
        <v>82.0</v>
      </c>
      <c r="N99" s="9">
        <f t="shared" si="1"/>
        <v>0.9960351997</v>
      </c>
      <c r="O99" s="8">
        <v>12158.0</v>
      </c>
      <c r="P99" s="8">
        <v>8164.0</v>
      </c>
      <c r="Q99" s="9">
        <f t="shared" si="2"/>
        <v>0.3963106796</v>
      </c>
      <c r="R99" s="8">
        <v>1131.0</v>
      </c>
      <c r="S99" s="8">
        <v>823.0</v>
      </c>
      <c r="T99" s="9">
        <f t="shared" si="3"/>
        <v>0.03995145631</v>
      </c>
      <c r="U99" s="9">
        <f t="shared" si="4"/>
        <v>0.1008084272</v>
      </c>
      <c r="V99" s="8">
        <v>286.0</v>
      </c>
      <c r="W99" s="8">
        <v>267.0</v>
      </c>
      <c r="X99" s="9">
        <f t="shared" si="5"/>
        <v>0.01296116505</v>
      </c>
      <c r="Y99" s="10">
        <v>25097.03</v>
      </c>
      <c r="Z99" s="10">
        <f t="shared" si="6"/>
        <v>87.75185315</v>
      </c>
      <c r="AA99" s="11">
        <f t="shared" si="7"/>
        <v>1.218302427</v>
      </c>
      <c r="AB99" s="8">
        <v>32.0</v>
      </c>
      <c r="AC99" s="9">
        <f t="shared" si="8"/>
        <v>0.001553398058</v>
      </c>
      <c r="AD99" s="8">
        <v>4.0</v>
      </c>
      <c r="AE99" s="4" t="s">
        <v>100</v>
      </c>
      <c r="AF99" s="4"/>
      <c r="AG99" s="4"/>
    </row>
    <row r="100" ht="15.75" customHeight="1">
      <c r="A100" s="4" t="s">
        <v>469</v>
      </c>
      <c r="B100" s="4" t="s">
        <v>470</v>
      </c>
      <c r="C100" s="4" t="s">
        <v>471</v>
      </c>
      <c r="D100" s="4" t="s">
        <v>199</v>
      </c>
      <c r="E100" s="4" t="s">
        <v>57</v>
      </c>
      <c r="F100" s="7">
        <v>45886.6666666667</v>
      </c>
      <c r="G100" s="4" t="s">
        <v>74</v>
      </c>
      <c r="H100" s="4" t="s">
        <v>59</v>
      </c>
      <c r="I100" s="4" t="s">
        <v>472</v>
      </c>
      <c r="J100" s="4">
        <v>2.0</v>
      </c>
      <c r="K100" s="8">
        <v>38990.0</v>
      </c>
      <c r="L100" s="8">
        <v>37841.0</v>
      </c>
      <c r="M100" s="8">
        <v>1149.0</v>
      </c>
      <c r="N100" s="9">
        <f t="shared" si="1"/>
        <v>0.9705309054</v>
      </c>
      <c r="O100" s="8">
        <v>0.0</v>
      </c>
      <c r="P100" s="8">
        <v>0.0</v>
      </c>
      <c r="Q100" s="9">
        <f t="shared" si="2"/>
        <v>0</v>
      </c>
      <c r="R100" s="8">
        <v>6255.0</v>
      </c>
      <c r="S100" s="8">
        <v>5519.0</v>
      </c>
      <c r="T100" s="9">
        <f t="shared" si="3"/>
        <v>0.1458470971</v>
      </c>
      <c r="U100" s="9">
        <f t="shared" si="4"/>
        <v>0</v>
      </c>
      <c r="V100" s="8">
        <v>1283.0</v>
      </c>
      <c r="W100" s="8">
        <v>1216.0</v>
      </c>
      <c r="X100" s="9">
        <f t="shared" si="5"/>
        <v>0.03213445733</v>
      </c>
      <c r="Y100" s="10">
        <v>89617.91</v>
      </c>
      <c r="Z100" s="10">
        <f t="shared" si="6"/>
        <v>69.85028059</v>
      </c>
      <c r="AA100" s="11">
        <f t="shared" si="7"/>
        <v>2.368275416</v>
      </c>
      <c r="AB100" s="8">
        <v>90.0</v>
      </c>
      <c r="AC100" s="9">
        <f t="shared" si="8"/>
        <v>0.002378372665</v>
      </c>
      <c r="AD100" s="8">
        <v>0.0</v>
      </c>
      <c r="AE100" s="4" t="s">
        <v>84</v>
      </c>
      <c r="AF100" s="4"/>
      <c r="AG100" s="4"/>
    </row>
    <row r="101" ht="15.75" customHeight="1">
      <c r="A101" s="4" t="s">
        <v>473</v>
      </c>
      <c r="B101" s="4" t="s">
        <v>474</v>
      </c>
      <c r="C101" s="4" t="s">
        <v>475</v>
      </c>
      <c r="D101" s="4" t="s">
        <v>117</v>
      </c>
      <c r="E101" s="4" t="s">
        <v>66</v>
      </c>
      <c r="F101" s="7">
        <v>45885.5416666667</v>
      </c>
      <c r="G101" s="4" t="s">
        <v>163</v>
      </c>
      <c r="H101" s="4" t="s">
        <v>105</v>
      </c>
      <c r="I101" s="4" t="s">
        <v>476</v>
      </c>
      <c r="J101" s="4">
        <v>1.0</v>
      </c>
      <c r="K101" s="8">
        <v>280107.0</v>
      </c>
      <c r="L101" s="8">
        <v>278430.0</v>
      </c>
      <c r="M101" s="8">
        <v>1677.0</v>
      </c>
      <c r="N101" s="9">
        <f t="shared" si="1"/>
        <v>0.9940130022</v>
      </c>
      <c r="O101" s="8">
        <v>140360.0</v>
      </c>
      <c r="P101" s="8">
        <v>107696.0</v>
      </c>
      <c r="Q101" s="9">
        <f t="shared" si="2"/>
        <v>0.3867973997</v>
      </c>
      <c r="R101" s="8">
        <v>9365.0</v>
      </c>
      <c r="S101" s="8">
        <v>6278.0</v>
      </c>
      <c r="T101" s="9">
        <f t="shared" si="3"/>
        <v>0.02254785763</v>
      </c>
      <c r="U101" s="9">
        <f t="shared" si="4"/>
        <v>0.05829371564</v>
      </c>
      <c r="V101" s="8">
        <v>1133.0</v>
      </c>
      <c r="W101" s="8">
        <v>987.0</v>
      </c>
      <c r="X101" s="9">
        <f t="shared" si="5"/>
        <v>0.00354487663</v>
      </c>
      <c r="Y101" s="10">
        <v>96959.81</v>
      </c>
      <c r="Z101" s="10">
        <f t="shared" si="6"/>
        <v>85.57794351</v>
      </c>
      <c r="AA101" s="11">
        <f t="shared" si="7"/>
        <v>0.348237654</v>
      </c>
      <c r="AB101" s="8">
        <v>429.0</v>
      </c>
      <c r="AC101" s="9">
        <f t="shared" si="8"/>
        <v>0.001540782243</v>
      </c>
      <c r="AD101" s="8">
        <v>28.0</v>
      </c>
      <c r="AE101" s="4" t="s">
        <v>112</v>
      </c>
      <c r="AF101" s="4"/>
      <c r="AG101" s="4"/>
    </row>
    <row r="102" ht="15.75" customHeight="1">
      <c r="A102" s="4" t="s">
        <v>477</v>
      </c>
      <c r="B102" s="4" t="s">
        <v>478</v>
      </c>
      <c r="C102" s="4" t="s">
        <v>479</v>
      </c>
      <c r="D102" s="4" t="s">
        <v>104</v>
      </c>
      <c r="E102" s="4" t="s">
        <v>66</v>
      </c>
      <c r="F102" s="7">
        <v>45883.7291666667</v>
      </c>
      <c r="G102" s="4" t="s">
        <v>181</v>
      </c>
      <c r="H102" s="4" t="s">
        <v>75</v>
      </c>
      <c r="I102" s="4" t="s">
        <v>207</v>
      </c>
      <c r="J102" s="4">
        <v>1.0</v>
      </c>
      <c r="K102" s="8">
        <v>43882.0</v>
      </c>
      <c r="L102" s="8">
        <v>43745.0</v>
      </c>
      <c r="M102" s="8">
        <v>137.0</v>
      </c>
      <c r="N102" s="9">
        <f t="shared" si="1"/>
        <v>0.996877991</v>
      </c>
      <c r="O102" s="8">
        <v>28667.0</v>
      </c>
      <c r="P102" s="8">
        <v>21863.0</v>
      </c>
      <c r="Q102" s="9">
        <f t="shared" si="2"/>
        <v>0.4997828323</v>
      </c>
      <c r="R102" s="8">
        <v>3113.0</v>
      </c>
      <c r="S102" s="8">
        <v>1969.0</v>
      </c>
      <c r="T102" s="9">
        <f t="shared" si="3"/>
        <v>0.04501085838</v>
      </c>
      <c r="U102" s="9">
        <f t="shared" si="4"/>
        <v>0.09006083337</v>
      </c>
      <c r="V102" s="8">
        <v>710.0</v>
      </c>
      <c r="W102" s="8">
        <v>616.0</v>
      </c>
      <c r="X102" s="9">
        <f t="shared" si="5"/>
        <v>0.01408160933</v>
      </c>
      <c r="Y102" s="10">
        <v>51405.5</v>
      </c>
      <c r="Z102" s="10">
        <f t="shared" si="6"/>
        <v>72.40211268</v>
      </c>
      <c r="AA102" s="11">
        <f t="shared" si="7"/>
        <v>1.175117156</v>
      </c>
      <c r="AB102" s="8">
        <v>164.0</v>
      </c>
      <c r="AC102" s="9">
        <f t="shared" si="8"/>
        <v>0.003748999886</v>
      </c>
      <c r="AD102" s="8">
        <v>7.0</v>
      </c>
      <c r="AE102" s="4" t="s">
        <v>84</v>
      </c>
      <c r="AF102" s="4"/>
      <c r="AG102" s="4"/>
    </row>
    <row r="103" ht="15.75" customHeight="1">
      <c r="A103" s="4" t="s">
        <v>480</v>
      </c>
      <c r="B103" s="4" t="s">
        <v>481</v>
      </c>
      <c r="C103" s="4" t="s">
        <v>482</v>
      </c>
      <c r="D103" s="4" t="s">
        <v>408</v>
      </c>
      <c r="E103" s="4" t="s">
        <v>66</v>
      </c>
      <c r="F103" s="7">
        <v>45883.6875</v>
      </c>
      <c r="G103" s="4" t="s">
        <v>384</v>
      </c>
      <c r="H103" s="4" t="s">
        <v>75</v>
      </c>
      <c r="I103" s="4" t="s">
        <v>483</v>
      </c>
      <c r="J103" s="4">
        <v>4.0</v>
      </c>
      <c r="K103" s="8">
        <v>284153.0</v>
      </c>
      <c r="L103" s="8">
        <v>280261.0</v>
      </c>
      <c r="M103" s="8">
        <v>3892.0</v>
      </c>
      <c r="N103" s="9">
        <f t="shared" si="1"/>
        <v>0.9863031536</v>
      </c>
      <c r="O103" s="8">
        <v>132604.0</v>
      </c>
      <c r="P103" s="8">
        <v>106091.0</v>
      </c>
      <c r="Q103" s="9">
        <f t="shared" si="2"/>
        <v>0.3785435719</v>
      </c>
      <c r="R103" s="8">
        <v>5519.0</v>
      </c>
      <c r="S103" s="8">
        <v>4199.0</v>
      </c>
      <c r="T103" s="9">
        <f t="shared" si="3"/>
        <v>0.01498246278</v>
      </c>
      <c r="U103" s="9">
        <f t="shared" si="4"/>
        <v>0.03957922915</v>
      </c>
      <c r="V103" s="8">
        <v>1373.0</v>
      </c>
      <c r="W103" s="8">
        <v>1177.0</v>
      </c>
      <c r="X103" s="9">
        <f t="shared" si="5"/>
        <v>0.004199656749</v>
      </c>
      <c r="Y103" s="10">
        <v>97419.35</v>
      </c>
      <c r="Z103" s="10">
        <f t="shared" si="6"/>
        <v>70.95364166</v>
      </c>
      <c r="AA103" s="11">
        <f t="shared" si="7"/>
        <v>0.3476022351</v>
      </c>
      <c r="AB103" s="8">
        <v>562.0</v>
      </c>
      <c r="AC103" s="9">
        <f t="shared" si="8"/>
        <v>0.002005273656</v>
      </c>
      <c r="AD103" s="8">
        <v>24.0</v>
      </c>
      <c r="AE103" s="4" t="s">
        <v>100</v>
      </c>
      <c r="AF103" s="4"/>
      <c r="AG103" s="4"/>
    </row>
    <row r="104" ht="15.75" customHeight="1">
      <c r="A104" s="4" t="s">
        <v>484</v>
      </c>
      <c r="B104" s="4" t="s">
        <v>485</v>
      </c>
      <c r="C104" s="4" t="s">
        <v>486</v>
      </c>
      <c r="D104" s="4" t="s">
        <v>176</v>
      </c>
      <c r="E104" s="4" t="s">
        <v>66</v>
      </c>
      <c r="F104" s="7">
        <v>45879.5625</v>
      </c>
      <c r="G104" s="4" t="s">
        <v>148</v>
      </c>
      <c r="H104" s="4" t="s">
        <v>59</v>
      </c>
      <c r="I104" s="4" t="s">
        <v>487</v>
      </c>
      <c r="J104" s="4">
        <v>4.0</v>
      </c>
      <c r="K104" s="8">
        <v>215525.0</v>
      </c>
      <c r="L104" s="8">
        <v>213046.0</v>
      </c>
      <c r="M104" s="8">
        <v>2479.0</v>
      </c>
      <c r="N104" s="9">
        <f t="shared" si="1"/>
        <v>0.9884978541</v>
      </c>
      <c r="O104" s="8">
        <v>143587.0</v>
      </c>
      <c r="P104" s="8">
        <v>108365.0</v>
      </c>
      <c r="Q104" s="9">
        <f t="shared" si="2"/>
        <v>0.5086460201</v>
      </c>
      <c r="R104" s="8">
        <v>11497.0</v>
      </c>
      <c r="S104" s="8">
        <v>8248.0</v>
      </c>
      <c r="T104" s="9">
        <f t="shared" si="3"/>
        <v>0.03871464379</v>
      </c>
      <c r="U104" s="9">
        <f t="shared" si="4"/>
        <v>0.07611313616</v>
      </c>
      <c r="V104" s="8">
        <v>622.0</v>
      </c>
      <c r="W104" s="8">
        <v>595.0</v>
      </c>
      <c r="X104" s="9">
        <f t="shared" si="5"/>
        <v>0.002792824085</v>
      </c>
      <c r="Y104" s="10">
        <v>62427.48</v>
      </c>
      <c r="Z104" s="10">
        <f t="shared" si="6"/>
        <v>100.3657235</v>
      </c>
      <c r="AA104" s="11">
        <f t="shared" si="7"/>
        <v>0.2930234785</v>
      </c>
      <c r="AB104" s="8">
        <v>672.0</v>
      </c>
      <c r="AC104" s="9">
        <f t="shared" si="8"/>
        <v>0.003154248378</v>
      </c>
      <c r="AD104" s="8">
        <v>55.0</v>
      </c>
      <c r="AE104" s="4" t="s">
        <v>84</v>
      </c>
      <c r="AF104" s="4" t="s">
        <v>249</v>
      </c>
      <c r="AG104" s="4"/>
    </row>
    <row r="105" ht="15.75" customHeight="1">
      <c r="A105" s="4" t="s">
        <v>488</v>
      </c>
      <c r="B105" s="4" t="s">
        <v>489</v>
      </c>
      <c r="C105" s="4" t="s">
        <v>222</v>
      </c>
      <c r="D105" s="4" t="s">
        <v>104</v>
      </c>
      <c r="E105" s="4" t="s">
        <v>66</v>
      </c>
      <c r="F105" s="7">
        <v>45877.8333333333</v>
      </c>
      <c r="G105" s="4" t="s">
        <v>188</v>
      </c>
      <c r="H105" s="4" t="s">
        <v>135</v>
      </c>
      <c r="I105" s="4" t="s">
        <v>490</v>
      </c>
      <c r="J105" s="4">
        <v>2.0</v>
      </c>
      <c r="K105" s="8">
        <v>48679.0</v>
      </c>
      <c r="L105" s="8">
        <v>48471.0</v>
      </c>
      <c r="M105" s="8">
        <v>208.0</v>
      </c>
      <c r="N105" s="9">
        <f t="shared" si="1"/>
        <v>0.9957271103</v>
      </c>
      <c r="O105" s="8">
        <v>34146.0</v>
      </c>
      <c r="P105" s="8">
        <v>23903.0</v>
      </c>
      <c r="Q105" s="9">
        <f t="shared" si="2"/>
        <v>0.4931402282</v>
      </c>
      <c r="R105" s="8">
        <v>4020.0</v>
      </c>
      <c r="S105" s="8">
        <v>2516.0</v>
      </c>
      <c r="T105" s="9">
        <f t="shared" si="3"/>
        <v>0.05190732603</v>
      </c>
      <c r="U105" s="9">
        <f t="shared" si="4"/>
        <v>0.1052587541</v>
      </c>
      <c r="V105" s="8">
        <v>1245.0</v>
      </c>
      <c r="W105" s="8">
        <v>1143.0</v>
      </c>
      <c r="X105" s="9">
        <f t="shared" si="5"/>
        <v>0.02358111035</v>
      </c>
      <c r="Y105" s="10">
        <v>97930.77</v>
      </c>
      <c r="Z105" s="10">
        <f t="shared" si="6"/>
        <v>78.65925301</v>
      </c>
      <c r="AA105" s="11">
        <f t="shared" si="7"/>
        <v>2.020399208</v>
      </c>
      <c r="AB105" s="8">
        <v>85.0</v>
      </c>
      <c r="AC105" s="9">
        <f t="shared" si="8"/>
        <v>0.001753625879</v>
      </c>
      <c r="AD105" s="8">
        <v>13.0</v>
      </c>
      <c r="AE105" s="4" t="s">
        <v>126</v>
      </c>
      <c r="AF105" s="4"/>
      <c r="AG105" s="4"/>
    </row>
    <row r="106" ht="15.75" customHeight="1">
      <c r="A106" s="4" t="s">
        <v>491</v>
      </c>
      <c r="B106" s="4" t="s">
        <v>492</v>
      </c>
      <c r="C106" s="4" t="s">
        <v>493</v>
      </c>
      <c r="D106" s="4" t="s">
        <v>408</v>
      </c>
      <c r="E106" s="4" t="s">
        <v>66</v>
      </c>
      <c r="F106" s="7">
        <v>45877.5625</v>
      </c>
      <c r="G106" s="4" t="s">
        <v>148</v>
      </c>
      <c r="H106" s="4" t="s">
        <v>135</v>
      </c>
      <c r="I106" s="4" t="s">
        <v>494</v>
      </c>
      <c r="J106" s="4">
        <v>3.0</v>
      </c>
      <c r="K106" s="8">
        <v>143021.0</v>
      </c>
      <c r="L106" s="8">
        <v>142182.0</v>
      </c>
      <c r="M106" s="8">
        <v>839.0</v>
      </c>
      <c r="N106" s="9">
        <f t="shared" si="1"/>
        <v>0.9941337286</v>
      </c>
      <c r="O106" s="8">
        <v>56105.0</v>
      </c>
      <c r="P106" s="8">
        <v>14433.0</v>
      </c>
      <c r="Q106" s="9">
        <f t="shared" si="2"/>
        <v>0.1015107398</v>
      </c>
      <c r="R106" s="8">
        <v>2299.0</v>
      </c>
      <c r="S106" s="8">
        <v>1765.0</v>
      </c>
      <c r="T106" s="9">
        <f t="shared" si="3"/>
        <v>0.01241366699</v>
      </c>
      <c r="U106" s="9">
        <f t="shared" si="4"/>
        <v>0.1222891984</v>
      </c>
      <c r="V106" s="8">
        <v>1050.0</v>
      </c>
      <c r="W106" s="8">
        <v>969.0</v>
      </c>
      <c r="X106" s="9">
        <f t="shared" si="5"/>
        <v>0.006815208676</v>
      </c>
      <c r="Y106" s="10">
        <v>75489.16</v>
      </c>
      <c r="Z106" s="10">
        <f t="shared" si="6"/>
        <v>71.8944381</v>
      </c>
      <c r="AA106" s="11">
        <f t="shared" si="7"/>
        <v>0.5309333108</v>
      </c>
      <c r="AB106" s="8">
        <v>141.0</v>
      </c>
      <c r="AC106" s="9">
        <f t="shared" si="8"/>
        <v>0.0009916867114</v>
      </c>
      <c r="AD106" s="8">
        <v>28.0</v>
      </c>
      <c r="AE106" s="4" t="s">
        <v>126</v>
      </c>
      <c r="AF106" s="4"/>
      <c r="AG106" s="4"/>
    </row>
    <row r="107" ht="15.75" customHeight="1">
      <c r="A107" s="4" t="s">
        <v>495</v>
      </c>
      <c r="B107" s="4" t="s">
        <v>496</v>
      </c>
      <c r="C107" s="4" t="s">
        <v>159</v>
      </c>
      <c r="D107" s="4" t="s">
        <v>65</v>
      </c>
      <c r="E107" s="4" t="s">
        <v>57</v>
      </c>
      <c r="F107" s="7">
        <v>45875.75</v>
      </c>
      <c r="G107" s="4" t="s">
        <v>58</v>
      </c>
      <c r="H107" s="4" t="s">
        <v>82</v>
      </c>
      <c r="I107" s="4" t="s">
        <v>497</v>
      </c>
      <c r="J107" s="4">
        <v>3.0</v>
      </c>
      <c r="K107" s="8">
        <v>34133.0</v>
      </c>
      <c r="L107" s="8">
        <v>33721.0</v>
      </c>
      <c r="M107" s="8">
        <v>412.0</v>
      </c>
      <c r="N107" s="9">
        <f t="shared" si="1"/>
        <v>0.9879295696</v>
      </c>
      <c r="O107" s="8">
        <v>0.0</v>
      </c>
      <c r="P107" s="8">
        <v>0.0</v>
      </c>
      <c r="Q107" s="9">
        <f t="shared" si="2"/>
        <v>0</v>
      </c>
      <c r="R107" s="8">
        <v>5353.0</v>
      </c>
      <c r="S107" s="8">
        <v>4139.0</v>
      </c>
      <c r="T107" s="9">
        <f t="shared" si="3"/>
        <v>0.1227425047</v>
      </c>
      <c r="U107" s="9">
        <f t="shared" si="4"/>
        <v>0</v>
      </c>
      <c r="V107" s="8">
        <v>957.0</v>
      </c>
      <c r="W107" s="8">
        <v>902.0</v>
      </c>
      <c r="X107" s="9">
        <f t="shared" si="5"/>
        <v>0.02674891017</v>
      </c>
      <c r="Y107" s="10">
        <v>73741.93</v>
      </c>
      <c r="Z107" s="10">
        <f t="shared" si="6"/>
        <v>77.05530825</v>
      </c>
      <c r="AA107" s="11">
        <f t="shared" si="7"/>
        <v>2.186825124</v>
      </c>
      <c r="AB107" s="8">
        <v>111.0</v>
      </c>
      <c r="AC107" s="9">
        <f t="shared" si="8"/>
        <v>0.003291717327</v>
      </c>
      <c r="AD107" s="8">
        <v>0.0</v>
      </c>
      <c r="AE107" s="4" t="s">
        <v>144</v>
      </c>
      <c r="AF107" s="4"/>
      <c r="AG107" s="4"/>
    </row>
    <row r="108" ht="15.75" customHeight="1">
      <c r="A108" s="4" t="s">
        <v>498</v>
      </c>
      <c r="B108" s="4" t="s">
        <v>499</v>
      </c>
      <c r="C108" s="4" t="s">
        <v>500</v>
      </c>
      <c r="D108" s="4" t="s">
        <v>81</v>
      </c>
      <c r="E108" s="4" t="s">
        <v>66</v>
      </c>
      <c r="F108" s="7">
        <v>45875.7083333333</v>
      </c>
      <c r="G108" s="4" t="s">
        <v>124</v>
      </c>
      <c r="H108" s="4" t="s">
        <v>82</v>
      </c>
      <c r="I108" s="4" t="s">
        <v>501</v>
      </c>
      <c r="J108" s="4">
        <v>2.0</v>
      </c>
      <c r="K108" s="8">
        <v>51359.0</v>
      </c>
      <c r="L108" s="8">
        <v>50958.0</v>
      </c>
      <c r="M108" s="8">
        <v>401.0</v>
      </c>
      <c r="N108" s="9">
        <f t="shared" si="1"/>
        <v>0.9921922156</v>
      </c>
      <c r="O108" s="8">
        <v>32493.0</v>
      </c>
      <c r="P108" s="8">
        <v>25839.0</v>
      </c>
      <c r="Q108" s="9">
        <f t="shared" si="2"/>
        <v>0.5070646415</v>
      </c>
      <c r="R108" s="8">
        <v>3805.0</v>
      </c>
      <c r="S108" s="8">
        <v>2555.0</v>
      </c>
      <c r="T108" s="9">
        <f t="shared" si="3"/>
        <v>0.05013933043</v>
      </c>
      <c r="U108" s="9">
        <f t="shared" si="4"/>
        <v>0.09888153566</v>
      </c>
      <c r="V108" s="8">
        <v>290.0</v>
      </c>
      <c r="W108" s="8">
        <v>253.0</v>
      </c>
      <c r="X108" s="9">
        <f t="shared" si="5"/>
        <v>0.004964873033</v>
      </c>
      <c r="Y108" s="10">
        <v>26552.29</v>
      </c>
      <c r="Z108" s="10">
        <f t="shared" si="6"/>
        <v>91.55962069</v>
      </c>
      <c r="AA108" s="11">
        <f t="shared" si="7"/>
        <v>0.5210622473</v>
      </c>
      <c r="AB108" s="8">
        <v>97.0</v>
      </c>
      <c r="AC108" s="9">
        <f t="shared" si="8"/>
        <v>0.001903528396</v>
      </c>
      <c r="AD108" s="8">
        <v>12.0</v>
      </c>
      <c r="AE108" s="4" t="s">
        <v>93</v>
      </c>
      <c r="AF108" s="4" t="s">
        <v>212</v>
      </c>
      <c r="AG108" s="4"/>
    </row>
    <row r="109" ht="15.75" customHeight="1">
      <c r="A109" s="4" t="s">
        <v>502</v>
      </c>
      <c r="B109" s="4" t="s">
        <v>503</v>
      </c>
      <c r="C109" s="4" t="s">
        <v>504</v>
      </c>
      <c r="D109" s="4" t="s">
        <v>104</v>
      </c>
      <c r="E109" s="4" t="s">
        <v>57</v>
      </c>
      <c r="F109" s="7">
        <v>45875.5833333333</v>
      </c>
      <c r="G109" s="4" t="s">
        <v>168</v>
      </c>
      <c r="H109" s="4" t="s">
        <v>82</v>
      </c>
      <c r="I109" s="4" t="s">
        <v>505</v>
      </c>
      <c r="J109" s="4">
        <v>3.0</v>
      </c>
      <c r="K109" s="8">
        <v>51575.0</v>
      </c>
      <c r="L109" s="8">
        <v>50562.0</v>
      </c>
      <c r="M109" s="8">
        <v>1013.0</v>
      </c>
      <c r="N109" s="9">
        <f t="shared" si="1"/>
        <v>0.9803587009</v>
      </c>
      <c r="O109" s="8">
        <v>0.0</v>
      </c>
      <c r="P109" s="8">
        <v>0.0</v>
      </c>
      <c r="Q109" s="9">
        <f t="shared" si="2"/>
        <v>0</v>
      </c>
      <c r="R109" s="8">
        <v>5182.0</v>
      </c>
      <c r="S109" s="8">
        <v>4436.0</v>
      </c>
      <c r="T109" s="9">
        <f t="shared" si="3"/>
        <v>0.08773387129</v>
      </c>
      <c r="U109" s="9">
        <f t="shared" si="4"/>
        <v>0</v>
      </c>
      <c r="V109" s="8">
        <v>1554.0</v>
      </c>
      <c r="W109" s="8">
        <v>1533.0</v>
      </c>
      <c r="X109" s="9">
        <f t="shared" si="5"/>
        <v>0.03031921206</v>
      </c>
      <c r="Y109" s="10">
        <v>117615.52</v>
      </c>
      <c r="Z109" s="10">
        <f t="shared" si="6"/>
        <v>75.68566281</v>
      </c>
      <c r="AA109" s="11">
        <f t="shared" si="7"/>
        <v>2.326164313</v>
      </c>
      <c r="AB109" s="8">
        <v>259.0</v>
      </c>
      <c r="AC109" s="9">
        <f t="shared" si="8"/>
        <v>0.005122423955</v>
      </c>
      <c r="AD109" s="8">
        <v>0.0</v>
      </c>
      <c r="AE109" s="4" t="s">
        <v>126</v>
      </c>
      <c r="AF109" s="4"/>
      <c r="AG109" s="4"/>
    </row>
    <row r="110" ht="15.75" customHeight="1">
      <c r="A110" s="4" t="s">
        <v>506</v>
      </c>
      <c r="B110" s="4" t="s">
        <v>507</v>
      </c>
      <c r="C110" s="4" t="s">
        <v>133</v>
      </c>
      <c r="D110" s="4" t="s">
        <v>134</v>
      </c>
      <c r="E110" s="4" t="s">
        <v>66</v>
      </c>
      <c r="F110" s="7">
        <v>45874.5833333333</v>
      </c>
      <c r="G110" s="4" t="s">
        <v>168</v>
      </c>
      <c r="H110" s="4" t="s">
        <v>91</v>
      </c>
      <c r="I110" s="4" t="s">
        <v>508</v>
      </c>
      <c r="J110" s="4">
        <v>3.0</v>
      </c>
      <c r="K110" s="8">
        <v>90405.0</v>
      </c>
      <c r="L110" s="8">
        <v>89749.0</v>
      </c>
      <c r="M110" s="8">
        <v>656.0</v>
      </c>
      <c r="N110" s="9">
        <f t="shared" si="1"/>
        <v>0.9927437642</v>
      </c>
      <c r="O110" s="8">
        <v>44753.0</v>
      </c>
      <c r="P110" s="8">
        <v>33388.0</v>
      </c>
      <c r="Q110" s="9">
        <f t="shared" si="2"/>
        <v>0.3720152871</v>
      </c>
      <c r="R110" s="8">
        <v>2686.0</v>
      </c>
      <c r="S110" s="8">
        <v>1704.0</v>
      </c>
      <c r="T110" s="9">
        <f t="shared" si="3"/>
        <v>0.01898628397</v>
      </c>
      <c r="U110" s="9">
        <f t="shared" si="4"/>
        <v>0.05103630047</v>
      </c>
      <c r="V110" s="8">
        <v>808.0</v>
      </c>
      <c r="W110" s="8">
        <v>758.0</v>
      </c>
      <c r="X110" s="9">
        <f t="shared" si="5"/>
        <v>0.008445776555</v>
      </c>
      <c r="Y110" s="10">
        <v>61309.88</v>
      </c>
      <c r="Z110" s="10">
        <f t="shared" si="6"/>
        <v>75.87856436</v>
      </c>
      <c r="AA110" s="11">
        <f t="shared" si="7"/>
        <v>0.6831260515</v>
      </c>
      <c r="AB110" s="8">
        <v>322.0</v>
      </c>
      <c r="AC110" s="9">
        <f t="shared" si="8"/>
        <v>0.003587783708</v>
      </c>
      <c r="AD110" s="8">
        <v>20.0</v>
      </c>
      <c r="AE110" s="4" t="s">
        <v>244</v>
      </c>
      <c r="AF110" s="4" t="s">
        <v>509</v>
      </c>
      <c r="AG110" s="4"/>
    </row>
    <row r="111" ht="15.75" customHeight="1">
      <c r="A111" s="4" t="s">
        <v>510</v>
      </c>
      <c r="B111" s="4" t="s">
        <v>511</v>
      </c>
      <c r="C111" s="4" t="s">
        <v>88</v>
      </c>
      <c r="D111" s="4" t="s">
        <v>89</v>
      </c>
      <c r="E111" s="4" t="s">
        <v>66</v>
      </c>
      <c r="F111" s="7">
        <v>45872.7291666667</v>
      </c>
      <c r="G111" s="4" t="s">
        <v>181</v>
      </c>
      <c r="H111" s="4" t="s">
        <v>59</v>
      </c>
      <c r="I111" s="4" t="s">
        <v>512</v>
      </c>
      <c r="J111" s="4">
        <v>2.0</v>
      </c>
      <c r="K111" s="8">
        <v>36685.0</v>
      </c>
      <c r="L111" s="8">
        <v>36362.0</v>
      </c>
      <c r="M111" s="8">
        <v>323.0</v>
      </c>
      <c r="N111" s="9">
        <f t="shared" si="1"/>
        <v>0.9911953114</v>
      </c>
      <c r="O111" s="8">
        <v>21277.0</v>
      </c>
      <c r="P111" s="8">
        <v>16040.0</v>
      </c>
      <c r="Q111" s="9">
        <f t="shared" si="2"/>
        <v>0.4411198504</v>
      </c>
      <c r="R111" s="8">
        <v>2322.0</v>
      </c>
      <c r="S111" s="8">
        <v>1679.0</v>
      </c>
      <c r="T111" s="9">
        <f t="shared" si="3"/>
        <v>0.04617457786</v>
      </c>
      <c r="U111" s="9">
        <f t="shared" si="4"/>
        <v>0.1046758105</v>
      </c>
      <c r="V111" s="8">
        <v>609.0</v>
      </c>
      <c r="W111" s="8">
        <v>575.0</v>
      </c>
      <c r="X111" s="9">
        <f t="shared" si="5"/>
        <v>0.01581321159</v>
      </c>
      <c r="Y111" s="10">
        <v>38055.25</v>
      </c>
      <c r="Z111" s="10">
        <f t="shared" si="6"/>
        <v>62.48809524</v>
      </c>
      <c r="AA111" s="11">
        <f t="shared" si="7"/>
        <v>1.04656647</v>
      </c>
      <c r="AB111" s="8">
        <v>125.0</v>
      </c>
      <c r="AC111" s="9">
        <f t="shared" si="8"/>
        <v>0.003437654694</v>
      </c>
      <c r="AD111" s="8">
        <v>1.0</v>
      </c>
      <c r="AE111" s="4" t="s">
        <v>227</v>
      </c>
      <c r="AF111" s="4"/>
      <c r="AG111" s="4"/>
    </row>
    <row r="112" ht="15.75" customHeight="1">
      <c r="A112" s="4" t="s">
        <v>513</v>
      </c>
      <c r="B112" s="4" t="s">
        <v>514</v>
      </c>
      <c r="C112" s="4" t="s">
        <v>515</v>
      </c>
      <c r="D112" s="4" t="s">
        <v>81</v>
      </c>
      <c r="E112" s="4" t="s">
        <v>66</v>
      </c>
      <c r="F112" s="7">
        <v>45864.7291666667</v>
      </c>
      <c r="G112" s="4" t="s">
        <v>181</v>
      </c>
      <c r="H112" s="4" t="s">
        <v>105</v>
      </c>
      <c r="I112" s="4" t="s">
        <v>516</v>
      </c>
      <c r="J112" s="4">
        <v>2.0</v>
      </c>
      <c r="K112" s="8">
        <v>71905.0</v>
      </c>
      <c r="L112" s="8">
        <v>71082.0</v>
      </c>
      <c r="M112" s="8">
        <v>823.0</v>
      </c>
      <c r="N112" s="9">
        <f t="shared" si="1"/>
        <v>0.9885543425</v>
      </c>
      <c r="O112" s="8">
        <v>38264.0</v>
      </c>
      <c r="P112" s="8">
        <v>26789.0</v>
      </c>
      <c r="Q112" s="9">
        <f t="shared" si="2"/>
        <v>0.3768745955</v>
      </c>
      <c r="R112" s="8">
        <v>3248.0</v>
      </c>
      <c r="S112" s="8">
        <v>1931.0</v>
      </c>
      <c r="T112" s="9">
        <f t="shared" si="3"/>
        <v>0.0271658085</v>
      </c>
      <c r="U112" s="9">
        <f t="shared" si="4"/>
        <v>0.07208182463</v>
      </c>
      <c r="V112" s="8">
        <v>317.0</v>
      </c>
      <c r="W112" s="8">
        <v>300.0</v>
      </c>
      <c r="X112" s="9">
        <f t="shared" si="5"/>
        <v>0.004220477758</v>
      </c>
      <c r="Y112" s="10">
        <v>24920.7</v>
      </c>
      <c r="Z112" s="10">
        <f t="shared" si="6"/>
        <v>78.61419558</v>
      </c>
      <c r="AA112" s="11">
        <f t="shared" si="7"/>
        <v>0.3505908669</v>
      </c>
      <c r="AB112" s="8">
        <v>188.0</v>
      </c>
      <c r="AC112" s="9">
        <f t="shared" si="8"/>
        <v>0.002644832728</v>
      </c>
      <c r="AD112" s="8">
        <v>14.0</v>
      </c>
      <c r="AE112" s="4" t="s">
        <v>232</v>
      </c>
      <c r="AF112" s="4" t="s">
        <v>381</v>
      </c>
      <c r="AG112" s="4"/>
    </row>
    <row r="113" ht="15.75" customHeight="1">
      <c r="A113" s="4" t="s">
        <v>517</v>
      </c>
      <c r="B113" s="4" t="s">
        <v>518</v>
      </c>
      <c r="C113" s="4" t="s">
        <v>519</v>
      </c>
      <c r="D113" s="4" t="s">
        <v>187</v>
      </c>
      <c r="E113" s="4" t="s">
        <v>66</v>
      </c>
      <c r="F113" s="7">
        <v>45864.6041666667</v>
      </c>
      <c r="G113" s="4" t="s">
        <v>118</v>
      </c>
      <c r="H113" s="4" t="s">
        <v>105</v>
      </c>
      <c r="I113" s="4" t="s">
        <v>520</v>
      </c>
      <c r="J113" s="4">
        <v>2.0</v>
      </c>
      <c r="K113" s="8">
        <v>40981.0</v>
      </c>
      <c r="L113" s="8">
        <v>40714.0</v>
      </c>
      <c r="M113" s="8">
        <v>267.0</v>
      </c>
      <c r="N113" s="9">
        <f t="shared" si="1"/>
        <v>0.9934847856</v>
      </c>
      <c r="O113" s="8">
        <v>17512.0</v>
      </c>
      <c r="P113" s="8">
        <v>12670.0</v>
      </c>
      <c r="Q113" s="9">
        <f t="shared" si="2"/>
        <v>0.3111951663</v>
      </c>
      <c r="R113" s="8">
        <v>806.0</v>
      </c>
      <c r="S113" s="8">
        <v>608.0</v>
      </c>
      <c r="T113" s="9">
        <f t="shared" si="3"/>
        <v>0.01493343813</v>
      </c>
      <c r="U113" s="9">
        <f t="shared" si="4"/>
        <v>0.04798737174</v>
      </c>
      <c r="V113" s="8">
        <v>475.0</v>
      </c>
      <c r="W113" s="8">
        <v>463.0</v>
      </c>
      <c r="X113" s="9">
        <f t="shared" si="5"/>
        <v>0.01137200963</v>
      </c>
      <c r="Y113" s="10">
        <v>31716.65</v>
      </c>
      <c r="Z113" s="10">
        <f t="shared" si="6"/>
        <v>66.77189474</v>
      </c>
      <c r="AA113" s="11">
        <f t="shared" si="7"/>
        <v>0.7790109053</v>
      </c>
      <c r="AB113" s="8">
        <v>99.0</v>
      </c>
      <c r="AC113" s="9">
        <f t="shared" si="8"/>
        <v>0.002431596011</v>
      </c>
      <c r="AD113" s="8">
        <v>11.0</v>
      </c>
      <c r="AE113" s="4" t="s">
        <v>150</v>
      </c>
      <c r="AF113" s="4"/>
      <c r="AG113" s="4"/>
    </row>
    <row r="114" ht="15.75" customHeight="1">
      <c r="A114" s="4" t="s">
        <v>521</v>
      </c>
      <c r="B114" s="4" t="s">
        <v>522</v>
      </c>
      <c r="C114" s="4" t="s">
        <v>154</v>
      </c>
      <c r="D114" s="4" t="s">
        <v>56</v>
      </c>
      <c r="E114" s="4" t="s">
        <v>66</v>
      </c>
      <c r="F114" s="7">
        <v>45863.6666666667</v>
      </c>
      <c r="G114" s="4" t="s">
        <v>74</v>
      </c>
      <c r="H114" s="4" t="s">
        <v>135</v>
      </c>
      <c r="I114" s="4" t="s">
        <v>226</v>
      </c>
      <c r="J114" s="4">
        <v>1.0</v>
      </c>
      <c r="K114" s="8">
        <v>34829.0</v>
      </c>
      <c r="L114" s="8">
        <v>34636.0</v>
      </c>
      <c r="M114" s="8">
        <v>193.0</v>
      </c>
      <c r="N114" s="9">
        <f t="shared" si="1"/>
        <v>0.9944586408</v>
      </c>
      <c r="O114" s="8">
        <v>24344.0</v>
      </c>
      <c r="P114" s="8">
        <v>17889.0</v>
      </c>
      <c r="Q114" s="9">
        <f t="shared" si="2"/>
        <v>0.5164857374</v>
      </c>
      <c r="R114" s="8">
        <v>3248.0</v>
      </c>
      <c r="S114" s="8">
        <v>2181.0</v>
      </c>
      <c r="T114" s="9">
        <f t="shared" si="3"/>
        <v>0.06296916503</v>
      </c>
      <c r="U114" s="9">
        <f t="shared" si="4"/>
        <v>0.1219184974</v>
      </c>
      <c r="V114" s="8">
        <v>681.0</v>
      </c>
      <c r="W114" s="8">
        <v>652.0</v>
      </c>
      <c r="X114" s="9">
        <f t="shared" si="5"/>
        <v>0.01882434461</v>
      </c>
      <c r="Y114" s="10">
        <v>59407.19</v>
      </c>
      <c r="Z114" s="10">
        <f t="shared" si="6"/>
        <v>87.23522761</v>
      </c>
      <c r="AA114" s="11">
        <f t="shared" si="7"/>
        <v>1.715186222</v>
      </c>
      <c r="AB114" s="8">
        <v>121.0</v>
      </c>
      <c r="AC114" s="9">
        <f t="shared" si="8"/>
        <v>0.003493474997</v>
      </c>
      <c r="AD114" s="8">
        <v>6.0</v>
      </c>
      <c r="AE114" s="4" t="s">
        <v>112</v>
      </c>
      <c r="AF114" s="4"/>
      <c r="AG114" s="4"/>
    </row>
    <row r="115" ht="15.75" customHeight="1">
      <c r="A115" s="4" t="s">
        <v>523</v>
      </c>
      <c r="B115" s="4" t="s">
        <v>524</v>
      </c>
      <c r="C115" s="4" t="s">
        <v>525</v>
      </c>
      <c r="D115" s="4" t="s">
        <v>104</v>
      </c>
      <c r="E115" s="4" t="s">
        <v>57</v>
      </c>
      <c r="F115" s="7">
        <v>45858.6666666667</v>
      </c>
      <c r="G115" s="4" t="s">
        <v>74</v>
      </c>
      <c r="H115" s="4" t="s">
        <v>59</v>
      </c>
      <c r="I115" s="4" t="s">
        <v>226</v>
      </c>
      <c r="J115" s="4">
        <v>1.0</v>
      </c>
      <c r="K115" s="8">
        <v>16456.0</v>
      </c>
      <c r="L115" s="8">
        <v>16228.0</v>
      </c>
      <c r="M115" s="8">
        <v>228.0</v>
      </c>
      <c r="N115" s="9">
        <f t="shared" si="1"/>
        <v>0.9861448712</v>
      </c>
      <c r="O115" s="8">
        <v>0.0</v>
      </c>
      <c r="P115" s="8">
        <v>0.0</v>
      </c>
      <c r="Q115" s="9">
        <f t="shared" si="2"/>
        <v>0</v>
      </c>
      <c r="R115" s="8">
        <v>2365.0</v>
      </c>
      <c r="S115" s="8">
        <v>1932.0</v>
      </c>
      <c r="T115" s="9">
        <f t="shared" si="3"/>
        <v>0.1190534878</v>
      </c>
      <c r="U115" s="9">
        <f t="shared" si="4"/>
        <v>0</v>
      </c>
      <c r="V115" s="8">
        <v>551.0</v>
      </c>
      <c r="W115" s="8">
        <v>529.0</v>
      </c>
      <c r="X115" s="9">
        <f t="shared" si="5"/>
        <v>0.0325979788</v>
      </c>
      <c r="Y115" s="10">
        <v>42029.84</v>
      </c>
      <c r="Z115" s="10">
        <f t="shared" si="6"/>
        <v>76.27920145</v>
      </c>
      <c r="AA115" s="11">
        <f t="shared" si="7"/>
        <v>2.589958097</v>
      </c>
      <c r="AB115" s="8">
        <v>121.0</v>
      </c>
      <c r="AC115" s="9">
        <f t="shared" si="8"/>
        <v>0.007456248459</v>
      </c>
      <c r="AD115" s="8">
        <v>0.0</v>
      </c>
      <c r="AE115" s="4" t="s">
        <v>84</v>
      </c>
      <c r="AF115" s="4"/>
      <c r="AG115" s="4"/>
    </row>
    <row r="116" ht="15.75" customHeight="1">
      <c r="A116" s="4" t="s">
        <v>526</v>
      </c>
      <c r="B116" s="4" t="s">
        <v>527</v>
      </c>
      <c r="C116" s="4" t="s">
        <v>407</v>
      </c>
      <c r="D116" s="4" t="s">
        <v>408</v>
      </c>
      <c r="E116" s="4" t="s">
        <v>66</v>
      </c>
      <c r="F116" s="7">
        <v>45858.5416666667</v>
      </c>
      <c r="G116" s="4" t="s">
        <v>163</v>
      </c>
      <c r="H116" s="4" t="s">
        <v>59</v>
      </c>
      <c r="I116" s="4" t="s">
        <v>528</v>
      </c>
      <c r="J116" s="4">
        <v>2.0</v>
      </c>
      <c r="K116" s="8">
        <v>83470.0</v>
      </c>
      <c r="L116" s="8">
        <v>83285.0</v>
      </c>
      <c r="M116" s="8">
        <v>185.0</v>
      </c>
      <c r="N116" s="9">
        <f t="shared" si="1"/>
        <v>0.9977836348</v>
      </c>
      <c r="O116" s="8">
        <v>35075.0</v>
      </c>
      <c r="P116" s="8">
        <v>28408.0</v>
      </c>
      <c r="Q116" s="9">
        <f t="shared" si="2"/>
        <v>0.3410938344</v>
      </c>
      <c r="R116" s="8">
        <v>2209.0</v>
      </c>
      <c r="S116" s="8">
        <v>1584.0</v>
      </c>
      <c r="T116" s="9">
        <f t="shared" si="3"/>
        <v>0.01901903104</v>
      </c>
      <c r="U116" s="9">
        <f t="shared" si="4"/>
        <v>0.05575894114</v>
      </c>
      <c r="V116" s="8">
        <v>285.0</v>
      </c>
      <c r="W116" s="8">
        <v>258.0</v>
      </c>
      <c r="X116" s="9">
        <f t="shared" si="5"/>
        <v>0.003097796722</v>
      </c>
      <c r="Y116" s="10">
        <v>21244.71</v>
      </c>
      <c r="Z116" s="10">
        <f t="shared" si="6"/>
        <v>74.54284211</v>
      </c>
      <c r="AA116" s="11">
        <f t="shared" si="7"/>
        <v>0.255084469</v>
      </c>
      <c r="AB116" s="8">
        <v>276.0</v>
      </c>
      <c r="AC116" s="9">
        <f t="shared" si="8"/>
        <v>0.003313922075</v>
      </c>
      <c r="AD116" s="8">
        <v>17.0</v>
      </c>
      <c r="AE116" s="4" t="s">
        <v>107</v>
      </c>
      <c r="AF116" s="4"/>
      <c r="AG116" s="4"/>
    </row>
    <row r="117" ht="15.75" customHeight="1">
      <c r="A117" s="4" t="s">
        <v>529</v>
      </c>
      <c r="B117" s="4" t="s">
        <v>530</v>
      </c>
      <c r="C117" s="4" t="s">
        <v>88</v>
      </c>
      <c r="D117" s="4" t="s">
        <v>89</v>
      </c>
      <c r="E117" s="4" t="s">
        <v>66</v>
      </c>
      <c r="F117" s="7">
        <v>45851.7291666667</v>
      </c>
      <c r="G117" s="4" t="s">
        <v>181</v>
      </c>
      <c r="H117" s="4" t="s">
        <v>59</v>
      </c>
      <c r="I117" s="4" t="s">
        <v>531</v>
      </c>
      <c r="J117" s="4">
        <v>2.0</v>
      </c>
      <c r="K117" s="8">
        <v>28669.0</v>
      </c>
      <c r="L117" s="8">
        <v>28438.0</v>
      </c>
      <c r="M117" s="8">
        <v>231.0</v>
      </c>
      <c r="N117" s="9">
        <f t="shared" si="1"/>
        <v>0.9919425163</v>
      </c>
      <c r="O117" s="8">
        <v>16715.0</v>
      </c>
      <c r="P117" s="8">
        <v>11223.0</v>
      </c>
      <c r="Q117" s="9">
        <f t="shared" si="2"/>
        <v>0.3946480062</v>
      </c>
      <c r="R117" s="8">
        <v>1142.0</v>
      </c>
      <c r="S117" s="8">
        <v>786.0</v>
      </c>
      <c r="T117" s="9">
        <f t="shared" si="3"/>
        <v>0.02763907448</v>
      </c>
      <c r="U117" s="9">
        <f t="shared" si="4"/>
        <v>0.07003475007</v>
      </c>
      <c r="V117" s="8">
        <v>519.0</v>
      </c>
      <c r="W117" s="8">
        <v>449.0</v>
      </c>
      <c r="X117" s="9">
        <f t="shared" si="5"/>
        <v>0.01578873338</v>
      </c>
      <c r="Y117" s="10">
        <v>25426.71</v>
      </c>
      <c r="Z117" s="10">
        <f t="shared" si="6"/>
        <v>48.9917341</v>
      </c>
      <c r="AA117" s="11">
        <f t="shared" si="7"/>
        <v>0.8941103453</v>
      </c>
      <c r="AB117" s="8">
        <v>82.0</v>
      </c>
      <c r="AC117" s="9">
        <f t="shared" si="8"/>
        <v>0.002883465785</v>
      </c>
      <c r="AD117" s="8">
        <v>7.0</v>
      </c>
      <c r="AE117" s="4" t="s">
        <v>126</v>
      </c>
      <c r="AF117" s="4"/>
      <c r="AG117" s="4"/>
    </row>
    <row r="118" ht="15.75" customHeight="1">
      <c r="A118" s="4" t="s">
        <v>532</v>
      </c>
      <c r="B118" s="4" t="s">
        <v>533</v>
      </c>
      <c r="C118" s="4" t="s">
        <v>133</v>
      </c>
      <c r="D118" s="4" t="s">
        <v>134</v>
      </c>
      <c r="E118" s="4" t="s">
        <v>66</v>
      </c>
      <c r="F118" s="7">
        <v>45849.6041666667</v>
      </c>
      <c r="G118" s="4" t="s">
        <v>118</v>
      </c>
      <c r="H118" s="4" t="s">
        <v>135</v>
      </c>
      <c r="I118" s="4" t="s">
        <v>534</v>
      </c>
      <c r="J118" s="4">
        <v>2.0</v>
      </c>
      <c r="K118" s="8">
        <v>62898.0</v>
      </c>
      <c r="L118" s="8">
        <v>62750.0</v>
      </c>
      <c r="M118" s="8">
        <v>148.0</v>
      </c>
      <c r="N118" s="9">
        <f t="shared" si="1"/>
        <v>0.997646984</v>
      </c>
      <c r="O118" s="8">
        <v>28079.0</v>
      </c>
      <c r="P118" s="8">
        <v>21779.0</v>
      </c>
      <c r="Q118" s="9">
        <f t="shared" si="2"/>
        <v>0.3470756972</v>
      </c>
      <c r="R118" s="8">
        <v>1601.0</v>
      </c>
      <c r="S118" s="8">
        <v>1141.0</v>
      </c>
      <c r="T118" s="9">
        <f t="shared" si="3"/>
        <v>0.01818326693</v>
      </c>
      <c r="U118" s="9">
        <f t="shared" si="4"/>
        <v>0.05238991689</v>
      </c>
      <c r="V118" s="8">
        <v>460.0</v>
      </c>
      <c r="W118" s="8">
        <v>409.0</v>
      </c>
      <c r="X118" s="9">
        <f t="shared" si="5"/>
        <v>0.006517928287</v>
      </c>
      <c r="Y118" s="10">
        <v>37677.77</v>
      </c>
      <c r="Z118" s="10">
        <f t="shared" si="6"/>
        <v>81.90819565</v>
      </c>
      <c r="AA118" s="11">
        <f t="shared" si="7"/>
        <v>0.6004425498</v>
      </c>
      <c r="AB118" s="8">
        <v>236.0</v>
      </c>
      <c r="AC118" s="9">
        <f t="shared" si="8"/>
        <v>0.003760956175</v>
      </c>
      <c r="AD118" s="8">
        <v>15.0</v>
      </c>
      <c r="AE118" s="4" t="s">
        <v>93</v>
      </c>
      <c r="AF118" s="4" t="s">
        <v>321</v>
      </c>
      <c r="AG118" s="4"/>
    </row>
    <row r="119" ht="15.75" customHeight="1">
      <c r="A119" s="4" t="s">
        <v>535</v>
      </c>
      <c r="B119" s="4" t="s">
        <v>536</v>
      </c>
      <c r="C119" s="4" t="s">
        <v>122</v>
      </c>
      <c r="D119" s="4" t="s">
        <v>123</v>
      </c>
      <c r="E119" s="4" t="s">
        <v>66</v>
      </c>
      <c r="F119" s="7">
        <v>45842.7083333333</v>
      </c>
      <c r="G119" s="4" t="s">
        <v>124</v>
      </c>
      <c r="H119" s="4" t="s">
        <v>135</v>
      </c>
      <c r="I119" s="4" t="s">
        <v>537</v>
      </c>
      <c r="J119" s="4">
        <v>3.0</v>
      </c>
      <c r="K119" s="8">
        <v>267970.0</v>
      </c>
      <c r="L119" s="8">
        <v>264417.0</v>
      </c>
      <c r="M119" s="8">
        <v>3553.0</v>
      </c>
      <c r="N119" s="9">
        <f t="shared" si="1"/>
        <v>0.9867410531</v>
      </c>
      <c r="O119" s="8">
        <v>96397.0</v>
      </c>
      <c r="P119" s="8">
        <v>75733.0</v>
      </c>
      <c r="Q119" s="9">
        <f t="shared" si="2"/>
        <v>0.2864150187</v>
      </c>
      <c r="R119" s="8">
        <v>4042.0</v>
      </c>
      <c r="S119" s="8">
        <v>2490.0</v>
      </c>
      <c r="T119" s="9">
        <f t="shared" si="3"/>
        <v>0.009416943691</v>
      </c>
      <c r="U119" s="9">
        <f t="shared" si="4"/>
        <v>0.03287866584</v>
      </c>
      <c r="V119" s="8">
        <v>2546.0</v>
      </c>
      <c r="W119" s="8">
        <v>2444.0</v>
      </c>
      <c r="X119" s="9">
        <f t="shared" si="5"/>
        <v>0.009242976057</v>
      </c>
      <c r="Y119" s="10">
        <v>148162.2</v>
      </c>
      <c r="Z119" s="10">
        <f t="shared" si="6"/>
        <v>58.19410841</v>
      </c>
      <c r="AA119" s="11">
        <f t="shared" si="7"/>
        <v>0.5603353793</v>
      </c>
      <c r="AB119" s="8">
        <v>802.0</v>
      </c>
      <c r="AC119" s="9">
        <f t="shared" si="8"/>
        <v>0.003033087888</v>
      </c>
      <c r="AD119" s="8">
        <v>19.0</v>
      </c>
      <c r="AE119" s="4" t="s">
        <v>137</v>
      </c>
      <c r="AF119" s="4"/>
      <c r="AG119" s="4"/>
    </row>
    <row r="120" ht="15.75" customHeight="1">
      <c r="A120" s="4" t="s">
        <v>538</v>
      </c>
      <c r="B120" s="4" t="s">
        <v>539</v>
      </c>
      <c r="C120" s="4" t="s">
        <v>467</v>
      </c>
      <c r="D120" s="4" t="s">
        <v>104</v>
      </c>
      <c r="E120" s="4" t="s">
        <v>66</v>
      </c>
      <c r="F120" s="7">
        <v>45841.5833333333</v>
      </c>
      <c r="G120" s="4" t="s">
        <v>168</v>
      </c>
      <c r="H120" s="4" t="s">
        <v>75</v>
      </c>
      <c r="I120" s="4" t="s">
        <v>476</v>
      </c>
      <c r="J120" s="4">
        <v>1.0</v>
      </c>
      <c r="K120" s="8">
        <v>267366.0</v>
      </c>
      <c r="L120" s="8">
        <v>265656.0</v>
      </c>
      <c r="M120" s="8">
        <v>1710.0</v>
      </c>
      <c r="N120" s="9">
        <f t="shared" si="1"/>
        <v>0.9936042728</v>
      </c>
      <c r="O120" s="8">
        <v>148056.0</v>
      </c>
      <c r="P120" s="8">
        <v>107282.0</v>
      </c>
      <c r="Q120" s="9">
        <f t="shared" si="2"/>
        <v>0.4038380462</v>
      </c>
      <c r="R120" s="8">
        <v>10969.0</v>
      </c>
      <c r="S120" s="8">
        <v>8355.0</v>
      </c>
      <c r="T120" s="9">
        <f t="shared" si="3"/>
        <v>0.03145044719</v>
      </c>
      <c r="U120" s="9">
        <f t="shared" si="4"/>
        <v>0.07787886132</v>
      </c>
      <c r="V120" s="8">
        <v>3874.0</v>
      </c>
      <c r="W120" s="8">
        <v>3439.0</v>
      </c>
      <c r="X120" s="9">
        <f t="shared" si="5"/>
        <v>0.01294531274</v>
      </c>
      <c r="Y120" s="10">
        <v>264273.84</v>
      </c>
      <c r="Z120" s="10">
        <f t="shared" si="6"/>
        <v>68.21730511</v>
      </c>
      <c r="AA120" s="11">
        <f t="shared" si="7"/>
        <v>0.9947971813</v>
      </c>
      <c r="AB120" s="8">
        <v>917.0</v>
      </c>
      <c r="AC120" s="9">
        <f t="shared" si="8"/>
        <v>0.003451832445</v>
      </c>
      <c r="AD120" s="8">
        <v>28.0</v>
      </c>
      <c r="AE120" s="4" t="s">
        <v>100</v>
      </c>
      <c r="AF120" s="4"/>
      <c r="AG120" s="4"/>
    </row>
    <row r="121" ht="15.75" customHeight="1">
      <c r="A121" s="4" t="s">
        <v>540</v>
      </c>
      <c r="B121" s="4" t="s">
        <v>541</v>
      </c>
      <c r="C121" s="4" t="s">
        <v>64</v>
      </c>
      <c r="D121" s="4" t="s">
        <v>65</v>
      </c>
      <c r="E121" s="4" t="s">
        <v>66</v>
      </c>
      <c r="F121" s="7">
        <v>45834.9166666667</v>
      </c>
      <c r="G121" s="4" t="s">
        <v>67</v>
      </c>
      <c r="H121" s="4" t="s">
        <v>75</v>
      </c>
      <c r="I121" s="4" t="s">
        <v>542</v>
      </c>
      <c r="J121" s="4">
        <v>3.0</v>
      </c>
      <c r="K121" s="8">
        <v>301044.0</v>
      </c>
      <c r="L121" s="8">
        <v>297465.0</v>
      </c>
      <c r="M121" s="8">
        <v>3579.0</v>
      </c>
      <c r="N121" s="9">
        <f t="shared" si="1"/>
        <v>0.9881113724</v>
      </c>
      <c r="O121" s="8">
        <v>192450.0</v>
      </c>
      <c r="P121" s="8">
        <v>146265.0</v>
      </c>
      <c r="Q121" s="9">
        <f t="shared" si="2"/>
        <v>0.4917049065</v>
      </c>
      <c r="R121" s="8">
        <v>22001.0</v>
      </c>
      <c r="S121" s="8">
        <v>13589.0</v>
      </c>
      <c r="T121" s="9">
        <f t="shared" si="3"/>
        <v>0.04568268536</v>
      </c>
      <c r="U121" s="9">
        <f t="shared" si="4"/>
        <v>0.09290671042</v>
      </c>
      <c r="V121" s="8">
        <v>5197.0</v>
      </c>
      <c r="W121" s="8">
        <v>5017.0</v>
      </c>
      <c r="X121" s="9">
        <f t="shared" si="5"/>
        <v>0.01686584976</v>
      </c>
      <c r="Y121" s="10">
        <v>328727.14</v>
      </c>
      <c r="Z121" s="10">
        <f t="shared" si="6"/>
        <v>63.25324995</v>
      </c>
      <c r="AA121" s="11">
        <f t="shared" si="7"/>
        <v>1.105095188</v>
      </c>
      <c r="AB121" s="8">
        <v>524.0</v>
      </c>
      <c r="AC121" s="9">
        <f t="shared" si="8"/>
        <v>0.001761551779</v>
      </c>
      <c r="AD121" s="8">
        <v>32.0</v>
      </c>
      <c r="AE121" s="4" t="s">
        <v>84</v>
      </c>
      <c r="AF121" s="4"/>
      <c r="AG121" s="4"/>
    </row>
    <row r="122" ht="15.75" customHeight="1">
      <c r="A122" s="4" t="s">
        <v>543</v>
      </c>
      <c r="B122" s="4" t="s">
        <v>544</v>
      </c>
      <c r="C122" s="4" t="s">
        <v>545</v>
      </c>
      <c r="D122" s="4" t="s">
        <v>199</v>
      </c>
      <c r="E122" s="4" t="s">
        <v>66</v>
      </c>
      <c r="F122" s="7">
        <v>45833.8958333333</v>
      </c>
      <c r="G122" s="4" t="s">
        <v>142</v>
      </c>
      <c r="H122" s="4" t="s">
        <v>82</v>
      </c>
      <c r="I122" s="4" t="s">
        <v>546</v>
      </c>
      <c r="J122" s="4">
        <v>2.0</v>
      </c>
      <c r="K122" s="8">
        <v>54955.0</v>
      </c>
      <c r="L122" s="8">
        <v>54360.0</v>
      </c>
      <c r="M122" s="8">
        <v>595.0</v>
      </c>
      <c r="N122" s="9">
        <f t="shared" si="1"/>
        <v>0.9891729597</v>
      </c>
      <c r="O122" s="8">
        <v>25492.0</v>
      </c>
      <c r="P122" s="8">
        <v>20287.0</v>
      </c>
      <c r="Q122" s="9">
        <f t="shared" si="2"/>
        <v>0.3731972038</v>
      </c>
      <c r="R122" s="8">
        <v>2337.0</v>
      </c>
      <c r="S122" s="8">
        <v>1474.0</v>
      </c>
      <c r="T122" s="9">
        <f t="shared" si="3"/>
        <v>0.02711552612</v>
      </c>
      <c r="U122" s="9">
        <f t="shared" si="4"/>
        <v>0.07265736679</v>
      </c>
      <c r="V122" s="8">
        <v>731.0</v>
      </c>
      <c r="W122" s="8">
        <v>695.0</v>
      </c>
      <c r="X122" s="9">
        <f t="shared" si="5"/>
        <v>0.01278513613</v>
      </c>
      <c r="Y122" s="10">
        <v>45274.95</v>
      </c>
      <c r="Z122" s="10">
        <f t="shared" si="6"/>
        <v>61.93563611</v>
      </c>
      <c r="AA122" s="11">
        <f t="shared" si="7"/>
        <v>0.8328725166</v>
      </c>
      <c r="AB122" s="8">
        <v>168.0</v>
      </c>
      <c r="AC122" s="9">
        <f t="shared" si="8"/>
        <v>0.003090507726</v>
      </c>
      <c r="AD122" s="8">
        <v>11.0</v>
      </c>
      <c r="AE122" s="4" t="s">
        <v>137</v>
      </c>
      <c r="AF122" s="4"/>
      <c r="AG122" s="4"/>
    </row>
    <row r="123" ht="15.75" customHeight="1">
      <c r="A123" s="4" t="s">
        <v>547</v>
      </c>
      <c r="B123" s="4" t="s">
        <v>548</v>
      </c>
      <c r="C123" s="4" t="s">
        <v>286</v>
      </c>
      <c r="D123" s="4" t="s">
        <v>199</v>
      </c>
      <c r="E123" s="4" t="s">
        <v>66</v>
      </c>
      <c r="F123" s="7">
        <v>45830.9166666667</v>
      </c>
      <c r="G123" s="4" t="s">
        <v>67</v>
      </c>
      <c r="H123" s="4" t="s">
        <v>59</v>
      </c>
      <c r="I123" s="4" t="s">
        <v>226</v>
      </c>
      <c r="J123" s="4">
        <v>1.0</v>
      </c>
      <c r="K123" s="8">
        <v>36319.0</v>
      </c>
      <c r="L123" s="8">
        <v>35927.0</v>
      </c>
      <c r="M123" s="8">
        <v>392.0</v>
      </c>
      <c r="N123" s="9">
        <f t="shared" si="1"/>
        <v>0.9892067513</v>
      </c>
      <c r="O123" s="8">
        <v>15304.0</v>
      </c>
      <c r="P123" s="8">
        <v>12221.0</v>
      </c>
      <c r="Q123" s="9">
        <f t="shared" si="2"/>
        <v>0.3401619952</v>
      </c>
      <c r="R123" s="8">
        <v>970.0</v>
      </c>
      <c r="S123" s="8">
        <v>581.0</v>
      </c>
      <c r="T123" s="9">
        <f t="shared" si="3"/>
        <v>0.01617168147</v>
      </c>
      <c r="U123" s="9">
        <f t="shared" si="4"/>
        <v>0.04754111775</v>
      </c>
      <c r="V123" s="8">
        <v>627.0</v>
      </c>
      <c r="W123" s="8">
        <v>593.0</v>
      </c>
      <c r="X123" s="9">
        <f t="shared" si="5"/>
        <v>0.0165056921</v>
      </c>
      <c r="Y123" s="10">
        <v>44672.89</v>
      </c>
      <c r="Z123" s="10">
        <f t="shared" si="6"/>
        <v>71.24862839</v>
      </c>
      <c r="AA123" s="11">
        <f t="shared" si="7"/>
        <v>1.243435021</v>
      </c>
      <c r="AB123" s="8">
        <v>115.0</v>
      </c>
      <c r="AC123" s="9">
        <f t="shared" si="8"/>
        <v>0.00320093523</v>
      </c>
      <c r="AD123" s="8">
        <v>5.0</v>
      </c>
      <c r="AE123" s="4" t="s">
        <v>232</v>
      </c>
      <c r="AF123" s="4"/>
      <c r="AG123" s="4"/>
    </row>
    <row r="124" ht="15.75" customHeight="1">
      <c r="A124" s="4" t="s">
        <v>549</v>
      </c>
      <c r="B124" s="4" t="s">
        <v>550</v>
      </c>
      <c r="C124" s="4" t="s">
        <v>551</v>
      </c>
      <c r="D124" s="4" t="s">
        <v>97</v>
      </c>
      <c r="E124" s="4" t="s">
        <v>66</v>
      </c>
      <c r="F124" s="7">
        <v>45830.9166666667</v>
      </c>
      <c r="G124" s="4" t="s">
        <v>67</v>
      </c>
      <c r="H124" s="4" t="s">
        <v>59</v>
      </c>
      <c r="I124" s="4" t="s">
        <v>552</v>
      </c>
      <c r="J124" s="4">
        <v>2.0</v>
      </c>
      <c r="K124" s="8">
        <v>48224.0</v>
      </c>
      <c r="L124" s="8">
        <v>47783.0</v>
      </c>
      <c r="M124" s="8">
        <v>441.0</v>
      </c>
      <c r="N124" s="9">
        <f t="shared" si="1"/>
        <v>0.9908551758</v>
      </c>
      <c r="O124" s="8">
        <v>26939.0</v>
      </c>
      <c r="P124" s="8">
        <v>19380.0</v>
      </c>
      <c r="Q124" s="9">
        <f t="shared" si="2"/>
        <v>0.4055835757</v>
      </c>
      <c r="R124" s="8">
        <v>2563.0</v>
      </c>
      <c r="S124" s="8">
        <v>1904.0</v>
      </c>
      <c r="T124" s="9">
        <f t="shared" si="3"/>
        <v>0.03984680744</v>
      </c>
      <c r="U124" s="9">
        <f t="shared" si="4"/>
        <v>0.09824561404</v>
      </c>
      <c r="V124" s="8">
        <v>551.0</v>
      </c>
      <c r="W124" s="8">
        <v>488.0</v>
      </c>
      <c r="X124" s="9">
        <f t="shared" si="5"/>
        <v>0.0102128372</v>
      </c>
      <c r="Y124" s="10">
        <v>51034.05</v>
      </c>
      <c r="Z124" s="10">
        <f t="shared" si="6"/>
        <v>92.6207804</v>
      </c>
      <c r="AA124" s="11">
        <f t="shared" si="7"/>
        <v>1.068037796</v>
      </c>
      <c r="AB124" s="8">
        <v>85.0</v>
      </c>
      <c r="AC124" s="9">
        <f t="shared" si="8"/>
        <v>0.001778875332</v>
      </c>
      <c r="AD124" s="8">
        <v>13.0</v>
      </c>
      <c r="AE124" s="4" t="s">
        <v>232</v>
      </c>
      <c r="AF124" s="4"/>
      <c r="AG124" s="4"/>
    </row>
    <row r="125" ht="15.75" customHeight="1">
      <c r="A125" s="4" t="s">
        <v>553</v>
      </c>
      <c r="B125" s="4" t="s">
        <v>554</v>
      </c>
      <c r="C125" s="4" t="s">
        <v>555</v>
      </c>
      <c r="D125" s="4" t="s">
        <v>56</v>
      </c>
      <c r="E125" s="4" t="s">
        <v>66</v>
      </c>
      <c r="F125" s="7">
        <v>45829.875</v>
      </c>
      <c r="G125" s="4" t="s">
        <v>155</v>
      </c>
      <c r="H125" s="4" t="s">
        <v>105</v>
      </c>
      <c r="I125" s="4" t="s">
        <v>556</v>
      </c>
      <c r="J125" s="4">
        <v>4.0</v>
      </c>
      <c r="K125" s="8">
        <v>124807.0</v>
      </c>
      <c r="L125" s="8">
        <v>123317.0</v>
      </c>
      <c r="M125" s="8">
        <v>1490.0</v>
      </c>
      <c r="N125" s="9">
        <f t="shared" si="1"/>
        <v>0.9880615671</v>
      </c>
      <c r="O125" s="8">
        <v>67230.0</v>
      </c>
      <c r="P125" s="8">
        <v>48244.0</v>
      </c>
      <c r="Q125" s="9">
        <f t="shared" si="2"/>
        <v>0.3912193777</v>
      </c>
      <c r="R125" s="8">
        <v>7460.0</v>
      </c>
      <c r="S125" s="8">
        <v>4204.0</v>
      </c>
      <c r="T125" s="9">
        <f t="shared" si="3"/>
        <v>0.03409100124</v>
      </c>
      <c r="U125" s="9">
        <f t="shared" si="4"/>
        <v>0.08714036979</v>
      </c>
      <c r="V125" s="8">
        <v>1539.0</v>
      </c>
      <c r="W125" s="8">
        <v>1338.0</v>
      </c>
      <c r="X125" s="9">
        <f t="shared" si="5"/>
        <v>0.01085008555</v>
      </c>
      <c r="Y125" s="10">
        <v>127697.67</v>
      </c>
      <c r="Z125" s="10">
        <f t="shared" si="6"/>
        <v>82.97444444</v>
      </c>
      <c r="AA125" s="11">
        <f t="shared" si="7"/>
        <v>1.03552365</v>
      </c>
      <c r="AB125" s="8">
        <v>221.0</v>
      </c>
      <c r="AC125" s="9">
        <f t="shared" si="8"/>
        <v>0.001792129228</v>
      </c>
      <c r="AD125" s="8">
        <v>17.0</v>
      </c>
      <c r="AE125" s="4" t="s">
        <v>227</v>
      </c>
      <c r="AF125" s="4"/>
      <c r="AG125" s="4"/>
    </row>
    <row r="126" ht="15.75" customHeight="1">
      <c r="A126" s="4" t="s">
        <v>557</v>
      </c>
      <c r="B126" s="4" t="s">
        <v>558</v>
      </c>
      <c r="C126" s="4" t="s">
        <v>559</v>
      </c>
      <c r="D126" s="4" t="s">
        <v>81</v>
      </c>
      <c r="E126" s="4" t="s">
        <v>66</v>
      </c>
      <c r="F126" s="7">
        <v>45829.6875</v>
      </c>
      <c r="G126" s="4" t="s">
        <v>384</v>
      </c>
      <c r="H126" s="4" t="s">
        <v>105</v>
      </c>
      <c r="I126" s="4" t="s">
        <v>560</v>
      </c>
      <c r="J126" s="4">
        <v>3.0</v>
      </c>
      <c r="K126" s="8">
        <v>77814.0</v>
      </c>
      <c r="L126" s="8">
        <v>77034.0</v>
      </c>
      <c r="M126" s="8">
        <v>780.0</v>
      </c>
      <c r="N126" s="9">
        <f t="shared" si="1"/>
        <v>0.9899760968</v>
      </c>
      <c r="O126" s="8">
        <v>40084.0</v>
      </c>
      <c r="P126" s="8">
        <v>30235.0</v>
      </c>
      <c r="Q126" s="9">
        <f t="shared" si="2"/>
        <v>0.3924890308</v>
      </c>
      <c r="R126" s="8">
        <v>5017.0</v>
      </c>
      <c r="S126" s="8">
        <v>2954.0</v>
      </c>
      <c r="T126" s="9">
        <f t="shared" si="3"/>
        <v>0.03834670405</v>
      </c>
      <c r="U126" s="9">
        <f t="shared" si="4"/>
        <v>0.09770133951</v>
      </c>
      <c r="V126" s="8">
        <v>292.0</v>
      </c>
      <c r="W126" s="8">
        <v>285.0</v>
      </c>
      <c r="X126" s="9">
        <f t="shared" si="5"/>
        <v>0.003699665083</v>
      </c>
      <c r="Y126" s="10">
        <v>26535.44</v>
      </c>
      <c r="Z126" s="10">
        <f t="shared" si="6"/>
        <v>90.87479452</v>
      </c>
      <c r="AA126" s="11">
        <f t="shared" si="7"/>
        <v>0.3444640029</v>
      </c>
      <c r="AB126" s="8">
        <v>43.0</v>
      </c>
      <c r="AC126" s="9">
        <f t="shared" si="8"/>
        <v>0.0005581950827</v>
      </c>
      <c r="AD126" s="8">
        <v>9.0</v>
      </c>
      <c r="AE126" s="4" t="s">
        <v>232</v>
      </c>
      <c r="AF126" s="4" t="s">
        <v>283</v>
      </c>
      <c r="AG126" s="4"/>
    </row>
    <row r="127" ht="15.75" customHeight="1">
      <c r="A127" s="4" t="s">
        <v>561</v>
      </c>
      <c r="B127" s="4" t="s">
        <v>562</v>
      </c>
      <c r="C127" s="4" t="s">
        <v>122</v>
      </c>
      <c r="D127" s="4" t="s">
        <v>123</v>
      </c>
      <c r="E127" s="4" t="s">
        <v>66</v>
      </c>
      <c r="F127" s="7">
        <v>45829.5416666667</v>
      </c>
      <c r="G127" s="4" t="s">
        <v>163</v>
      </c>
      <c r="H127" s="4" t="s">
        <v>105</v>
      </c>
      <c r="I127" s="4" t="s">
        <v>563</v>
      </c>
      <c r="J127" s="4">
        <v>2.0</v>
      </c>
      <c r="K127" s="8">
        <v>40907.0</v>
      </c>
      <c r="L127" s="8">
        <v>40427.0</v>
      </c>
      <c r="M127" s="8">
        <v>480.0</v>
      </c>
      <c r="N127" s="9">
        <f t="shared" si="1"/>
        <v>0.9882660669</v>
      </c>
      <c r="O127" s="8">
        <v>19583.0</v>
      </c>
      <c r="P127" s="8">
        <v>13427.0</v>
      </c>
      <c r="Q127" s="9">
        <f t="shared" si="2"/>
        <v>0.3321295174</v>
      </c>
      <c r="R127" s="8">
        <v>549.0</v>
      </c>
      <c r="S127" s="8">
        <v>412.0</v>
      </c>
      <c r="T127" s="9">
        <f t="shared" si="3"/>
        <v>0.01019120885</v>
      </c>
      <c r="U127" s="9">
        <f t="shared" si="4"/>
        <v>0.0306844418</v>
      </c>
      <c r="V127" s="8">
        <v>305.0</v>
      </c>
      <c r="W127" s="8">
        <v>282.0</v>
      </c>
      <c r="X127" s="9">
        <f t="shared" si="5"/>
        <v>0.006975536152</v>
      </c>
      <c r="Y127" s="10">
        <v>21352.6</v>
      </c>
      <c r="Z127" s="10">
        <f t="shared" si="6"/>
        <v>70.00852459</v>
      </c>
      <c r="AA127" s="11">
        <f t="shared" si="7"/>
        <v>0.5281767136</v>
      </c>
      <c r="AB127" s="8">
        <v>41.0</v>
      </c>
      <c r="AC127" s="9">
        <f t="shared" si="8"/>
        <v>0.001014173696</v>
      </c>
      <c r="AD127" s="8">
        <v>9.0</v>
      </c>
      <c r="AE127" s="4" t="s">
        <v>84</v>
      </c>
      <c r="AF127" s="4"/>
      <c r="AG127" s="4"/>
    </row>
    <row r="128" ht="15.75" customHeight="1">
      <c r="A128" s="4" t="s">
        <v>564</v>
      </c>
      <c r="B128" s="4" t="s">
        <v>565</v>
      </c>
      <c r="C128" s="4" t="s">
        <v>399</v>
      </c>
      <c r="D128" s="4" t="s">
        <v>73</v>
      </c>
      <c r="E128" s="4" t="s">
        <v>66</v>
      </c>
      <c r="F128" s="7">
        <v>45827.6875</v>
      </c>
      <c r="G128" s="4" t="s">
        <v>384</v>
      </c>
      <c r="H128" s="4" t="s">
        <v>75</v>
      </c>
      <c r="I128" s="4" t="s">
        <v>566</v>
      </c>
      <c r="J128" s="4">
        <v>3.0</v>
      </c>
      <c r="K128" s="8">
        <v>114304.0</v>
      </c>
      <c r="L128" s="8">
        <v>113000.0</v>
      </c>
      <c r="M128" s="8">
        <v>1304.0</v>
      </c>
      <c r="N128" s="9">
        <f t="shared" si="1"/>
        <v>0.9885918253</v>
      </c>
      <c r="O128" s="8">
        <v>61356.0</v>
      </c>
      <c r="P128" s="8">
        <v>44562.0</v>
      </c>
      <c r="Q128" s="9">
        <f t="shared" si="2"/>
        <v>0.3943539823</v>
      </c>
      <c r="R128" s="8">
        <v>4528.0</v>
      </c>
      <c r="S128" s="8">
        <v>2833.0</v>
      </c>
      <c r="T128" s="9">
        <f t="shared" si="3"/>
        <v>0.02507079646</v>
      </c>
      <c r="U128" s="9">
        <f t="shared" si="4"/>
        <v>0.06357434586</v>
      </c>
      <c r="V128" s="8">
        <v>1337.0</v>
      </c>
      <c r="W128" s="8">
        <v>1281.0</v>
      </c>
      <c r="X128" s="9">
        <f t="shared" si="5"/>
        <v>0.01133628319</v>
      </c>
      <c r="Y128" s="10">
        <v>97911.41</v>
      </c>
      <c r="Z128" s="10">
        <f t="shared" si="6"/>
        <v>73.23216904</v>
      </c>
      <c r="AA128" s="11">
        <f t="shared" si="7"/>
        <v>0.8664726549</v>
      </c>
      <c r="AB128" s="8">
        <v>199.0</v>
      </c>
      <c r="AC128" s="9">
        <f t="shared" si="8"/>
        <v>0.001761061947</v>
      </c>
      <c r="AD128" s="8">
        <v>11.0</v>
      </c>
      <c r="AE128" s="4" t="s">
        <v>126</v>
      </c>
      <c r="AF128" s="4"/>
      <c r="AG128" s="4"/>
    </row>
    <row r="129" ht="15.75" customHeight="1">
      <c r="A129" s="4" t="s">
        <v>567</v>
      </c>
      <c r="B129" s="4" t="s">
        <v>568</v>
      </c>
      <c r="C129" s="4" t="s">
        <v>569</v>
      </c>
      <c r="D129" s="4" t="s">
        <v>56</v>
      </c>
      <c r="E129" s="4" t="s">
        <v>57</v>
      </c>
      <c r="F129" s="7">
        <v>45821.6666666667</v>
      </c>
      <c r="G129" s="4" t="s">
        <v>74</v>
      </c>
      <c r="H129" s="4" t="s">
        <v>135</v>
      </c>
      <c r="I129" s="4" t="s">
        <v>468</v>
      </c>
      <c r="J129" s="4">
        <v>1.0</v>
      </c>
      <c r="K129" s="8">
        <v>8239.0</v>
      </c>
      <c r="L129" s="8">
        <v>7828.0</v>
      </c>
      <c r="M129" s="8">
        <v>411.0</v>
      </c>
      <c r="N129" s="9">
        <f t="shared" si="1"/>
        <v>0.9501153053</v>
      </c>
      <c r="O129" s="8">
        <v>0.0</v>
      </c>
      <c r="P129" s="8">
        <v>0.0</v>
      </c>
      <c r="Q129" s="9">
        <f t="shared" si="2"/>
        <v>0</v>
      </c>
      <c r="R129" s="8">
        <v>1111.0</v>
      </c>
      <c r="S129" s="8">
        <v>999.0</v>
      </c>
      <c r="T129" s="9">
        <f t="shared" si="3"/>
        <v>0.1276188043</v>
      </c>
      <c r="U129" s="9">
        <f t="shared" si="4"/>
        <v>0</v>
      </c>
      <c r="V129" s="8">
        <v>224.0</v>
      </c>
      <c r="W129" s="8">
        <v>202.0</v>
      </c>
      <c r="X129" s="9">
        <f t="shared" si="5"/>
        <v>0.02580480327</v>
      </c>
      <c r="Y129" s="10">
        <v>19507.97</v>
      </c>
      <c r="Z129" s="10">
        <f t="shared" si="6"/>
        <v>87.08915179</v>
      </c>
      <c r="AA129" s="11">
        <f t="shared" si="7"/>
        <v>2.492075881</v>
      </c>
      <c r="AB129" s="8">
        <v>32.0</v>
      </c>
      <c r="AC129" s="9">
        <f t="shared" si="8"/>
        <v>0.004087889627</v>
      </c>
      <c r="AD129" s="8">
        <v>0.0</v>
      </c>
      <c r="AE129" s="4" t="s">
        <v>77</v>
      </c>
      <c r="AF129" s="4"/>
      <c r="AG129" s="4"/>
    </row>
    <row r="130" ht="15.75" customHeight="1">
      <c r="A130" s="4" t="s">
        <v>570</v>
      </c>
      <c r="B130" s="4" t="s">
        <v>571</v>
      </c>
      <c r="C130" s="4" t="s">
        <v>88</v>
      </c>
      <c r="D130" s="4" t="s">
        <v>89</v>
      </c>
      <c r="E130" s="4" t="s">
        <v>66</v>
      </c>
      <c r="F130" s="7">
        <v>45816.7291666667</v>
      </c>
      <c r="G130" s="4" t="s">
        <v>181</v>
      </c>
      <c r="H130" s="4" t="s">
        <v>59</v>
      </c>
      <c r="I130" s="4" t="s">
        <v>572</v>
      </c>
      <c r="J130" s="4">
        <v>2.0</v>
      </c>
      <c r="K130" s="8">
        <v>184355.0</v>
      </c>
      <c r="L130" s="8">
        <v>181699.0</v>
      </c>
      <c r="M130" s="8">
        <v>2656.0</v>
      </c>
      <c r="N130" s="9">
        <f t="shared" si="1"/>
        <v>0.9855930135</v>
      </c>
      <c r="O130" s="8">
        <v>98975.0</v>
      </c>
      <c r="P130" s="8">
        <v>74966.0</v>
      </c>
      <c r="Q130" s="9">
        <f t="shared" si="2"/>
        <v>0.4125834485</v>
      </c>
      <c r="R130" s="8">
        <v>13540.0</v>
      </c>
      <c r="S130" s="8">
        <v>7813.0</v>
      </c>
      <c r="T130" s="9">
        <f t="shared" si="3"/>
        <v>0.04299968629</v>
      </c>
      <c r="U130" s="9">
        <f t="shared" si="4"/>
        <v>0.10422058</v>
      </c>
      <c r="V130" s="8">
        <v>5259.0</v>
      </c>
      <c r="W130" s="8">
        <v>4682.0</v>
      </c>
      <c r="X130" s="9">
        <f t="shared" si="5"/>
        <v>0.02576789085</v>
      </c>
      <c r="Y130" s="10">
        <v>251511.65</v>
      </c>
      <c r="Z130" s="10">
        <f t="shared" si="6"/>
        <v>47.82499525</v>
      </c>
      <c r="AA130" s="11">
        <f t="shared" si="7"/>
        <v>1.384221432</v>
      </c>
      <c r="AB130" s="8">
        <v>381.0</v>
      </c>
      <c r="AC130" s="9">
        <f t="shared" si="8"/>
        <v>0.002096874501</v>
      </c>
      <c r="AD130" s="8">
        <v>22.0</v>
      </c>
      <c r="AE130" s="4" t="s">
        <v>107</v>
      </c>
      <c r="AF130" s="4"/>
      <c r="AG130" s="4"/>
    </row>
    <row r="131" ht="15.75" customHeight="1">
      <c r="A131" s="4" t="s">
        <v>573</v>
      </c>
      <c r="B131" s="4" t="s">
        <v>574</v>
      </c>
      <c r="C131" s="4" t="s">
        <v>575</v>
      </c>
      <c r="D131" s="4" t="s">
        <v>187</v>
      </c>
      <c r="E131" s="4" t="s">
        <v>66</v>
      </c>
      <c r="F131" s="7">
        <v>45816.5625</v>
      </c>
      <c r="G131" s="4" t="s">
        <v>148</v>
      </c>
      <c r="H131" s="4" t="s">
        <v>59</v>
      </c>
      <c r="I131" s="4" t="s">
        <v>576</v>
      </c>
      <c r="J131" s="4">
        <v>2.0</v>
      </c>
      <c r="K131" s="8">
        <v>57586.0</v>
      </c>
      <c r="L131" s="8">
        <v>57178.0</v>
      </c>
      <c r="M131" s="8">
        <v>408.0</v>
      </c>
      <c r="N131" s="9">
        <f t="shared" si="1"/>
        <v>0.9929149446</v>
      </c>
      <c r="O131" s="8">
        <v>27277.0</v>
      </c>
      <c r="P131" s="8">
        <v>19182.0</v>
      </c>
      <c r="Q131" s="9">
        <f t="shared" si="2"/>
        <v>0.3354786806</v>
      </c>
      <c r="R131" s="8">
        <v>1707.0</v>
      </c>
      <c r="S131" s="8">
        <v>1216.0</v>
      </c>
      <c r="T131" s="9">
        <f t="shared" si="3"/>
        <v>0.02126692084</v>
      </c>
      <c r="U131" s="9">
        <f t="shared" si="4"/>
        <v>0.06339276405</v>
      </c>
      <c r="V131" s="8">
        <v>2212.0</v>
      </c>
      <c r="W131" s="8">
        <v>585.0</v>
      </c>
      <c r="X131" s="9">
        <f t="shared" si="5"/>
        <v>0.01023120781</v>
      </c>
      <c r="Y131" s="10">
        <v>162633.31</v>
      </c>
      <c r="Z131" s="10">
        <f t="shared" si="6"/>
        <v>73.5231962</v>
      </c>
      <c r="AA131" s="11">
        <f t="shared" si="7"/>
        <v>2.84433366</v>
      </c>
      <c r="AB131" s="8">
        <v>63.0</v>
      </c>
      <c r="AC131" s="9">
        <f t="shared" si="8"/>
        <v>0.001101822379</v>
      </c>
      <c r="AD131" s="8">
        <v>2.0</v>
      </c>
      <c r="AE131" s="4" t="s">
        <v>126</v>
      </c>
      <c r="AF131" s="4"/>
      <c r="AG131" s="4"/>
    </row>
    <row r="132" ht="15.75" customHeight="1">
      <c r="A132" s="4" t="s">
        <v>577</v>
      </c>
      <c r="B132" s="4" t="s">
        <v>578</v>
      </c>
      <c r="C132" s="4" t="s">
        <v>88</v>
      </c>
      <c r="D132" s="4" t="s">
        <v>89</v>
      </c>
      <c r="E132" s="4" t="s">
        <v>66</v>
      </c>
      <c r="F132" s="7">
        <v>45816.5625</v>
      </c>
      <c r="G132" s="4" t="s">
        <v>148</v>
      </c>
      <c r="H132" s="4" t="s">
        <v>59</v>
      </c>
      <c r="I132" s="4" t="s">
        <v>579</v>
      </c>
      <c r="J132" s="4">
        <v>2.0</v>
      </c>
      <c r="K132" s="8">
        <v>283215.0</v>
      </c>
      <c r="L132" s="8">
        <v>279836.0</v>
      </c>
      <c r="M132" s="8">
        <v>3379.0</v>
      </c>
      <c r="N132" s="9">
        <f t="shared" si="1"/>
        <v>0.9880691348</v>
      </c>
      <c r="O132" s="8">
        <v>151638.0</v>
      </c>
      <c r="P132" s="8">
        <v>108287.0</v>
      </c>
      <c r="Q132" s="9">
        <f t="shared" si="2"/>
        <v>0.3869659372</v>
      </c>
      <c r="R132" s="8">
        <v>12436.0</v>
      </c>
      <c r="S132" s="8">
        <v>9013.0</v>
      </c>
      <c r="T132" s="9">
        <f t="shared" si="3"/>
        <v>0.03220815049</v>
      </c>
      <c r="U132" s="9">
        <f t="shared" si="4"/>
        <v>0.08323252099</v>
      </c>
      <c r="V132" s="8">
        <v>7635.0</v>
      </c>
      <c r="W132" s="8">
        <v>7405.0</v>
      </c>
      <c r="X132" s="9">
        <f t="shared" si="5"/>
        <v>0.0264619277</v>
      </c>
      <c r="Y132" s="10">
        <v>465369.95</v>
      </c>
      <c r="Z132" s="10">
        <f t="shared" si="6"/>
        <v>60.9521873</v>
      </c>
      <c r="AA132" s="11">
        <f t="shared" si="7"/>
        <v>1.663009584</v>
      </c>
      <c r="AB132" s="8">
        <v>893.0</v>
      </c>
      <c r="AC132" s="9">
        <f t="shared" si="8"/>
        <v>0.003191154819</v>
      </c>
      <c r="AD132" s="8">
        <v>59.0</v>
      </c>
      <c r="AE132" s="4" t="s">
        <v>77</v>
      </c>
      <c r="AF132" s="4"/>
      <c r="AG132" s="4"/>
    </row>
    <row r="133" ht="15.75" customHeight="1">
      <c r="A133" s="4" t="s">
        <v>580</v>
      </c>
      <c r="B133" s="4" t="s">
        <v>581</v>
      </c>
      <c r="C133" s="4" t="s">
        <v>582</v>
      </c>
      <c r="D133" s="4" t="s">
        <v>408</v>
      </c>
      <c r="E133" s="4" t="s">
        <v>66</v>
      </c>
      <c r="F133" s="7">
        <v>45813.8333333333</v>
      </c>
      <c r="G133" s="4" t="s">
        <v>188</v>
      </c>
      <c r="H133" s="4" t="s">
        <v>75</v>
      </c>
      <c r="I133" s="4" t="s">
        <v>583</v>
      </c>
      <c r="J133" s="4">
        <v>2.0</v>
      </c>
      <c r="K133" s="8">
        <v>160691.0</v>
      </c>
      <c r="L133" s="8">
        <v>159292.0</v>
      </c>
      <c r="M133" s="8">
        <v>1399.0</v>
      </c>
      <c r="N133" s="9">
        <f t="shared" si="1"/>
        <v>0.9912938497</v>
      </c>
      <c r="O133" s="8">
        <v>66036.0</v>
      </c>
      <c r="P133" s="8">
        <v>53992.0</v>
      </c>
      <c r="Q133" s="9">
        <f t="shared" si="2"/>
        <v>0.3389498531</v>
      </c>
      <c r="R133" s="8">
        <v>2941.0</v>
      </c>
      <c r="S133" s="8">
        <v>2067.0</v>
      </c>
      <c r="T133" s="9">
        <f t="shared" si="3"/>
        <v>0.01297616955</v>
      </c>
      <c r="U133" s="9">
        <f t="shared" si="4"/>
        <v>0.0382834494</v>
      </c>
      <c r="V133" s="8">
        <v>998.0</v>
      </c>
      <c r="W133" s="8">
        <v>925.0</v>
      </c>
      <c r="X133" s="9">
        <f t="shared" si="5"/>
        <v>0.005806945735</v>
      </c>
      <c r="Y133" s="10">
        <v>67197.37</v>
      </c>
      <c r="Z133" s="10">
        <f t="shared" si="6"/>
        <v>67.33203407</v>
      </c>
      <c r="AA133" s="11">
        <f t="shared" si="7"/>
        <v>0.4218502499</v>
      </c>
      <c r="AB133" s="8">
        <v>139.0</v>
      </c>
      <c r="AC133" s="9">
        <f t="shared" si="8"/>
        <v>0.000872611305</v>
      </c>
      <c r="AD133" s="8">
        <v>16.0</v>
      </c>
      <c r="AE133" s="4" t="s">
        <v>77</v>
      </c>
      <c r="AF133" s="4"/>
      <c r="AG133" s="4"/>
    </row>
    <row r="134" ht="15.75" customHeight="1">
      <c r="A134" s="4" t="s">
        <v>584</v>
      </c>
      <c r="B134" s="4" t="s">
        <v>585</v>
      </c>
      <c r="C134" s="4" t="s">
        <v>586</v>
      </c>
      <c r="D134" s="4" t="s">
        <v>104</v>
      </c>
      <c r="E134" s="4" t="s">
        <v>66</v>
      </c>
      <c r="F134" s="7">
        <v>45811.5416666667</v>
      </c>
      <c r="G134" s="4" t="s">
        <v>163</v>
      </c>
      <c r="H134" s="4" t="s">
        <v>91</v>
      </c>
      <c r="I134" s="4" t="s">
        <v>587</v>
      </c>
      <c r="J134" s="4">
        <v>1.0</v>
      </c>
      <c r="K134" s="8">
        <v>26302.0</v>
      </c>
      <c r="L134" s="8">
        <v>26087.0</v>
      </c>
      <c r="M134" s="8">
        <v>215.0</v>
      </c>
      <c r="N134" s="9">
        <f t="shared" si="1"/>
        <v>0.9918257167</v>
      </c>
      <c r="O134" s="8">
        <v>13736.0</v>
      </c>
      <c r="P134" s="8">
        <v>9940.0</v>
      </c>
      <c r="Q134" s="9">
        <f t="shared" si="2"/>
        <v>0.3810326983</v>
      </c>
      <c r="R134" s="8">
        <v>2129.0</v>
      </c>
      <c r="S134" s="8">
        <v>1207.0</v>
      </c>
      <c r="T134" s="9">
        <f t="shared" si="3"/>
        <v>0.04626825622</v>
      </c>
      <c r="U134" s="9">
        <f t="shared" si="4"/>
        <v>0.1214285714</v>
      </c>
      <c r="V134" s="8">
        <v>656.0</v>
      </c>
      <c r="W134" s="8">
        <v>616.0</v>
      </c>
      <c r="X134" s="9">
        <f t="shared" si="5"/>
        <v>0.02361329398</v>
      </c>
      <c r="Y134" s="10">
        <v>54436.85</v>
      </c>
      <c r="Z134" s="10">
        <f t="shared" si="6"/>
        <v>82.98300305</v>
      </c>
      <c r="AA134" s="11">
        <f t="shared" si="7"/>
        <v>2.086742439</v>
      </c>
      <c r="AB134" s="8">
        <v>49.0</v>
      </c>
      <c r="AC134" s="9">
        <f t="shared" si="8"/>
        <v>0.001878330203</v>
      </c>
      <c r="AD134" s="8">
        <v>5.0</v>
      </c>
      <c r="AE134" s="4" t="s">
        <v>227</v>
      </c>
      <c r="AF134" s="4"/>
      <c r="AG134" s="4"/>
    </row>
    <row r="135" ht="15.75" customHeight="1">
      <c r="A135" s="4" t="s">
        <v>588</v>
      </c>
      <c r="B135" s="4" t="s">
        <v>589</v>
      </c>
      <c r="C135" s="4" t="s">
        <v>590</v>
      </c>
      <c r="D135" s="4" t="s">
        <v>97</v>
      </c>
      <c r="E135" s="4" t="s">
        <v>66</v>
      </c>
      <c r="F135" s="7">
        <v>45807.6875</v>
      </c>
      <c r="G135" s="4" t="s">
        <v>384</v>
      </c>
      <c r="H135" s="4" t="s">
        <v>135</v>
      </c>
      <c r="I135" s="4" t="s">
        <v>591</v>
      </c>
      <c r="J135" s="4">
        <v>2.0</v>
      </c>
      <c r="K135" s="8">
        <v>71241.0</v>
      </c>
      <c r="L135" s="8">
        <v>70937.0</v>
      </c>
      <c r="M135" s="8">
        <v>304.0</v>
      </c>
      <c r="N135" s="9">
        <f t="shared" si="1"/>
        <v>0.9957327943</v>
      </c>
      <c r="O135" s="8">
        <v>42334.0</v>
      </c>
      <c r="P135" s="8">
        <v>34660.0</v>
      </c>
      <c r="Q135" s="9">
        <f t="shared" si="2"/>
        <v>0.4886025628</v>
      </c>
      <c r="R135" s="8">
        <v>3223.0</v>
      </c>
      <c r="S135" s="8">
        <v>2217.0</v>
      </c>
      <c r="T135" s="9">
        <f t="shared" si="3"/>
        <v>0.03125308372</v>
      </c>
      <c r="U135" s="9">
        <f t="shared" si="4"/>
        <v>0.06396422389</v>
      </c>
      <c r="V135" s="8">
        <v>1173.0</v>
      </c>
      <c r="W135" s="8">
        <v>1083.0</v>
      </c>
      <c r="X135" s="9">
        <f t="shared" si="5"/>
        <v>0.01526706796</v>
      </c>
      <c r="Y135" s="10">
        <v>89976.33</v>
      </c>
      <c r="Z135" s="10">
        <f t="shared" si="6"/>
        <v>76.70616368</v>
      </c>
      <c r="AA135" s="11">
        <f t="shared" si="7"/>
        <v>1.268397733</v>
      </c>
      <c r="AB135" s="8">
        <v>66.0</v>
      </c>
      <c r="AC135" s="9">
        <f t="shared" si="8"/>
        <v>0.0009304030337</v>
      </c>
      <c r="AD135" s="8">
        <v>15.0</v>
      </c>
      <c r="AE135" s="4" t="s">
        <v>69</v>
      </c>
      <c r="AF135" s="4"/>
      <c r="AG135" s="4"/>
    </row>
    <row r="136" ht="15.75" customHeight="1">
      <c r="A136" s="4" t="s">
        <v>592</v>
      </c>
      <c r="B136" s="4" t="s">
        <v>593</v>
      </c>
      <c r="C136" s="4" t="s">
        <v>159</v>
      </c>
      <c r="D136" s="4" t="s">
        <v>65</v>
      </c>
      <c r="E136" s="4" t="s">
        <v>57</v>
      </c>
      <c r="F136" s="7">
        <v>45807.5833333333</v>
      </c>
      <c r="G136" s="4" t="s">
        <v>168</v>
      </c>
      <c r="H136" s="4" t="s">
        <v>135</v>
      </c>
      <c r="I136" s="4" t="s">
        <v>594</v>
      </c>
      <c r="J136" s="4">
        <v>2.0</v>
      </c>
      <c r="K136" s="8">
        <v>32158.0</v>
      </c>
      <c r="L136" s="8">
        <v>31730.0</v>
      </c>
      <c r="M136" s="8">
        <v>428.0</v>
      </c>
      <c r="N136" s="9">
        <f t="shared" si="1"/>
        <v>0.9866907146</v>
      </c>
      <c r="O136" s="8">
        <v>0.0</v>
      </c>
      <c r="P136" s="8">
        <v>0.0</v>
      </c>
      <c r="Q136" s="9">
        <f t="shared" si="2"/>
        <v>0</v>
      </c>
      <c r="R136" s="8">
        <v>4939.0</v>
      </c>
      <c r="S136" s="8">
        <v>4458.0</v>
      </c>
      <c r="T136" s="9">
        <f t="shared" si="3"/>
        <v>0.1404979515</v>
      </c>
      <c r="U136" s="9">
        <f t="shared" si="4"/>
        <v>0</v>
      </c>
      <c r="V136" s="8">
        <v>831.0</v>
      </c>
      <c r="W136" s="8">
        <v>755.0</v>
      </c>
      <c r="X136" s="9">
        <f t="shared" si="5"/>
        <v>0.02379451623</v>
      </c>
      <c r="Y136" s="10">
        <v>74418.58</v>
      </c>
      <c r="Z136" s="10">
        <f t="shared" si="6"/>
        <v>89.55304452</v>
      </c>
      <c r="AA136" s="11">
        <f t="shared" si="7"/>
        <v>2.345369682</v>
      </c>
      <c r="AB136" s="8">
        <v>184.0</v>
      </c>
      <c r="AC136" s="9">
        <f t="shared" si="8"/>
        <v>0.005798928459</v>
      </c>
      <c r="AD136" s="8">
        <v>0.0</v>
      </c>
      <c r="AE136" s="4" t="s">
        <v>107</v>
      </c>
      <c r="AF136" s="4"/>
      <c r="AG136" s="4"/>
    </row>
    <row r="137" ht="15.75" customHeight="1">
      <c r="A137" s="4" t="s">
        <v>595</v>
      </c>
      <c r="B137" s="4" t="s">
        <v>596</v>
      </c>
      <c r="C137" s="4" t="s">
        <v>129</v>
      </c>
      <c r="D137" s="4" t="s">
        <v>73</v>
      </c>
      <c r="E137" s="4" t="s">
        <v>66</v>
      </c>
      <c r="F137" s="7">
        <v>45804.875</v>
      </c>
      <c r="G137" s="4" t="s">
        <v>155</v>
      </c>
      <c r="H137" s="4" t="s">
        <v>91</v>
      </c>
      <c r="I137" s="4" t="s">
        <v>597</v>
      </c>
      <c r="J137" s="4">
        <v>1.0</v>
      </c>
      <c r="K137" s="8">
        <v>29544.0</v>
      </c>
      <c r="L137" s="8">
        <v>29476.0</v>
      </c>
      <c r="M137" s="8">
        <v>68.0</v>
      </c>
      <c r="N137" s="9">
        <f t="shared" si="1"/>
        <v>0.9976983482</v>
      </c>
      <c r="O137" s="8">
        <v>15695.0</v>
      </c>
      <c r="P137" s="8">
        <v>12583.0</v>
      </c>
      <c r="Q137" s="9">
        <f t="shared" si="2"/>
        <v>0.426889673</v>
      </c>
      <c r="R137" s="8">
        <v>1313.0</v>
      </c>
      <c r="S137" s="8">
        <v>755.0</v>
      </c>
      <c r="T137" s="9">
        <f t="shared" si="3"/>
        <v>0.0256140589</v>
      </c>
      <c r="U137" s="9">
        <f t="shared" si="4"/>
        <v>0.06000158945</v>
      </c>
      <c r="V137" s="8">
        <v>299.0</v>
      </c>
      <c r="W137" s="8">
        <v>279.0</v>
      </c>
      <c r="X137" s="9">
        <f t="shared" si="5"/>
        <v>0.009465327724</v>
      </c>
      <c r="Y137" s="10">
        <v>25112.51</v>
      </c>
      <c r="Z137" s="10">
        <f t="shared" si="6"/>
        <v>83.98832776</v>
      </c>
      <c r="AA137" s="11">
        <f t="shared" si="7"/>
        <v>0.8519646492</v>
      </c>
      <c r="AB137" s="8">
        <v>44.0</v>
      </c>
      <c r="AC137" s="9">
        <f t="shared" si="8"/>
        <v>0.001492739856</v>
      </c>
      <c r="AD137" s="8">
        <v>2.0</v>
      </c>
      <c r="AE137" s="4" t="s">
        <v>100</v>
      </c>
      <c r="AF137" s="4"/>
      <c r="AG137" s="4"/>
    </row>
    <row r="138" ht="15.75" customHeight="1">
      <c r="A138" s="4" t="s">
        <v>598</v>
      </c>
      <c r="B138" s="4" t="s">
        <v>599</v>
      </c>
      <c r="C138" s="4" t="s">
        <v>129</v>
      </c>
      <c r="D138" s="4" t="s">
        <v>73</v>
      </c>
      <c r="E138" s="4" t="s">
        <v>66</v>
      </c>
      <c r="F138" s="7">
        <v>45802.8333333333</v>
      </c>
      <c r="G138" s="4" t="s">
        <v>188</v>
      </c>
      <c r="H138" s="4" t="s">
        <v>59</v>
      </c>
      <c r="I138" s="4" t="s">
        <v>600</v>
      </c>
      <c r="J138" s="4">
        <v>3.0</v>
      </c>
      <c r="K138" s="8">
        <v>91589.0</v>
      </c>
      <c r="L138" s="8">
        <v>90302.0</v>
      </c>
      <c r="M138" s="8">
        <v>1287.0</v>
      </c>
      <c r="N138" s="9">
        <f t="shared" si="1"/>
        <v>0.9859480942</v>
      </c>
      <c r="O138" s="8">
        <v>46320.0</v>
      </c>
      <c r="P138" s="8">
        <v>37836.0</v>
      </c>
      <c r="Q138" s="9">
        <f t="shared" si="2"/>
        <v>0.4189940422</v>
      </c>
      <c r="R138" s="8">
        <v>2953.0</v>
      </c>
      <c r="S138" s="8">
        <v>2216.0</v>
      </c>
      <c r="T138" s="9">
        <f t="shared" si="3"/>
        <v>0.0245398773</v>
      </c>
      <c r="U138" s="9">
        <f t="shared" si="4"/>
        <v>0.05856855904</v>
      </c>
      <c r="V138" s="8">
        <v>766.0</v>
      </c>
      <c r="W138" s="8">
        <v>714.0</v>
      </c>
      <c r="X138" s="9">
        <f t="shared" si="5"/>
        <v>0.007906801621</v>
      </c>
      <c r="Y138" s="10">
        <v>60614.76</v>
      </c>
      <c r="Z138" s="10">
        <f t="shared" si="6"/>
        <v>79.13154047</v>
      </c>
      <c r="AA138" s="11">
        <f t="shared" si="7"/>
        <v>0.6712449337</v>
      </c>
      <c r="AB138" s="8">
        <v>147.0</v>
      </c>
      <c r="AC138" s="9">
        <f t="shared" si="8"/>
        <v>0.001627870922</v>
      </c>
      <c r="AD138" s="8">
        <v>26.0</v>
      </c>
      <c r="AE138" s="4" t="s">
        <v>244</v>
      </c>
      <c r="AF138" s="4"/>
      <c r="AG138" s="4"/>
    </row>
    <row r="139" ht="15.75" customHeight="1">
      <c r="A139" s="4" t="s">
        <v>601</v>
      </c>
      <c r="B139" s="4" t="s">
        <v>602</v>
      </c>
      <c r="C139" s="4" t="s">
        <v>603</v>
      </c>
      <c r="D139" s="4" t="s">
        <v>187</v>
      </c>
      <c r="E139" s="4" t="s">
        <v>66</v>
      </c>
      <c r="F139" s="7">
        <v>45802.6666666667</v>
      </c>
      <c r="G139" s="4" t="s">
        <v>74</v>
      </c>
      <c r="H139" s="4" t="s">
        <v>59</v>
      </c>
      <c r="I139" s="4" t="s">
        <v>604</v>
      </c>
      <c r="J139" s="4">
        <v>2.0</v>
      </c>
      <c r="K139" s="8">
        <v>55533.0</v>
      </c>
      <c r="L139" s="8">
        <v>55118.0</v>
      </c>
      <c r="M139" s="8">
        <v>415.0</v>
      </c>
      <c r="N139" s="9">
        <f t="shared" si="1"/>
        <v>0.9925269659</v>
      </c>
      <c r="O139" s="8">
        <v>25762.0</v>
      </c>
      <c r="P139" s="8">
        <v>18585.0</v>
      </c>
      <c r="Q139" s="9">
        <f t="shared" si="2"/>
        <v>0.3371856744</v>
      </c>
      <c r="R139" s="8">
        <v>1275.0</v>
      </c>
      <c r="S139" s="8">
        <v>913.0</v>
      </c>
      <c r="T139" s="9">
        <f t="shared" si="3"/>
        <v>0.0165644617</v>
      </c>
      <c r="U139" s="9">
        <f t="shared" si="4"/>
        <v>0.04912563896</v>
      </c>
      <c r="V139" s="8">
        <v>661.0</v>
      </c>
      <c r="W139" s="8">
        <v>620.0</v>
      </c>
      <c r="X139" s="9">
        <f t="shared" si="5"/>
        <v>0.01124859393</v>
      </c>
      <c r="Y139" s="10">
        <v>45777.18</v>
      </c>
      <c r="Z139" s="10">
        <f t="shared" si="6"/>
        <v>69.25443268</v>
      </c>
      <c r="AA139" s="11">
        <f t="shared" si="7"/>
        <v>0.8305304982</v>
      </c>
      <c r="AB139" s="8">
        <v>107.0</v>
      </c>
      <c r="AC139" s="9">
        <f t="shared" si="8"/>
        <v>0.001941289597</v>
      </c>
      <c r="AD139" s="8">
        <v>14.0</v>
      </c>
      <c r="AE139" s="4" t="s">
        <v>84</v>
      </c>
      <c r="AF139" s="4"/>
      <c r="AG139" s="4"/>
    </row>
    <row r="140" ht="15.75" customHeight="1">
      <c r="A140" s="4" t="s">
        <v>605</v>
      </c>
      <c r="B140" s="4" t="s">
        <v>606</v>
      </c>
      <c r="C140" s="4" t="s">
        <v>430</v>
      </c>
      <c r="D140" s="4" t="s">
        <v>408</v>
      </c>
      <c r="E140" s="4" t="s">
        <v>66</v>
      </c>
      <c r="F140" s="7">
        <v>45801.8958333333</v>
      </c>
      <c r="G140" s="4" t="s">
        <v>142</v>
      </c>
      <c r="H140" s="4" t="s">
        <v>105</v>
      </c>
      <c r="I140" s="4" t="s">
        <v>607</v>
      </c>
      <c r="J140" s="4">
        <v>1.0</v>
      </c>
      <c r="K140" s="8">
        <v>30534.0</v>
      </c>
      <c r="L140" s="8">
        <v>30336.0</v>
      </c>
      <c r="M140" s="8">
        <v>198.0</v>
      </c>
      <c r="N140" s="9">
        <f t="shared" si="1"/>
        <v>0.9935154254</v>
      </c>
      <c r="O140" s="8">
        <v>12962.0</v>
      </c>
      <c r="P140" s="8">
        <v>9830.0</v>
      </c>
      <c r="Q140" s="9">
        <f t="shared" si="2"/>
        <v>0.3240374473</v>
      </c>
      <c r="R140" s="8">
        <v>844.0</v>
      </c>
      <c r="S140" s="8">
        <v>552.0</v>
      </c>
      <c r="T140" s="9">
        <f t="shared" si="3"/>
        <v>0.01819620253</v>
      </c>
      <c r="U140" s="9">
        <f t="shared" si="4"/>
        <v>0.05615462869</v>
      </c>
      <c r="V140" s="8">
        <v>169.0</v>
      </c>
      <c r="W140" s="8">
        <v>149.0</v>
      </c>
      <c r="X140" s="9">
        <f t="shared" si="5"/>
        <v>0.004911656118</v>
      </c>
      <c r="Y140" s="10">
        <v>12753.45</v>
      </c>
      <c r="Z140" s="10">
        <f t="shared" si="6"/>
        <v>75.46420118</v>
      </c>
      <c r="AA140" s="11">
        <f t="shared" si="7"/>
        <v>0.4204064478</v>
      </c>
      <c r="AB140" s="8">
        <v>43.0</v>
      </c>
      <c r="AC140" s="9">
        <f t="shared" si="8"/>
        <v>0.001417457806</v>
      </c>
      <c r="AD140" s="8">
        <v>5.0</v>
      </c>
      <c r="AE140" s="4" t="s">
        <v>100</v>
      </c>
      <c r="AF140" s="4"/>
      <c r="AG140" s="4"/>
    </row>
    <row r="141" ht="15.75" customHeight="1">
      <c r="A141" s="4" t="s">
        <v>608</v>
      </c>
      <c r="B141" s="4" t="s">
        <v>609</v>
      </c>
      <c r="C141" s="4" t="s">
        <v>551</v>
      </c>
      <c r="D141" s="4" t="s">
        <v>97</v>
      </c>
      <c r="E141" s="4" t="s">
        <v>66</v>
      </c>
      <c r="F141" s="7">
        <v>45799.9375</v>
      </c>
      <c r="G141" s="4" t="s">
        <v>270</v>
      </c>
      <c r="H141" s="4" t="s">
        <v>75</v>
      </c>
      <c r="I141" s="4" t="s">
        <v>610</v>
      </c>
      <c r="J141" s="4">
        <v>2.0</v>
      </c>
      <c r="K141" s="8">
        <v>88223.0</v>
      </c>
      <c r="L141" s="8">
        <v>86935.0</v>
      </c>
      <c r="M141" s="8">
        <v>1288.0</v>
      </c>
      <c r="N141" s="9">
        <f t="shared" si="1"/>
        <v>0.9854006325</v>
      </c>
      <c r="O141" s="8">
        <v>57713.0</v>
      </c>
      <c r="P141" s="8">
        <v>43679.0</v>
      </c>
      <c r="Q141" s="9">
        <f t="shared" si="2"/>
        <v>0.5024328521</v>
      </c>
      <c r="R141" s="8">
        <v>5681.0</v>
      </c>
      <c r="S141" s="8">
        <v>3394.0</v>
      </c>
      <c r="T141" s="9">
        <f t="shared" si="3"/>
        <v>0.03904066256</v>
      </c>
      <c r="U141" s="9">
        <f t="shared" si="4"/>
        <v>0.07770324412</v>
      </c>
      <c r="V141" s="8">
        <v>959.0</v>
      </c>
      <c r="W141" s="8">
        <v>872.0</v>
      </c>
      <c r="X141" s="9">
        <f t="shared" si="5"/>
        <v>0.01003048254</v>
      </c>
      <c r="Y141" s="10">
        <v>85702.71</v>
      </c>
      <c r="Z141" s="10">
        <f t="shared" si="6"/>
        <v>89.36674661</v>
      </c>
      <c r="AA141" s="11">
        <f t="shared" si="7"/>
        <v>0.9858251567</v>
      </c>
      <c r="AB141" s="8">
        <v>86.0</v>
      </c>
      <c r="AC141" s="9">
        <f t="shared" si="8"/>
        <v>0.0009892448381</v>
      </c>
      <c r="AD141" s="8">
        <v>2.0</v>
      </c>
      <c r="AE141" s="4" t="s">
        <v>232</v>
      </c>
      <c r="AF141" s="4"/>
      <c r="AG141" s="4"/>
    </row>
    <row r="142" ht="15.75" customHeight="1">
      <c r="A142" s="4" t="s">
        <v>611</v>
      </c>
      <c r="B142" s="4" t="s">
        <v>612</v>
      </c>
      <c r="C142" s="4" t="s">
        <v>613</v>
      </c>
      <c r="D142" s="4" t="s">
        <v>176</v>
      </c>
      <c r="E142" s="4" t="s">
        <v>66</v>
      </c>
      <c r="F142" s="7">
        <v>45796.9375</v>
      </c>
      <c r="G142" s="4" t="s">
        <v>270</v>
      </c>
      <c r="H142" s="4" t="s">
        <v>98</v>
      </c>
      <c r="I142" s="4" t="s">
        <v>614</v>
      </c>
      <c r="J142" s="4">
        <v>3.0</v>
      </c>
      <c r="K142" s="8">
        <v>79815.0</v>
      </c>
      <c r="L142" s="8">
        <v>78953.0</v>
      </c>
      <c r="M142" s="8">
        <v>862.0</v>
      </c>
      <c r="N142" s="9">
        <f t="shared" si="1"/>
        <v>0.9892000251</v>
      </c>
      <c r="O142" s="8">
        <v>50915.0</v>
      </c>
      <c r="P142" s="8">
        <v>36079.0</v>
      </c>
      <c r="Q142" s="9">
        <f t="shared" si="2"/>
        <v>0.4569680696</v>
      </c>
      <c r="R142" s="8">
        <v>3162.0</v>
      </c>
      <c r="S142" s="8">
        <v>2206.0</v>
      </c>
      <c r="T142" s="9">
        <f t="shared" si="3"/>
        <v>0.02794067357</v>
      </c>
      <c r="U142" s="9">
        <f t="shared" si="4"/>
        <v>0.06114360154</v>
      </c>
      <c r="V142" s="8">
        <v>467.0</v>
      </c>
      <c r="W142" s="8">
        <v>456.0</v>
      </c>
      <c r="X142" s="9">
        <f t="shared" si="5"/>
        <v>0.005775588008</v>
      </c>
      <c r="Y142" s="10">
        <v>46062.42</v>
      </c>
      <c r="Z142" s="10">
        <f t="shared" si="6"/>
        <v>98.63473233</v>
      </c>
      <c r="AA142" s="11">
        <f t="shared" si="7"/>
        <v>0.583415703</v>
      </c>
      <c r="AB142" s="8">
        <v>65.0</v>
      </c>
      <c r="AC142" s="9">
        <f t="shared" si="8"/>
        <v>0.0008232746064</v>
      </c>
      <c r="AD142" s="8">
        <v>22.0</v>
      </c>
      <c r="AE142" s="4" t="s">
        <v>61</v>
      </c>
      <c r="AF142" s="4" t="s">
        <v>283</v>
      </c>
      <c r="AG142" s="4"/>
    </row>
    <row r="143" ht="15.75" customHeight="1">
      <c r="A143" s="4" t="s">
        <v>615</v>
      </c>
      <c r="B143" s="4" t="s">
        <v>616</v>
      </c>
      <c r="C143" s="4" t="s">
        <v>617</v>
      </c>
      <c r="D143" s="4" t="s">
        <v>104</v>
      </c>
      <c r="E143" s="4" t="s">
        <v>57</v>
      </c>
      <c r="F143" s="7">
        <v>45793.75</v>
      </c>
      <c r="G143" s="4" t="s">
        <v>58</v>
      </c>
      <c r="H143" s="4" t="s">
        <v>135</v>
      </c>
      <c r="I143" s="4" t="s">
        <v>618</v>
      </c>
      <c r="J143" s="4">
        <v>3.0</v>
      </c>
      <c r="K143" s="8">
        <v>48333.0</v>
      </c>
      <c r="L143" s="8">
        <v>47456.0</v>
      </c>
      <c r="M143" s="8">
        <v>877.0</v>
      </c>
      <c r="N143" s="9">
        <f t="shared" si="1"/>
        <v>0.9818550473</v>
      </c>
      <c r="O143" s="8">
        <v>0.0</v>
      </c>
      <c r="P143" s="8">
        <v>0.0</v>
      </c>
      <c r="Q143" s="9">
        <f t="shared" si="2"/>
        <v>0</v>
      </c>
      <c r="R143" s="8">
        <v>7386.0</v>
      </c>
      <c r="S143" s="8">
        <v>5964.0</v>
      </c>
      <c r="T143" s="9">
        <f t="shared" si="3"/>
        <v>0.1256743088</v>
      </c>
      <c r="U143" s="9">
        <f t="shared" si="4"/>
        <v>0</v>
      </c>
      <c r="V143" s="8">
        <v>530.0</v>
      </c>
      <c r="W143" s="8">
        <v>495.0</v>
      </c>
      <c r="X143" s="9">
        <f t="shared" si="5"/>
        <v>0.01043071477</v>
      </c>
      <c r="Y143" s="10">
        <v>41466.99</v>
      </c>
      <c r="Z143" s="10">
        <f t="shared" si="6"/>
        <v>78.23960377</v>
      </c>
      <c r="AA143" s="11">
        <f t="shared" si="7"/>
        <v>0.8737986767</v>
      </c>
      <c r="AB143" s="8">
        <v>319.0</v>
      </c>
      <c r="AC143" s="9">
        <f t="shared" si="8"/>
        <v>0.006722016183</v>
      </c>
      <c r="AD143" s="8">
        <v>0.0</v>
      </c>
      <c r="AE143" s="4" t="s">
        <v>100</v>
      </c>
      <c r="AF143" s="4"/>
      <c r="AG143" s="4"/>
    </row>
    <row r="144" ht="15.75" customHeight="1">
      <c r="A144" s="4" t="s">
        <v>619</v>
      </c>
      <c r="B144" s="4" t="s">
        <v>620</v>
      </c>
      <c r="C144" s="4" t="s">
        <v>399</v>
      </c>
      <c r="D144" s="4" t="s">
        <v>73</v>
      </c>
      <c r="E144" s="4" t="s">
        <v>66</v>
      </c>
      <c r="F144" s="7">
        <v>45793.6666666667</v>
      </c>
      <c r="G144" s="4" t="s">
        <v>74</v>
      </c>
      <c r="H144" s="4" t="s">
        <v>135</v>
      </c>
      <c r="I144" s="4" t="s">
        <v>621</v>
      </c>
      <c r="J144" s="4">
        <v>4.0</v>
      </c>
      <c r="K144" s="8">
        <v>144009.0</v>
      </c>
      <c r="L144" s="8">
        <v>142722.0</v>
      </c>
      <c r="M144" s="8">
        <v>1287.0</v>
      </c>
      <c r="N144" s="9">
        <f t="shared" si="1"/>
        <v>0.9910630586</v>
      </c>
      <c r="O144" s="8">
        <v>61018.0</v>
      </c>
      <c r="P144" s="8">
        <v>47662.0</v>
      </c>
      <c r="Q144" s="9">
        <f t="shared" si="2"/>
        <v>0.3339499166</v>
      </c>
      <c r="R144" s="8">
        <v>2998.0</v>
      </c>
      <c r="S144" s="8">
        <v>2224.0</v>
      </c>
      <c r="T144" s="9">
        <f t="shared" si="3"/>
        <v>0.01558274127</v>
      </c>
      <c r="U144" s="9">
        <f t="shared" si="4"/>
        <v>0.04666191096</v>
      </c>
      <c r="V144" s="8">
        <v>1229.0</v>
      </c>
      <c r="W144" s="8">
        <v>1106.0</v>
      </c>
      <c r="X144" s="9">
        <f t="shared" si="5"/>
        <v>0.007749330867</v>
      </c>
      <c r="Y144" s="10">
        <v>99180.09</v>
      </c>
      <c r="Z144" s="10">
        <f t="shared" si="6"/>
        <v>80.69982913</v>
      </c>
      <c r="AA144" s="11">
        <f t="shared" si="7"/>
        <v>0.6949180224</v>
      </c>
      <c r="AB144" s="8">
        <v>195.0</v>
      </c>
      <c r="AC144" s="9">
        <f t="shared" si="8"/>
        <v>0.001366292513</v>
      </c>
      <c r="AD144" s="8">
        <v>37.0</v>
      </c>
      <c r="AE144" s="4" t="s">
        <v>93</v>
      </c>
      <c r="AF144" s="4"/>
      <c r="AG144" s="4"/>
    </row>
    <row r="145" ht="15.75" customHeight="1">
      <c r="A145" s="4" t="s">
        <v>622</v>
      </c>
      <c r="B145" s="4" t="s">
        <v>623</v>
      </c>
      <c r="C145" s="4" t="s">
        <v>122</v>
      </c>
      <c r="D145" s="4" t="s">
        <v>123</v>
      </c>
      <c r="E145" s="4" t="s">
        <v>66</v>
      </c>
      <c r="F145" s="7">
        <v>45789.6666666667</v>
      </c>
      <c r="G145" s="4" t="s">
        <v>74</v>
      </c>
      <c r="H145" s="4" t="s">
        <v>98</v>
      </c>
      <c r="I145" s="4" t="s">
        <v>624</v>
      </c>
      <c r="J145" s="4">
        <v>2.0</v>
      </c>
      <c r="K145" s="8">
        <v>81123.0</v>
      </c>
      <c r="L145" s="8">
        <v>80423.0</v>
      </c>
      <c r="M145" s="8">
        <v>700.0</v>
      </c>
      <c r="N145" s="9">
        <f t="shared" si="1"/>
        <v>0.9913711278</v>
      </c>
      <c r="O145" s="8">
        <v>29753.0</v>
      </c>
      <c r="P145" s="8">
        <v>23794.0</v>
      </c>
      <c r="Q145" s="9">
        <f t="shared" si="2"/>
        <v>0.2958606369</v>
      </c>
      <c r="R145" s="8">
        <v>1550.0</v>
      </c>
      <c r="S145" s="8">
        <v>1120.0</v>
      </c>
      <c r="T145" s="9">
        <f t="shared" si="3"/>
        <v>0.01392636435</v>
      </c>
      <c r="U145" s="9">
        <f t="shared" si="4"/>
        <v>0.04707069009</v>
      </c>
      <c r="V145" s="8">
        <v>870.0</v>
      </c>
      <c r="W145" s="8">
        <v>794.0</v>
      </c>
      <c r="X145" s="9">
        <f t="shared" si="5"/>
        <v>0.009872797583</v>
      </c>
      <c r="Y145" s="10">
        <v>64895.15</v>
      </c>
      <c r="Z145" s="10">
        <f t="shared" si="6"/>
        <v>74.59212644</v>
      </c>
      <c r="AA145" s="11">
        <f t="shared" si="7"/>
        <v>0.8069227708</v>
      </c>
      <c r="AB145" s="8">
        <v>192.0</v>
      </c>
      <c r="AC145" s="9">
        <f t="shared" si="8"/>
        <v>0.002387376745</v>
      </c>
      <c r="AD145" s="8">
        <v>16.0</v>
      </c>
      <c r="AE145" s="4" t="s">
        <v>77</v>
      </c>
      <c r="AF145" s="4"/>
      <c r="AG145" s="4"/>
    </row>
    <row r="146" ht="15.75" customHeight="1">
      <c r="A146" s="4" t="s">
        <v>625</v>
      </c>
      <c r="B146" s="4" t="s">
        <v>626</v>
      </c>
      <c r="C146" s="4" t="s">
        <v>399</v>
      </c>
      <c r="D146" s="4" t="s">
        <v>73</v>
      </c>
      <c r="E146" s="4" t="s">
        <v>66</v>
      </c>
      <c r="F146" s="7">
        <v>45782.5625</v>
      </c>
      <c r="G146" s="4" t="s">
        <v>148</v>
      </c>
      <c r="H146" s="4" t="s">
        <v>98</v>
      </c>
      <c r="I146" s="4" t="s">
        <v>627</v>
      </c>
      <c r="J146" s="4">
        <v>3.0</v>
      </c>
      <c r="K146" s="8">
        <v>82741.0</v>
      </c>
      <c r="L146" s="8">
        <v>82397.0</v>
      </c>
      <c r="M146" s="8">
        <v>344.0</v>
      </c>
      <c r="N146" s="9">
        <f t="shared" si="1"/>
        <v>0.9958424481</v>
      </c>
      <c r="O146" s="8">
        <v>38532.0</v>
      </c>
      <c r="P146" s="8">
        <v>28732.0</v>
      </c>
      <c r="Q146" s="9">
        <f t="shared" si="2"/>
        <v>0.3487020159</v>
      </c>
      <c r="R146" s="8">
        <v>2408.0</v>
      </c>
      <c r="S146" s="8">
        <v>1816.0</v>
      </c>
      <c r="T146" s="9">
        <f t="shared" si="3"/>
        <v>0.02203963737</v>
      </c>
      <c r="U146" s="9">
        <f t="shared" si="4"/>
        <v>0.06320478909</v>
      </c>
      <c r="V146" s="8">
        <v>1161.0</v>
      </c>
      <c r="W146" s="8">
        <v>1020.0</v>
      </c>
      <c r="X146" s="9">
        <f t="shared" si="5"/>
        <v>0.01237909147</v>
      </c>
      <c r="Y146" s="10">
        <v>78838.48</v>
      </c>
      <c r="Z146" s="10">
        <f t="shared" si="6"/>
        <v>67.90566753</v>
      </c>
      <c r="AA146" s="11">
        <f t="shared" si="7"/>
        <v>0.9568125053</v>
      </c>
      <c r="AB146" s="8">
        <v>774.0</v>
      </c>
      <c r="AC146" s="9">
        <f t="shared" si="8"/>
        <v>0.009393545882</v>
      </c>
      <c r="AD146" s="8">
        <v>2.0</v>
      </c>
      <c r="AE146" s="4" t="s">
        <v>77</v>
      </c>
      <c r="AF146" s="4"/>
      <c r="AG146" s="4"/>
    </row>
    <row r="147" ht="15.75" customHeight="1">
      <c r="A147" s="4" t="s">
        <v>628</v>
      </c>
      <c r="B147" s="4" t="s">
        <v>629</v>
      </c>
      <c r="C147" s="4" t="s">
        <v>630</v>
      </c>
      <c r="D147" s="4" t="s">
        <v>56</v>
      </c>
      <c r="E147" s="4" t="s">
        <v>57</v>
      </c>
      <c r="F147" s="7">
        <v>45777.75</v>
      </c>
      <c r="G147" s="4" t="s">
        <v>58</v>
      </c>
      <c r="H147" s="4" t="s">
        <v>82</v>
      </c>
      <c r="I147" s="4" t="s">
        <v>631</v>
      </c>
      <c r="J147" s="4">
        <v>2.0</v>
      </c>
      <c r="K147" s="8">
        <v>34341.0</v>
      </c>
      <c r="L147" s="8">
        <v>32974.0</v>
      </c>
      <c r="M147" s="8">
        <v>1367.0</v>
      </c>
      <c r="N147" s="9">
        <f t="shared" si="1"/>
        <v>0.9601933549</v>
      </c>
      <c r="O147" s="8">
        <v>0.0</v>
      </c>
      <c r="P147" s="8">
        <v>0.0</v>
      </c>
      <c r="Q147" s="9">
        <f t="shared" si="2"/>
        <v>0</v>
      </c>
      <c r="R147" s="8">
        <v>3949.0</v>
      </c>
      <c r="S147" s="8">
        <v>3180.0</v>
      </c>
      <c r="T147" s="9">
        <f t="shared" si="3"/>
        <v>0.09643961909</v>
      </c>
      <c r="U147" s="9">
        <f t="shared" si="4"/>
        <v>0</v>
      </c>
      <c r="V147" s="8">
        <v>457.0</v>
      </c>
      <c r="W147" s="8">
        <v>417.0</v>
      </c>
      <c r="X147" s="9">
        <f t="shared" si="5"/>
        <v>0.01264632741</v>
      </c>
      <c r="Y147" s="10">
        <v>34875.46</v>
      </c>
      <c r="Z147" s="10">
        <f t="shared" si="6"/>
        <v>76.31391685</v>
      </c>
      <c r="AA147" s="11">
        <f t="shared" si="7"/>
        <v>1.057665433</v>
      </c>
      <c r="AB147" s="8">
        <v>76.0</v>
      </c>
      <c r="AC147" s="9">
        <f t="shared" si="8"/>
        <v>0.002304846242</v>
      </c>
      <c r="AD147" s="8">
        <v>0.0</v>
      </c>
      <c r="AE147" s="4" t="s">
        <v>244</v>
      </c>
      <c r="AF147" s="4"/>
      <c r="AG147" s="4"/>
    </row>
    <row r="148" ht="15.75" customHeight="1">
      <c r="A148" s="4" t="s">
        <v>632</v>
      </c>
      <c r="B148" s="4" t="s">
        <v>633</v>
      </c>
      <c r="C148" s="4" t="s">
        <v>634</v>
      </c>
      <c r="D148" s="4" t="s">
        <v>81</v>
      </c>
      <c r="E148" s="4" t="s">
        <v>66</v>
      </c>
      <c r="F148" s="7">
        <v>45776.5833333333</v>
      </c>
      <c r="G148" s="4" t="s">
        <v>168</v>
      </c>
      <c r="H148" s="4" t="s">
        <v>91</v>
      </c>
      <c r="I148" s="4" t="s">
        <v>635</v>
      </c>
      <c r="J148" s="4">
        <v>2.0</v>
      </c>
      <c r="K148" s="8">
        <v>37886.0</v>
      </c>
      <c r="L148" s="8">
        <v>37760.0</v>
      </c>
      <c r="M148" s="8">
        <v>126.0</v>
      </c>
      <c r="N148" s="9">
        <f t="shared" si="1"/>
        <v>0.9966742332</v>
      </c>
      <c r="O148" s="8">
        <v>25359.0</v>
      </c>
      <c r="P148" s="8">
        <v>18931.0</v>
      </c>
      <c r="Q148" s="9">
        <f t="shared" si="2"/>
        <v>0.5013506356</v>
      </c>
      <c r="R148" s="8">
        <v>2337.0</v>
      </c>
      <c r="S148" s="8">
        <v>1486.0</v>
      </c>
      <c r="T148" s="9">
        <f t="shared" si="3"/>
        <v>0.03935381356</v>
      </c>
      <c r="U148" s="9">
        <f t="shared" si="4"/>
        <v>0.07849558925</v>
      </c>
      <c r="V148" s="8">
        <v>124.0</v>
      </c>
      <c r="W148" s="8">
        <v>120.0</v>
      </c>
      <c r="X148" s="9">
        <f t="shared" si="5"/>
        <v>0.003177966102</v>
      </c>
      <c r="Y148" s="10">
        <v>12750.02</v>
      </c>
      <c r="Z148" s="10">
        <f t="shared" si="6"/>
        <v>102.8227419</v>
      </c>
      <c r="AA148" s="11">
        <f t="shared" si="7"/>
        <v>0.337659428</v>
      </c>
      <c r="AB148" s="8">
        <v>58.0</v>
      </c>
      <c r="AC148" s="9">
        <f t="shared" si="8"/>
        <v>0.001536016949</v>
      </c>
      <c r="AD148" s="8">
        <v>10.0</v>
      </c>
      <c r="AE148" s="4" t="s">
        <v>77</v>
      </c>
      <c r="AF148" s="4" t="s">
        <v>376</v>
      </c>
      <c r="AG148" s="4"/>
    </row>
    <row r="149" ht="15.75" customHeight="1">
      <c r="A149" s="4" t="s">
        <v>636</v>
      </c>
      <c r="B149" s="4" t="s">
        <v>637</v>
      </c>
      <c r="C149" s="4" t="s">
        <v>638</v>
      </c>
      <c r="D149" s="4" t="s">
        <v>199</v>
      </c>
      <c r="E149" s="4" t="s">
        <v>66</v>
      </c>
      <c r="F149" s="7">
        <v>45772.7291666667</v>
      </c>
      <c r="G149" s="4" t="s">
        <v>181</v>
      </c>
      <c r="H149" s="4" t="s">
        <v>135</v>
      </c>
      <c r="I149" s="4" t="s">
        <v>597</v>
      </c>
      <c r="J149" s="4">
        <v>1.0</v>
      </c>
      <c r="K149" s="8">
        <v>35138.0</v>
      </c>
      <c r="L149" s="8">
        <v>34664.0</v>
      </c>
      <c r="M149" s="8">
        <v>474.0</v>
      </c>
      <c r="N149" s="9">
        <f t="shared" si="1"/>
        <v>0.9865103307</v>
      </c>
      <c r="O149" s="8">
        <v>21166.0</v>
      </c>
      <c r="P149" s="8">
        <v>14399.0</v>
      </c>
      <c r="Q149" s="9">
        <f t="shared" si="2"/>
        <v>0.4153877221</v>
      </c>
      <c r="R149" s="8">
        <v>1276.0</v>
      </c>
      <c r="S149" s="8">
        <v>843.0</v>
      </c>
      <c r="T149" s="9">
        <f t="shared" si="3"/>
        <v>0.0243191784</v>
      </c>
      <c r="U149" s="9">
        <f t="shared" si="4"/>
        <v>0.05854573234</v>
      </c>
      <c r="V149" s="8">
        <v>635.0</v>
      </c>
      <c r="W149" s="8">
        <v>561.0</v>
      </c>
      <c r="X149" s="9">
        <f t="shared" si="5"/>
        <v>0.01618393723</v>
      </c>
      <c r="Y149" s="10">
        <v>52061.67</v>
      </c>
      <c r="Z149" s="10">
        <f t="shared" si="6"/>
        <v>81.98688189</v>
      </c>
      <c r="AA149" s="11">
        <f t="shared" si="7"/>
        <v>1.501894473</v>
      </c>
      <c r="AB149" s="8">
        <v>93.0</v>
      </c>
      <c r="AC149" s="9">
        <f t="shared" si="8"/>
        <v>0.002682898685</v>
      </c>
      <c r="AD149" s="8">
        <v>5.0</v>
      </c>
      <c r="AE149" s="4" t="s">
        <v>244</v>
      </c>
      <c r="AF149" s="4"/>
      <c r="AG149" s="4"/>
    </row>
    <row r="150" ht="15.75" customHeight="1">
      <c r="A150" s="4" t="s">
        <v>639</v>
      </c>
      <c r="B150" s="4" t="s">
        <v>640</v>
      </c>
      <c r="C150" s="4" t="s">
        <v>641</v>
      </c>
      <c r="D150" s="4" t="s">
        <v>117</v>
      </c>
      <c r="E150" s="4" t="s">
        <v>66</v>
      </c>
      <c r="F150" s="7">
        <v>45768.6041666667</v>
      </c>
      <c r="G150" s="4" t="s">
        <v>118</v>
      </c>
      <c r="H150" s="4" t="s">
        <v>98</v>
      </c>
      <c r="I150" s="4" t="s">
        <v>607</v>
      </c>
      <c r="J150" s="4">
        <v>1.0</v>
      </c>
      <c r="K150" s="8">
        <v>27896.0</v>
      </c>
      <c r="L150" s="8">
        <v>27670.0</v>
      </c>
      <c r="M150" s="8">
        <v>226.0</v>
      </c>
      <c r="N150" s="9">
        <f t="shared" si="1"/>
        <v>0.9918984801</v>
      </c>
      <c r="O150" s="8">
        <v>16909.0</v>
      </c>
      <c r="P150" s="8">
        <v>13894.0</v>
      </c>
      <c r="Q150" s="9">
        <f t="shared" si="2"/>
        <v>0.5021322732</v>
      </c>
      <c r="R150" s="8">
        <v>1805.0</v>
      </c>
      <c r="S150" s="8">
        <v>1046.0</v>
      </c>
      <c r="T150" s="9">
        <f t="shared" si="3"/>
        <v>0.03780267438</v>
      </c>
      <c r="U150" s="9">
        <f t="shared" si="4"/>
        <v>0.07528429538</v>
      </c>
      <c r="V150" s="8">
        <v>72.0</v>
      </c>
      <c r="W150" s="8">
        <v>61.0</v>
      </c>
      <c r="X150" s="9">
        <f t="shared" si="5"/>
        <v>0.002204553668</v>
      </c>
      <c r="Y150" s="10">
        <v>6225.59</v>
      </c>
      <c r="Z150" s="10">
        <f t="shared" si="6"/>
        <v>86.46652778</v>
      </c>
      <c r="AA150" s="11">
        <f t="shared" si="7"/>
        <v>0.2249942176</v>
      </c>
      <c r="AB150" s="8">
        <v>52.0</v>
      </c>
      <c r="AC150" s="9">
        <f t="shared" si="8"/>
        <v>0.001879291652</v>
      </c>
      <c r="AD150" s="8">
        <v>7.0</v>
      </c>
      <c r="AE150" s="4" t="s">
        <v>112</v>
      </c>
      <c r="AF150" s="4"/>
      <c r="AG150" s="4"/>
    </row>
    <row r="151" ht="15.75" customHeight="1">
      <c r="A151" s="4" t="s">
        <v>642</v>
      </c>
      <c r="B151" s="4" t="s">
        <v>643</v>
      </c>
      <c r="C151" s="4" t="s">
        <v>644</v>
      </c>
      <c r="D151" s="4" t="s">
        <v>176</v>
      </c>
      <c r="E151" s="4" t="s">
        <v>66</v>
      </c>
      <c r="F151" s="7">
        <v>45767.7083333333</v>
      </c>
      <c r="G151" s="4" t="s">
        <v>124</v>
      </c>
      <c r="H151" s="4" t="s">
        <v>59</v>
      </c>
      <c r="I151" s="4" t="s">
        <v>645</v>
      </c>
      <c r="J151" s="4">
        <v>4.0</v>
      </c>
      <c r="K151" s="8">
        <v>90912.0</v>
      </c>
      <c r="L151" s="8">
        <v>90057.0</v>
      </c>
      <c r="M151" s="8">
        <v>855.0</v>
      </c>
      <c r="N151" s="9">
        <f t="shared" si="1"/>
        <v>0.990595301</v>
      </c>
      <c r="O151" s="8">
        <v>46255.0</v>
      </c>
      <c r="P151" s="8">
        <v>33835.0</v>
      </c>
      <c r="Q151" s="9">
        <f t="shared" si="2"/>
        <v>0.375706497</v>
      </c>
      <c r="R151" s="8">
        <v>3225.0</v>
      </c>
      <c r="S151" s="8">
        <v>2386.0</v>
      </c>
      <c r="T151" s="9">
        <f t="shared" si="3"/>
        <v>0.02649433137</v>
      </c>
      <c r="U151" s="9">
        <f t="shared" si="4"/>
        <v>0.07051869366</v>
      </c>
      <c r="V151" s="8">
        <v>742.0</v>
      </c>
      <c r="W151" s="8">
        <v>222.0</v>
      </c>
      <c r="X151" s="9">
        <f t="shared" si="5"/>
        <v>0.002465105433</v>
      </c>
      <c r="Y151" s="10">
        <v>79828.43</v>
      </c>
      <c r="Z151" s="10">
        <f t="shared" si="6"/>
        <v>107.5854852</v>
      </c>
      <c r="AA151" s="11">
        <f t="shared" si="7"/>
        <v>0.8864211555</v>
      </c>
      <c r="AB151" s="8">
        <v>292.0</v>
      </c>
      <c r="AC151" s="9">
        <f t="shared" si="8"/>
        <v>0.00324239093</v>
      </c>
      <c r="AD151" s="8">
        <v>23.0</v>
      </c>
      <c r="AE151" s="4" t="s">
        <v>77</v>
      </c>
      <c r="AF151" s="4" t="s">
        <v>321</v>
      </c>
      <c r="AG151" s="4"/>
    </row>
    <row r="152" ht="15.75" customHeight="1">
      <c r="A152" s="4" t="s">
        <v>646</v>
      </c>
      <c r="B152" s="4" t="s">
        <v>647</v>
      </c>
      <c r="C152" s="4" t="s">
        <v>133</v>
      </c>
      <c r="D152" s="4" t="s">
        <v>134</v>
      </c>
      <c r="E152" s="4" t="s">
        <v>66</v>
      </c>
      <c r="F152" s="7">
        <v>45764.9166666667</v>
      </c>
      <c r="G152" s="4" t="s">
        <v>67</v>
      </c>
      <c r="H152" s="4" t="s">
        <v>75</v>
      </c>
      <c r="I152" s="4" t="s">
        <v>648</v>
      </c>
      <c r="J152" s="4">
        <v>2.0</v>
      </c>
      <c r="K152" s="8">
        <v>85756.0</v>
      </c>
      <c r="L152" s="8">
        <v>85029.0</v>
      </c>
      <c r="M152" s="8">
        <v>727.0</v>
      </c>
      <c r="N152" s="9">
        <f t="shared" si="1"/>
        <v>0.9915224591</v>
      </c>
      <c r="O152" s="8">
        <v>40442.0</v>
      </c>
      <c r="P152" s="8">
        <v>29233.0</v>
      </c>
      <c r="Q152" s="9">
        <f t="shared" si="2"/>
        <v>0.3438003505</v>
      </c>
      <c r="R152" s="8">
        <v>2972.0</v>
      </c>
      <c r="S152" s="8">
        <v>1724.0</v>
      </c>
      <c r="T152" s="9">
        <f t="shared" si="3"/>
        <v>0.02027543544</v>
      </c>
      <c r="U152" s="9">
        <f t="shared" si="4"/>
        <v>0.05897444669</v>
      </c>
      <c r="V152" s="8">
        <v>703.0</v>
      </c>
      <c r="W152" s="8">
        <v>662.0</v>
      </c>
      <c r="X152" s="9">
        <f t="shared" si="5"/>
        <v>0.007785579038</v>
      </c>
      <c r="Y152" s="10">
        <v>60655.48</v>
      </c>
      <c r="Z152" s="10">
        <f t="shared" si="6"/>
        <v>86.28091038</v>
      </c>
      <c r="AA152" s="11">
        <f t="shared" si="7"/>
        <v>0.7133505039</v>
      </c>
      <c r="AB152" s="8">
        <v>209.0</v>
      </c>
      <c r="AC152" s="9">
        <f t="shared" si="8"/>
        <v>0.002457984923</v>
      </c>
      <c r="AD152" s="8">
        <v>25.0</v>
      </c>
      <c r="AE152" s="4" t="s">
        <v>100</v>
      </c>
      <c r="AF152" s="4" t="s">
        <v>381</v>
      </c>
      <c r="AG152" s="4"/>
    </row>
    <row r="153" ht="15.75" customHeight="1">
      <c r="A153" s="4" t="s">
        <v>649</v>
      </c>
      <c r="B153" s="4" t="s">
        <v>650</v>
      </c>
      <c r="C153" s="4" t="s">
        <v>399</v>
      </c>
      <c r="D153" s="4" t="s">
        <v>73</v>
      </c>
      <c r="E153" s="4" t="s">
        <v>66</v>
      </c>
      <c r="F153" s="7">
        <v>45757.9375</v>
      </c>
      <c r="G153" s="4" t="s">
        <v>270</v>
      </c>
      <c r="H153" s="4" t="s">
        <v>75</v>
      </c>
      <c r="I153" s="4" t="s">
        <v>651</v>
      </c>
      <c r="J153" s="4">
        <v>3.0</v>
      </c>
      <c r="K153" s="8">
        <v>53923.0</v>
      </c>
      <c r="L153" s="8">
        <v>53295.0</v>
      </c>
      <c r="M153" s="8">
        <v>628.0</v>
      </c>
      <c r="N153" s="9">
        <f t="shared" si="1"/>
        <v>0.9883537637</v>
      </c>
      <c r="O153" s="8">
        <v>24197.0</v>
      </c>
      <c r="P153" s="8">
        <v>18991.0</v>
      </c>
      <c r="Q153" s="9">
        <f t="shared" si="2"/>
        <v>0.3563373675</v>
      </c>
      <c r="R153" s="8">
        <v>1901.0</v>
      </c>
      <c r="S153" s="8">
        <v>1130.0</v>
      </c>
      <c r="T153" s="9">
        <f t="shared" si="3"/>
        <v>0.02120273947</v>
      </c>
      <c r="U153" s="9">
        <f t="shared" si="4"/>
        <v>0.05950186931</v>
      </c>
      <c r="V153" s="8">
        <v>487.0</v>
      </c>
      <c r="W153" s="8">
        <v>453.0</v>
      </c>
      <c r="X153" s="9">
        <f t="shared" si="5"/>
        <v>0.008499859274</v>
      </c>
      <c r="Y153" s="10">
        <v>35417.36</v>
      </c>
      <c r="Z153" s="10">
        <f t="shared" si="6"/>
        <v>72.72558522</v>
      </c>
      <c r="AA153" s="11">
        <f t="shared" si="7"/>
        <v>0.6645531476</v>
      </c>
      <c r="AB153" s="8">
        <v>41.0</v>
      </c>
      <c r="AC153" s="9">
        <f t="shared" si="8"/>
        <v>0.0007693029365</v>
      </c>
      <c r="AD153" s="8">
        <v>5.0</v>
      </c>
      <c r="AE153" s="4" t="s">
        <v>244</v>
      </c>
      <c r="AF153" s="4"/>
      <c r="AG153" s="4"/>
    </row>
    <row r="154" ht="15.75" customHeight="1">
      <c r="A154" s="4" t="s">
        <v>652</v>
      </c>
      <c r="B154" s="4" t="s">
        <v>653</v>
      </c>
      <c r="C154" s="4" t="s">
        <v>654</v>
      </c>
      <c r="D154" s="4" t="s">
        <v>104</v>
      </c>
      <c r="E154" s="4" t="s">
        <v>57</v>
      </c>
      <c r="F154" s="7">
        <v>45757.75</v>
      </c>
      <c r="G154" s="4" t="s">
        <v>58</v>
      </c>
      <c r="H154" s="4" t="s">
        <v>75</v>
      </c>
      <c r="I154" s="4" t="s">
        <v>655</v>
      </c>
      <c r="J154" s="4">
        <v>2.0</v>
      </c>
      <c r="K154" s="8">
        <v>26299.0</v>
      </c>
      <c r="L154" s="8">
        <v>25070.0</v>
      </c>
      <c r="M154" s="8">
        <v>1229.0</v>
      </c>
      <c r="N154" s="9">
        <f t="shared" si="1"/>
        <v>0.9532681851</v>
      </c>
      <c r="O154" s="8">
        <v>0.0</v>
      </c>
      <c r="P154" s="8">
        <v>0.0</v>
      </c>
      <c r="Q154" s="9">
        <f t="shared" si="2"/>
        <v>0</v>
      </c>
      <c r="R154" s="8">
        <v>2931.0</v>
      </c>
      <c r="S154" s="8">
        <v>2317.0</v>
      </c>
      <c r="T154" s="9">
        <f t="shared" si="3"/>
        <v>0.09242122058</v>
      </c>
      <c r="U154" s="9">
        <f t="shared" si="4"/>
        <v>0</v>
      </c>
      <c r="V154" s="8">
        <v>809.0</v>
      </c>
      <c r="W154" s="8">
        <v>742.0</v>
      </c>
      <c r="X154" s="9">
        <f t="shared" si="5"/>
        <v>0.02959712804</v>
      </c>
      <c r="Y154" s="10">
        <v>68552.77</v>
      </c>
      <c r="Z154" s="10">
        <f t="shared" si="6"/>
        <v>84.73766378</v>
      </c>
      <c r="AA154" s="11">
        <f t="shared" si="7"/>
        <v>2.734454328</v>
      </c>
      <c r="AB154" s="8">
        <v>144.0</v>
      </c>
      <c r="AC154" s="9">
        <f t="shared" si="8"/>
        <v>0.005743917032</v>
      </c>
      <c r="AD154" s="8">
        <v>0.0</v>
      </c>
      <c r="AE154" s="4" t="s">
        <v>93</v>
      </c>
      <c r="AF154" s="4"/>
      <c r="AG154" s="4"/>
    </row>
    <row r="155" ht="15.75" customHeight="1">
      <c r="A155" s="4" t="s">
        <v>656</v>
      </c>
      <c r="B155" s="4" t="s">
        <v>657</v>
      </c>
      <c r="C155" s="4" t="s">
        <v>247</v>
      </c>
      <c r="D155" s="4" t="s">
        <v>81</v>
      </c>
      <c r="E155" s="4" t="s">
        <v>66</v>
      </c>
      <c r="F155" s="7">
        <v>45756.9375</v>
      </c>
      <c r="G155" s="4" t="s">
        <v>270</v>
      </c>
      <c r="H155" s="4" t="s">
        <v>82</v>
      </c>
      <c r="I155" s="4" t="s">
        <v>658</v>
      </c>
      <c r="J155" s="4">
        <v>4.0</v>
      </c>
      <c r="K155" s="8">
        <v>191712.0</v>
      </c>
      <c r="L155" s="8">
        <v>189187.0</v>
      </c>
      <c r="M155" s="8">
        <v>2525.0</v>
      </c>
      <c r="N155" s="9">
        <f t="shared" si="1"/>
        <v>0.9868292021</v>
      </c>
      <c r="O155" s="8">
        <v>157012.0</v>
      </c>
      <c r="P155" s="8">
        <v>17473.0</v>
      </c>
      <c r="Q155" s="9">
        <f t="shared" si="2"/>
        <v>0.09235835443</v>
      </c>
      <c r="R155" s="8">
        <v>19169.0</v>
      </c>
      <c r="S155" s="8">
        <v>11533.0</v>
      </c>
      <c r="T155" s="9">
        <f t="shared" si="3"/>
        <v>0.06096084826</v>
      </c>
      <c r="U155" s="9">
        <f t="shared" si="4"/>
        <v>0.6600469295</v>
      </c>
      <c r="V155" s="8">
        <v>1309.0</v>
      </c>
      <c r="W155" s="8">
        <v>1277.0</v>
      </c>
      <c r="X155" s="9">
        <f t="shared" si="5"/>
        <v>0.006749935249</v>
      </c>
      <c r="Y155" s="10">
        <v>128146.46</v>
      </c>
      <c r="Z155" s="10">
        <f t="shared" si="6"/>
        <v>97.89645531</v>
      </c>
      <c r="AA155" s="11">
        <f t="shared" si="7"/>
        <v>0.6773534122</v>
      </c>
      <c r="AB155" s="8">
        <v>336.0</v>
      </c>
      <c r="AC155" s="9">
        <f t="shared" si="8"/>
        <v>0.001776020551</v>
      </c>
      <c r="AD155" s="8">
        <v>45.0</v>
      </c>
      <c r="AE155" s="4" t="s">
        <v>244</v>
      </c>
      <c r="AF155" s="4" t="s">
        <v>249</v>
      </c>
      <c r="AG155" s="4"/>
    </row>
    <row r="156" ht="15.75" customHeight="1">
      <c r="A156" s="4" t="s">
        <v>659</v>
      </c>
      <c r="B156" s="4" t="s">
        <v>660</v>
      </c>
      <c r="C156" s="4" t="s">
        <v>661</v>
      </c>
      <c r="D156" s="4" t="s">
        <v>176</v>
      </c>
      <c r="E156" s="4" t="s">
        <v>66</v>
      </c>
      <c r="F156" s="7">
        <v>45756.6666666667</v>
      </c>
      <c r="G156" s="4" t="s">
        <v>74</v>
      </c>
      <c r="H156" s="4" t="s">
        <v>82</v>
      </c>
      <c r="I156" s="4" t="s">
        <v>662</v>
      </c>
      <c r="J156" s="4">
        <v>3.0</v>
      </c>
      <c r="K156" s="8">
        <v>69143.0</v>
      </c>
      <c r="L156" s="8">
        <v>68374.0</v>
      </c>
      <c r="M156" s="8">
        <v>769.0</v>
      </c>
      <c r="N156" s="9">
        <f t="shared" si="1"/>
        <v>0.9888781222</v>
      </c>
      <c r="O156" s="8">
        <v>48505.0</v>
      </c>
      <c r="P156" s="8">
        <v>34671.0</v>
      </c>
      <c r="Q156" s="9">
        <f t="shared" si="2"/>
        <v>0.5070787141</v>
      </c>
      <c r="R156" s="8">
        <v>4191.0</v>
      </c>
      <c r="S156" s="8">
        <v>3066.0</v>
      </c>
      <c r="T156" s="9">
        <f t="shared" si="3"/>
        <v>0.04484160646</v>
      </c>
      <c r="U156" s="9">
        <f t="shared" si="4"/>
        <v>0.08843125379</v>
      </c>
      <c r="V156" s="8">
        <v>189.0</v>
      </c>
      <c r="W156" s="8">
        <v>163.0</v>
      </c>
      <c r="X156" s="9">
        <f t="shared" si="5"/>
        <v>0.002383947114</v>
      </c>
      <c r="Y156" s="10">
        <v>17972.86</v>
      </c>
      <c r="Z156" s="10">
        <f t="shared" si="6"/>
        <v>95.09449735</v>
      </c>
      <c r="AA156" s="11">
        <f t="shared" si="7"/>
        <v>0.262861029</v>
      </c>
      <c r="AB156" s="8">
        <v>99.0</v>
      </c>
      <c r="AC156" s="9">
        <f t="shared" si="8"/>
        <v>0.0014479188</v>
      </c>
      <c r="AD156" s="8">
        <v>12.0</v>
      </c>
      <c r="AE156" s="4" t="s">
        <v>126</v>
      </c>
      <c r="AF156" s="4" t="s">
        <v>663</v>
      </c>
      <c r="AG156" s="4"/>
    </row>
    <row r="157" ht="15.75" customHeight="1">
      <c r="A157" s="4" t="s">
        <v>664</v>
      </c>
      <c r="B157" s="4" t="s">
        <v>665</v>
      </c>
      <c r="C157" s="4" t="s">
        <v>666</v>
      </c>
      <c r="D157" s="4" t="s">
        <v>176</v>
      </c>
      <c r="E157" s="4" t="s">
        <v>66</v>
      </c>
      <c r="F157" s="7">
        <v>45755.6041666667</v>
      </c>
      <c r="G157" s="4" t="s">
        <v>118</v>
      </c>
      <c r="H157" s="4" t="s">
        <v>91</v>
      </c>
      <c r="I157" s="4" t="s">
        <v>667</v>
      </c>
      <c r="J157" s="4">
        <v>4.0</v>
      </c>
      <c r="K157" s="8">
        <v>462954.0</v>
      </c>
      <c r="L157" s="8">
        <v>461456.0</v>
      </c>
      <c r="M157" s="8">
        <v>1498.0</v>
      </c>
      <c r="N157" s="9">
        <f t="shared" si="1"/>
        <v>0.9967642574</v>
      </c>
      <c r="O157" s="8">
        <v>256179.0</v>
      </c>
      <c r="P157" s="8">
        <v>176821.0</v>
      </c>
      <c r="Q157" s="9">
        <f t="shared" si="2"/>
        <v>0.3831806283</v>
      </c>
      <c r="R157" s="8">
        <v>14701.0</v>
      </c>
      <c r="S157" s="8">
        <v>11126.0</v>
      </c>
      <c r="T157" s="9">
        <f t="shared" si="3"/>
        <v>0.0241106411</v>
      </c>
      <c r="U157" s="9">
        <f t="shared" si="4"/>
        <v>0.06292239044</v>
      </c>
      <c r="V157" s="8">
        <v>4933.0</v>
      </c>
      <c r="W157" s="8">
        <v>1558.0</v>
      </c>
      <c r="X157" s="9">
        <f t="shared" si="5"/>
        <v>0.003376269894</v>
      </c>
      <c r="Y157" s="10">
        <v>539427.07</v>
      </c>
      <c r="Z157" s="10">
        <f t="shared" si="6"/>
        <v>109.3507136</v>
      </c>
      <c r="AA157" s="11">
        <f t="shared" si="7"/>
        <v>1.168967507</v>
      </c>
      <c r="AB157" s="8">
        <v>1557.0</v>
      </c>
      <c r="AC157" s="9">
        <f t="shared" si="8"/>
        <v>0.00337410284</v>
      </c>
      <c r="AD157" s="8">
        <v>60.0</v>
      </c>
      <c r="AE157" s="4" t="s">
        <v>195</v>
      </c>
      <c r="AF157" s="4" t="s">
        <v>668</v>
      </c>
      <c r="AG157" s="4"/>
    </row>
    <row r="158" ht="15.75" customHeight="1">
      <c r="A158" s="4" t="s">
        <v>669</v>
      </c>
      <c r="B158" s="4" t="s">
        <v>670</v>
      </c>
      <c r="C158" s="4" t="s">
        <v>64</v>
      </c>
      <c r="D158" s="4" t="s">
        <v>65</v>
      </c>
      <c r="E158" s="4" t="s">
        <v>66</v>
      </c>
      <c r="F158" s="7">
        <v>45749.6666666667</v>
      </c>
      <c r="G158" s="4" t="s">
        <v>74</v>
      </c>
      <c r="H158" s="4" t="s">
        <v>82</v>
      </c>
      <c r="I158" s="4" t="s">
        <v>671</v>
      </c>
      <c r="J158" s="4">
        <v>3.0</v>
      </c>
      <c r="K158" s="8">
        <v>133112.0</v>
      </c>
      <c r="L158" s="8">
        <v>132063.0</v>
      </c>
      <c r="M158" s="8">
        <v>1049.0</v>
      </c>
      <c r="N158" s="9">
        <f t="shared" si="1"/>
        <v>0.9921194182</v>
      </c>
      <c r="O158" s="8">
        <v>73969.0</v>
      </c>
      <c r="P158" s="8">
        <v>50213.0</v>
      </c>
      <c r="Q158" s="9">
        <f t="shared" si="2"/>
        <v>0.3802200465</v>
      </c>
      <c r="R158" s="8">
        <v>9468.0</v>
      </c>
      <c r="S158" s="8">
        <v>6147.0</v>
      </c>
      <c r="T158" s="9">
        <f t="shared" si="3"/>
        <v>0.0465459667</v>
      </c>
      <c r="U158" s="9">
        <f t="shared" si="4"/>
        <v>0.1224184972</v>
      </c>
      <c r="V158" s="8">
        <v>2912.0</v>
      </c>
      <c r="W158" s="8">
        <v>2480.0</v>
      </c>
      <c r="X158" s="9">
        <f t="shared" si="5"/>
        <v>0.01877891612</v>
      </c>
      <c r="Y158" s="10">
        <v>189173.81</v>
      </c>
      <c r="Z158" s="10">
        <f t="shared" si="6"/>
        <v>64.96353365</v>
      </c>
      <c r="AA158" s="11">
        <f t="shared" si="7"/>
        <v>1.432451254</v>
      </c>
      <c r="AB158" s="8">
        <v>117.0</v>
      </c>
      <c r="AC158" s="9">
        <f t="shared" si="8"/>
        <v>0.000885940801</v>
      </c>
      <c r="AD158" s="8">
        <v>23.0</v>
      </c>
      <c r="AE158" s="4" t="s">
        <v>190</v>
      </c>
      <c r="AF158" s="4"/>
      <c r="AG158" s="4"/>
    </row>
    <row r="159" ht="15.75" customHeight="1">
      <c r="A159" s="4" t="s">
        <v>672</v>
      </c>
      <c r="B159" s="4" t="s">
        <v>673</v>
      </c>
      <c r="C159" s="4" t="s">
        <v>88</v>
      </c>
      <c r="D159" s="4" t="s">
        <v>89</v>
      </c>
      <c r="E159" s="4" t="s">
        <v>66</v>
      </c>
      <c r="F159" s="7">
        <v>45749.6041666667</v>
      </c>
      <c r="G159" s="4" t="s">
        <v>118</v>
      </c>
      <c r="H159" s="4" t="s">
        <v>82</v>
      </c>
      <c r="I159" s="4" t="s">
        <v>674</v>
      </c>
      <c r="J159" s="4">
        <v>2.0</v>
      </c>
      <c r="K159" s="8">
        <v>81020.0</v>
      </c>
      <c r="L159" s="8">
        <v>80474.0</v>
      </c>
      <c r="M159" s="8">
        <v>546.0</v>
      </c>
      <c r="N159" s="9">
        <f t="shared" si="1"/>
        <v>0.9932609232</v>
      </c>
      <c r="O159" s="8">
        <v>40617.0</v>
      </c>
      <c r="P159" s="8">
        <v>28847.0</v>
      </c>
      <c r="Q159" s="9">
        <f t="shared" si="2"/>
        <v>0.3584636032</v>
      </c>
      <c r="R159" s="8">
        <v>4796.0</v>
      </c>
      <c r="S159" s="8">
        <v>2665.0</v>
      </c>
      <c r="T159" s="9">
        <f t="shared" si="3"/>
        <v>0.03311628601</v>
      </c>
      <c r="U159" s="9">
        <f t="shared" si="4"/>
        <v>0.09238395674</v>
      </c>
      <c r="V159" s="8">
        <v>2100.0</v>
      </c>
      <c r="W159" s="8">
        <v>1918.0</v>
      </c>
      <c r="X159" s="9">
        <f t="shared" si="5"/>
        <v>0.02383378482</v>
      </c>
      <c r="Y159" s="10">
        <v>102286.92</v>
      </c>
      <c r="Z159" s="10">
        <f t="shared" si="6"/>
        <v>48.70805714</v>
      </c>
      <c r="AA159" s="11">
        <f t="shared" si="7"/>
        <v>1.271055496</v>
      </c>
      <c r="AB159" s="8">
        <v>128.0</v>
      </c>
      <c r="AC159" s="9">
        <f t="shared" si="8"/>
        <v>0.001590575838</v>
      </c>
      <c r="AD159" s="8">
        <v>11.0</v>
      </c>
      <c r="AE159" s="4" t="s">
        <v>190</v>
      </c>
      <c r="AF159" s="4"/>
      <c r="AG159" s="4"/>
    </row>
    <row r="160" ht="15.75" customHeight="1">
      <c r="A160" s="4" t="s">
        <v>675</v>
      </c>
      <c r="B160" s="4" t="s">
        <v>676</v>
      </c>
      <c r="C160" s="4" t="s">
        <v>88</v>
      </c>
      <c r="D160" s="4" t="s">
        <v>89</v>
      </c>
      <c r="E160" s="4" t="s">
        <v>66</v>
      </c>
      <c r="F160" s="7">
        <v>45746.6875</v>
      </c>
      <c r="G160" s="4" t="s">
        <v>384</v>
      </c>
      <c r="H160" s="4" t="s">
        <v>59</v>
      </c>
      <c r="I160" s="4" t="s">
        <v>677</v>
      </c>
      <c r="J160" s="4">
        <v>2.0</v>
      </c>
      <c r="K160" s="8">
        <v>58297.0</v>
      </c>
      <c r="L160" s="8">
        <v>57884.0</v>
      </c>
      <c r="M160" s="8">
        <v>413.0</v>
      </c>
      <c r="N160" s="9">
        <f t="shared" si="1"/>
        <v>0.9929155874</v>
      </c>
      <c r="O160" s="8">
        <v>31209.0</v>
      </c>
      <c r="P160" s="8">
        <v>25051.0</v>
      </c>
      <c r="Q160" s="9">
        <f t="shared" si="2"/>
        <v>0.4327793518</v>
      </c>
      <c r="R160" s="8">
        <v>3867.0</v>
      </c>
      <c r="S160" s="8">
        <v>2464.0</v>
      </c>
      <c r="T160" s="9">
        <f t="shared" si="3"/>
        <v>0.04256789441</v>
      </c>
      <c r="U160" s="9">
        <f t="shared" si="4"/>
        <v>0.09835934693</v>
      </c>
      <c r="V160" s="8">
        <v>1858.0</v>
      </c>
      <c r="W160" s="8">
        <v>1707.0</v>
      </c>
      <c r="X160" s="9">
        <f t="shared" si="5"/>
        <v>0.02949001451</v>
      </c>
      <c r="Y160" s="10">
        <v>86247.19</v>
      </c>
      <c r="Z160" s="10">
        <f t="shared" si="6"/>
        <v>46.41937029</v>
      </c>
      <c r="AA160" s="11">
        <f t="shared" si="7"/>
        <v>1.490000518</v>
      </c>
      <c r="AB160" s="8">
        <v>94.0</v>
      </c>
      <c r="AC160" s="9">
        <f t="shared" si="8"/>
        <v>0.00162393753</v>
      </c>
      <c r="AD160" s="8">
        <v>1.0</v>
      </c>
      <c r="AE160" s="4" t="s">
        <v>150</v>
      </c>
      <c r="AF160" s="4"/>
      <c r="AG160" s="4"/>
    </row>
    <row r="161" ht="15.75" customHeight="1">
      <c r="A161" s="4" t="s">
        <v>678</v>
      </c>
      <c r="B161" s="4" t="s">
        <v>679</v>
      </c>
      <c r="C161" s="4" t="s">
        <v>680</v>
      </c>
      <c r="D161" s="4" t="s">
        <v>81</v>
      </c>
      <c r="E161" s="4" t="s">
        <v>57</v>
      </c>
      <c r="F161" s="7">
        <v>45743.6666666667</v>
      </c>
      <c r="G161" s="4" t="s">
        <v>74</v>
      </c>
      <c r="H161" s="4" t="s">
        <v>75</v>
      </c>
      <c r="I161" s="4" t="s">
        <v>681</v>
      </c>
      <c r="J161" s="4">
        <v>2.0</v>
      </c>
      <c r="K161" s="8">
        <v>144381.0</v>
      </c>
      <c r="L161" s="8">
        <v>140242.0</v>
      </c>
      <c r="M161" s="8">
        <v>4139.0</v>
      </c>
      <c r="N161" s="9">
        <f t="shared" si="1"/>
        <v>0.9713327931</v>
      </c>
      <c r="O161" s="8">
        <v>0.0</v>
      </c>
      <c r="P161" s="8">
        <v>0.0</v>
      </c>
      <c r="Q161" s="9">
        <f t="shared" si="2"/>
        <v>0</v>
      </c>
      <c r="R161" s="8">
        <v>13369.0</v>
      </c>
      <c r="S161" s="8">
        <v>11347.0</v>
      </c>
      <c r="T161" s="9">
        <f t="shared" si="3"/>
        <v>0.08091014104</v>
      </c>
      <c r="U161" s="9">
        <f t="shared" si="4"/>
        <v>0</v>
      </c>
      <c r="V161" s="8">
        <v>4198.0</v>
      </c>
      <c r="W161" s="8">
        <v>3984.0</v>
      </c>
      <c r="X161" s="9">
        <f t="shared" si="5"/>
        <v>0.02840803754</v>
      </c>
      <c r="Y161" s="10">
        <v>375228.79</v>
      </c>
      <c r="Z161" s="10">
        <f t="shared" si="6"/>
        <v>89.38275131</v>
      </c>
      <c r="AA161" s="11">
        <f t="shared" si="7"/>
        <v>2.67558071</v>
      </c>
      <c r="AB161" s="8">
        <v>401.0</v>
      </c>
      <c r="AC161" s="9">
        <f t="shared" si="8"/>
        <v>0.002859343135</v>
      </c>
      <c r="AD161" s="8">
        <v>0.0</v>
      </c>
      <c r="AE161" s="4" t="s">
        <v>84</v>
      </c>
      <c r="AF161" s="4" t="s">
        <v>509</v>
      </c>
      <c r="AG161" s="4"/>
    </row>
    <row r="162" ht="15.75" customHeight="1">
      <c r="A162" s="4" t="s">
        <v>682</v>
      </c>
      <c r="B162" s="4" t="s">
        <v>683</v>
      </c>
      <c r="C162" s="4" t="s">
        <v>569</v>
      </c>
      <c r="D162" s="4" t="s">
        <v>56</v>
      </c>
      <c r="E162" s="4" t="s">
        <v>57</v>
      </c>
      <c r="F162" s="7">
        <v>45742.6666666667</v>
      </c>
      <c r="G162" s="4" t="s">
        <v>74</v>
      </c>
      <c r="H162" s="4" t="s">
        <v>82</v>
      </c>
      <c r="I162" s="4" t="s">
        <v>303</v>
      </c>
      <c r="J162" s="4">
        <v>2.0</v>
      </c>
      <c r="K162" s="8">
        <v>64047.0</v>
      </c>
      <c r="L162" s="8">
        <v>61186.0</v>
      </c>
      <c r="M162" s="8">
        <v>2861.0</v>
      </c>
      <c r="N162" s="9">
        <f t="shared" si="1"/>
        <v>0.9553296798</v>
      </c>
      <c r="O162" s="8">
        <v>0.0</v>
      </c>
      <c r="P162" s="8">
        <v>0.0</v>
      </c>
      <c r="Q162" s="9">
        <f t="shared" si="2"/>
        <v>0</v>
      </c>
      <c r="R162" s="8">
        <v>7815.0</v>
      </c>
      <c r="S162" s="8">
        <v>6303.0</v>
      </c>
      <c r="T162" s="9">
        <f t="shared" si="3"/>
        <v>0.1030137613</v>
      </c>
      <c r="U162" s="9">
        <f t="shared" si="4"/>
        <v>0</v>
      </c>
      <c r="V162" s="8">
        <v>1756.0</v>
      </c>
      <c r="W162" s="8">
        <v>1627.0</v>
      </c>
      <c r="X162" s="9">
        <f t="shared" si="5"/>
        <v>0.02659105024</v>
      </c>
      <c r="Y162" s="10">
        <v>147645.59</v>
      </c>
      <c r="Z162" s="10">
        <f t="shared" si="6"/>
        <v>84.08063212</v>
      </c>
      <c r="AA162" s="11">
        <f t="shared" si="7"/>
        <v>2.413061648</v>
      </c>
      <c r="AB162" s="8">
        <v>438.0</v>
      </c>
      <c r="AC162" s="9">
        <f t="shared" si="8"/>
        <v>0.007158500311</v>
      </c>
      <c r="AD162" s="8">
        <v>0.0</v>
      </c>
      <c r="AE162" s="4" t="s">
        <v>93</v>
      </c>
      <c r="AF162" s="4"/>
      <c r="AG162" s="4"/>
    </row>
    <row r="163" ht="15.75" customHeight="1">
      <c r="A163" s="4" t="s">
        <v>684</v>
      </c>
      <c r="B163" s="4" t="s">
        <v>685</v>
      </c>
      <c r="C163" s="4" t="s">
        <v>686</v>
      </c>
      <c r="D163" s="4" t="s">
        <v>97</v>
      </c>
      <c r="E163" s="4" t="s">
        <v>66</v>
      </c>
      <c r="F163" s="7">
        <v>45736.7291666667</v>
      </c>
      <c r="G163" s="4" t="s">
        <v>181</v>
      </c>
      <c r="H163" s="4" t="s">
        <v>75</v>
      </c>
      <c r="I163" s="4" t="s">
        <v>687</v>
      </c>
      <c r="J163" s="4">
        <v>3.0</v>
      </c>
      <c r="K163" s="8">
        <v>216229.0</v>
      </c>
      <c r="L163" s="8">
        <v>215732.0</v>
      </c>
      <c r="M163" s="8">
        <v>497.0</v>
      </c>
      <c r="N163" s="9">
        <f t="shared" si="1"/>
        <v>0.9977015109</v>
      </c>
      <c r="O163" s="8">
        <v>126074.0</v>
      </c>
      <c r="P163" s="8">
        <v>84492.0</v>
      </c>
      <c r="Q163" s="9">
        <f t="shared" si="2"/>
        <v>0.391652606</v>
      </c>
      <c r="R163" s="8">
        <v>14710.0</v>
      </c>
      <c r="S163" s="8">
        <v>8360.0</v>
      </c>
      <c r="T163" s="9">
        <f t="shared" si="3"/>
        <v>0.03875178462</v>
      </c>
      <c r="U163" s="9">
        <f t="shared" si="4"/>
        <v>0.09894427875</v>
      </c>
      <c r="V163" s="8">
        <v>2130.0</v>
      </c>
      <c r="W163" s="8">
        <v>2060.0</v>
      </c>
      <c r="X163" s="9">
        <f t="shared" si="5"/>
        <v>0.009548884727</v>
      </c>
      <c r="Y163" s="10">
        <v>184510.2</v>
      </c>
      <c r="Z163" s="10">
        <f t="shared" si="6"/>
        <v>86.62450704</v>
      </c>
      <c r="AA163" s="11">
        <f t="shared" si="7"/>
        <v>0.8552750635</v>
      </c>
      <c r="AB163" s="8">
        <v>535.0</v>
      </c>
      <c r="AC163" s="9">
        <f t="shared" si="8"/>
        <v>0.002479928801</v>
      </c>
      <c r="AD163" s="8">
        <v>20.0</v>
      </c>
      <c r="AE163" s="4" t="s">
        <v>77</v>
      </c>
      <c r="AF163" s="4"/>
      <c r="AG163" s="4"/>
    </row>
    <row r="164" ht="15.75" customHeight="1">
      <c r="A164" s="4" t="s">
        <v>688</v>
      </c>
      <c r="B164" s="4" t="s">
        <v>689</v>
      </c>
      <c r="C164" s="4" t="s">
        <v>399</v>
      </c>
      <c r="D164" s="4" t="s">
        <v>73</v>
      </c>
      <c r="E164" s="4" t="s">
        <v>66</v>
      </c>
      <c r="F164" s="7">
        <v>45733.9375</v>
      </c>
      <c r="G164" s="4" t="s">
        <v>270</v>
      </c>
      <c r="H164" s="4" t="s">
        <v>98</v>
      </c>
      <c r="I164" s="4" t="s">
        <v>690</v>
      </c>
      <c r="J164" s="4">
        <v>3.0</v>
      </c>
      <c r="K164" s="8">
        <v>105165.0</v>
      </c>
      <c r="L164" s="8">
        <v>103894.0</v>
      </c>
      <c r="M164" s="8">
        <v>1271.0</v>
      </c>
      <c r="N164" s="9">
        <f t="shared" si="1"/>
        <v>0.98791423</v>
      </c>
      <c r="O164" s="8">
        <v>52835.0</v>
      </c>
      <c r="P164" s="8">
        <v>35329.0</v>
      </c>
      <c r="Q164" s="9">
        <f t="shared" si="2"/>
        <v>0.340048511</v>
      </c>
      <c r="R164" s="8">
        <v>3238.0</v>
      </c>
      <c r="S164" s="8">
        <v>2283.0</v>
      </c>
      <c r="T164" s="9">
        <f t="shared" si="3"/>
        <v>0.02197431998</v>
      </c>
      <c r="U164" s="9">
        <f t="shared" si="4"/>
        <v>0.06462113278</v>
      </c>
      <c r="V164" s="8">
        <v>977.0</v>
      </c>
      <c r="W164" s="8">
        <v>876.0</v>
      </c>
      <c r="X164" s="9">
        <f t="shared" si="5"/>
        <v>0.008431670741</v>
      </c>
      <c r="Y164" s="10">
        <v>77858.39</v>
      </c>
      <c r="Z164" s="10">
        <f t="shared" si="6"/>
        <v>79.69128966</v>
      </c>
      <c r="AA164" s="11">
        <f t="shared" si="7"/>
        <v>0.7494021791</v>
      </c>
      <c r="AB164" s="8">
        <v>221.0</v>
      </c>
      <c r="AC164" s="9">
        <f t="shared" si="8"/>
        <v>0.002127168075</v>
      </c>
      <c r="AD164" s="8">
        <v>30.0</v>
      </c>
      <c r="AE164" s="4" t="s">
        <v>195</v>
      </c>
      <c r="AF164" s="4"/>
      <c r="AG164" s="4"/>
    </row>
    <row r="165" ht="15.75" customHeight="1">
      <c r="A165" s="4" t="s">
        <v>691</v>
      </c>
      <c r="B165" s="4" t="s">
        <v>692</v>
      </c>
      <c r="C165" s="4" t="s">
        <v>693</v>
      </c>
      <c r="D165" s="4" t="s">
        <v>56</v>
      </c>
      <c r="E165" s="4" t="s">
        <v>66</v>
      </c>
      <c r="F165" s="7">
        <v>45729.8958333333</v>
      </c>
      <c r="G165" s="4" t="s">
        <v>142</v>
      </c>
      <c r="H165" s="4" t="s">
        <v>75</v>
      </c>
      <c r="I165" s="4" t="s">
        <v>694</v>
      </c>
      <c r="J165" s="4">
        <v>2.0</v>
      </c>
      <c r="K165" s="8">
        <v>70996.0</v>
      </c>
      <c r="L165" s="8">
        <v>70297.0</v>
      </c>
      <c r="M165" s="8">
        <v>699.0</v>
      </c>
      <c r="N165" s="9">
        <f t="shared" si="1"/>
        <v>0.9901543749</v>
      </c>
      <c r="O165" s="8">
        <v>40088.0</v>
      </c>
      <c r="P165" s="8">
        <v>30889.0</v>
      </c>
      <c r="Q165" s="9">
        <f t="shared" si="2"/>
        <v>0.4394070871</v>
      </c>
      <c r="R165" s="8">
        <v>3883.0</v>
      </c>
      <c r="S165" s="8">
        <v>2540.0</v>
      </c>
      <c r="T165" s="9">
        <f t="shared" si="3"/>
        <v>0.03613240963</v>
      </c>
      <c r="U165" s="9">
        <f t="shared" si="4"/>
        <v>0.08222992004</v>
      </c>
      <c r="V165" s="8">
        <v>2013.0</v>
      </c>
      <c r="W165" s="8">
        <v>1916.0</v>
      </c>
      <c r="X165" s="9">
        <f t="shared" si="5"/>
        <v>0.02725578616</v>
      </c>
      <c r="Y165" s="10">
        <v>175835.39</v>
      </c>
      <c r="Z165" s="10">
        <f t="shared" si="6"/>
        <v>87.34992052</v>
      </c>
      <c r="AA165" s="11">
        <f t="shared" si="7"/>
        <v>2.501321394</v>
      </c>
      <c r="AB165" s="8">
        <v>163.0</v>
      </c>
      <c r="AC165" s="9">
        <f t="shared" si="8"/>
        <v>0.002318733374</v>
      </c>
      <c r="AD165" s="8">
        <v>9.0</v>
      </c>
      <c r="AE165" s="4" t="s">
        <v>112</v>
      </c>
      <c r="AF165" s="4"/>
      <c r="AG165" s="4"/>
    </row>
    <row r="166" ht="15.75" customHeight="1">
      <c r="A166" s="4" t="s">
        <v>695</v>
      </c>
      <c r="B166" s="4" t="s">
        <v>696</v>
      </c>
      <c r="C166" s="4" t="s">
        <v>697</v>
      </c>
      <c r="D166" s="4" t="s">
        <v>104</v>
      </c>
      <c r="E166" s="4" t="s">
        <v>66</v>
      </c>
      <c r="F166" s="7">
        <v>45729.8333333333</v>
      </c>
      <c r="G166" s="4" t="s">
        <v>188</v>
      </c>
      <c r="H166" s="4" t="s">
        <v>75</v>
      </c>
      <c r="I166" s="4" t="s">
        <v>698</v>
      </c>
      <c r="J166" s="4">
        <v>2.0</v>
      </c>
      <c r="K166" s="8">
        <v>84661.0</v>
      </c>
      <c r="L166" s="8">
        <v>83660.0</v>
      </c>
      <c r="M166" s="8">
        <v>1001.0</v>
      </c>
      <c r="N166" s="9">
        <f t="shared" si="1"/>
        <v>0.988176374</v>
      </c>
      <c r="O166" s="8">
        <v>48697.0</v>
      </c>
      <c r="P166" s="8">
        <v>32962.0</v>
      </c>
      <c r="Q166" s="9">
        <f t="shared" si="2"/>
        <v>0.3939995219</v>
      </c>
      <c r="R166" s="8">
        <v>3869.0</v>
      </c>
      <c r="S166" s="8">
        <v>2409.0</v>
      </c>
      <c r="T166" s="9">
        <f t="shared" si="3"/>
        <v>0.02879512312</v>
      </c>
      <c r="U166" s="9">
        <f t="shared" si="4"/>
        <v>0.07308415751</v>
      </c>
      <c r="V166" s="8">
        <v>1244.0</v>
      </c>
      <c r="W166" s="8">
        <v>1165.0</v>
      </c>
      <c r="X166" s="9">
        <f t="shared" si="5"/>
        <v>0.01392541238</v>
      </c>
      <c r="Y166" s="10">
        <v>101632.84</v>
      </c>
      <c r="Z166" s="10">
        <f t="shared" si="6"/>
        <v>81.69842444</v>
      </c>
      <c r="AA166" s="11">
        <f t="shared" si="7"/>
        <v>1.214831939</v>
      </c>
      <c r="AB166" s="8">
        <v>93.0</v>
      </c>
      <c r="AC166" s="9">
        <f t="shared" si="8"/>
        <v>0.001111642362</v>
      </c>
      <c r="AD166" s="8">
        <v>1.0</v>
      </c>
      <c r="AE166" s="4" t="s">
        <v>232</v>
      </c>
      <c r="AF166" s="4"/>
      <c r="AG166" s="4"/>
    </row>
    <row r="167" ht="15.75" customHeight="1">
      <c r="A167" s="4" t="s">
        <v>699</v>
      </c>
      <c r="B167" s="4" t="s">
        <v>700</v>
      </c>
      <c r="C167" s="4" t="s">
        <v>701</v>
      </c>
      <c r="D167" s="4" t="s">
        <v>81</v>
      </c>
      <c r="E167" s="4" t="s">
        <v>66</v>
      </c>
      <c r="F167" s="7">
        <v>45727.8333333333</v>
      </c>
      <c r="G167" s="4" t="s">
        <v>188</v>
      </c>
      <c r="H167" s="4" t="s">
        <v>91</v>
      </c>
      <c r="I167" s="4" t="s">
        <v>702</v>
      </c>
      <c r="J167" s="4">
        <v>2.0</v>
      </c>
      <c r="K167" s="8">
        <v>51919.0</v>
      </c>
      <c r="L167" s="8">
        <v>51370.0</v>
      </c>
      <c r="M167" s="8">
        <v>549.0</v>
      </c>
      <c r="N167" s="9">
        <f t="shared" si="1"/>
        <v>0.9894258364</v>
      </c>
      <c r="O167" s="8">
        <v>35209.0</v>
      </c>
      <c r="P167" s="8">
        <v>24201.0</v>
      </c>
      <c r="Q167" s="9">
        <f t="shared" si="2"/>
        <v>0.4711115437</v>
      </c>
      <c r="R167" s="8">
        <v>3515.0</v>
      </c>
      <c r="S167" s="8">
        <v>2599.0</v>
      </c>
      <c r="T167" s="9">
        <f t="shared" si="3"/>
        <v>0.05059373175</v>
      </c>
      <c r="U167" s="9">
        <f t="shared" si="4"/>
        <v>0.1073922565</v>
      </c>
      <c r="V167" s="8">
        <v>369.0</v>
      </c>
      <c r="W167" s="8">
        <v>344.0</v>
      </c>
      <c r="X167" s="9">
        <f t="shared" si="5"/>
        <v>0.006696515476</v>
      </c>
      <c r="Y167" s="10">
        <v>36363.29</v>
      </c>
      <c r="Z167" s="10">
        <f t="shared" si="6"/>
        <v>98.54550136</v>
      </c>
      <c r="AA167" s="11">
        <f t="shared" si="7"/>
        <v>0.7078701577</v>
      </c>
      <c r="AB167" s="8">
        <v>152.0</v>
      </c>
      <c r="AC167" s="9">
        <f t="shared" si="8"/>
        <v>0.002958925443</v>
      </c>
      <c r="AD167" s="8">
        <v>7.0</v>
      </c>
      <c r="AE167" s="4" t="s">
        <v>190</v>
      </c>
      <c r="AF167" s="4" t="s">
        <v>663</v>
      </c>
      <c r="AG167" s="4"/>
    </row>
    <row r="168" ht="15.75" customHeight="1">
      <c r="A168" s="4" t="s">
        <v>703</v>
      </c>
      <c r="B168" s="4" t="s">
        <v>704</v>
      </c>
      <c r="C168" s="4" t="s">
        <v>122</v>
      </c>
      <c r="D168" s="4" t="s">
        <v>123</v>
      </c>
      <c r="E168" s="4" t="s">
        <v>66</v>
      </c>
      <c r="F168" s="7">
        <v>45724.8333333333</v>
      </c>
      <c r="G168" s="4" t="s">
        <v>188</v>
      </c>
      <c r="H168" s="4" t="s">
        <v>105</v>
      </c>
      <c r="I168" s="4" t="s">
        <v>705</v>
      </c>
      <c r="J168" s="4">
        <v>4.0</v>
      </c>
      <c r="K168" s="8">
        <v>69060.0</v>
      </c>
      <c r="L168" s="8">
        <v>68699.0</v>
      </c>
      <c r="M168" s="8">
        <v>361.0</v>
      </c>
      <c r="N168" s="9">
        <f t="shared" si="1"/>
        <v>0.9947726615</v>
      </c>
      <c r="O168" s="8">
        <v>22251.0</v>
      </c>
      <c r="P168" s="8">
        <v>16161.0</v>
      </c>
      <c r="Q168" s="9">
        <f t="shared" si="2"/>
        <v>0.2352435989</v>
      </c>
      <c r="R168" s="8">
        <v>1070.0</v>
      </c>
      <c r="S168" s="8">
        <v>601.0</v>
      </c>
      <c r="T168" s="9">
        <f t="shared" si="3"/>
        <v>0.008748307836</v>
      </c>
      <c r="U168" s="9">
        <f t="shared" si="4"/>
        <v>0.0371882928</v>
      </c>
      <c r="V168" s="8">
        <v>491.0</v>
      </c>
      <c r="W168" s="8">
        <v>426.0</v>
      </c>
      <c r="X168" s="9">
        <f t="shared" si="5"/>
        <v>0.006200963624</v>
      </c>
      <c r="Y168" s="10">
        <v>30375.17</v>
      </c>
      <c r="Z168" s="10">
        <f t="shared" si="6"/>
        <v>61.86389002</v>
      </c>
      <c r="AA168" s="11">
        <f t="shared" si="7"/>
        <v>0.4421486485</v>
      </c>
      <c r="AB168" s="8">
        <v>54.0</v>
      </c>
      <c r="AC168" s="9">
        <f t="shared" si="8"/>
        <v>0.0007860376425</v>
      </c>
      <c r="AD168" s="8">
        <v>12.0</v>
      </c>
      <c r="AE168" s="4" t="s">
        <v>150</v>
      </c>
      <c r="AF168" s="4"/>
      <c r="AG168" s="4"/>
    </row>
    <row r="169" ht="15.75" customHeight="1">
      <c r="A169" s="4" t="s">
        <v>706</v>
      </c>
      <c r="B169" s="4" t="s">
        <v>707</v>
      </c>
      <c r="C169" s="4" t="s">
        <v>708</v>
      </c>
      <c r="D169" s="4" t="s">
        <v>81</v>
      </c>
      <c r="E169" s="4" t="s">
        <v>57</v>
      </c>
      <c r="F169" s="7">
        <v>45724.5833333333</v>
      </c>
      <c r="G169" s="4" t="s">
        <v>168</v>
      </c>
      <c r="H169" s="4" t="s">
        <v>105</v>
      </c>
      <c r="I169" s="4" t="s">
        <v>709</v>
      </c>
      <c r="J169" s="4">
        <v>3.0</v>
      </c>
      <c r="K169" s="8">
        <v>69265.0</v>
      </c>
      <c r="L169" s="8">
        <v>68457.0</v>
      </c>
      <c r="M169" s="8">
        <v>808.0</v>
      </c>
      <c r="N169" s="9">
        <f t="shared" si="1"/>
        <v>0.9883346568</v>
      </c>
      <c r="O169" s="8">
        <v>0.0</v>
      </c>
      <c r="P169" s="8">
        <v>0.0</v>
      </c>
      <c r="Q169" s="9">
        <f t="shared" si="2"/>
        <v>0</v>
      </c>
      <c r="R169" s="8">
        <v>6644.0</v>
      </c>
      <c r="S169" s="8">
        <v>5715.0</v>
      </c>
      <c r="T169" s="9">
        <f t="shared" si="3"/>
        <v>0.08348306236</v>
      </c>
      <c r="U169" s="9">
        <f t="shared" si="4"/>
        <v>0</v>
      </c>
      <c r="V169" s="8">
        <v>2029.0</v>
      </c>
      <c r="W169" s="8">
        <v>1956.0</v>
      </c>
      <c r="X169" s="9">
        <f t="shared" si="5"/>
        <v>0.02857268066</v>
      </c>
      <c r="Y169" s="10">
        <v>168076.66</v>
      </c>
      <c r="Z169" s="10">
        <f t="shared" si="6"/>
        <v>82.83719073</v>
      </c>
      <c r="AA169" s="11">
        <f t="shared" si="7"/>
        <v>2.455215099</v>
      </c>
      <c r="AB169" s="8">
        <v>250.0</v>
      </c>
      <c r="AC169" s="9">
        <f t="shared" si="8"/>
        <v>0.003651927487</v>
      </c>
      <c r="AD169" s="8">
        <v>0.0</v>
      </c>
      <c r="AE169" s="4" t="s">
        <v>93</v>
      </c>
      <c r="AF169" s="4" t="s">
        <v>151</v>
      </c>
      <c r="AG169" s="4"/>
    </row>
    <row r="170" ht="15.75" customHeight="1">
      <c r="A170" s="4" t="s">
        <v>710</v>
      </c>
      <c r="B170" s="4" t="s">
        <v>711</v>
      </c>
      <c r="C170" s="4" t="s">
        <v>712</v>
      </c>
      <c r="D170" s="4" t="s">
        <v>187</v>
      </c>
      <c r="E170" s="4" t="s">
        <v>66</v>
      </c>
      <c r="F170" s="7">
        <v>45722.6875</v>
      </c>
      <c r="G170" s="4" t="s">
        <v>384</v>
      </c>
      <c r="H170" s="4" t="s">
        <v>75</v>
      </c>
      <c r="I170" s="4" t="s">
        <v>149</v>
      </c>
      <c r="J170" s="4">
        <v>1.0</v>
      </c>
      <c r="K170" s="8">
        <v>61492.0</v>
      </c>
      <c r="L170" s="8">
        <v>61113.0</v>
      </c>
      <c r="M170" s="8">
        <v>379.0</v>
      </c>
      <c r="N170" s="9">
        <f t="shared" si="1"/>
        <v>0.9938365966</v>
      </c>
      <c r="O170" s="8">
        <v>24977.0</v>
      </c>
      <c r="P170" s="8">
        <v>19164.0</v>
      </c>
      <c r="Q170" s="9">
        <f t="shared" si="2"/>
        <v>0.3135830347</v>
      </c>
      <c r="R170" s="8">
        <v>1985.0</v>
      </c>
      <c r="S170" s="8">
        <v>1175.0</v>
      </c>
      <c r="T170" s="9">
        <f t="shared" si="3"/>
        <v>0.01922667845</v>
      </c>
      <c r="U170" s="9">
        <f t="shared" si="4"/>
        <v>0.06131287831</v>
      </c>
      <c r="V170" s="8">
        <v>1070.0</v>
      </c>
      <c r="W170" s="8">
        <v>934.0</v>
      </c>
      <c r="X170" s="9">
        <f t="shared" si="5"/>
        <v>0.01528316397</v>
      </c>
      <c r="Y170" s="10">
        <v>83718.21</v>
      </c>
      <c r="Z170" s="10">
        <f t="shared" si="6"/>
        <v>78.24131776</v>
      </c>
      <c r="AA170" s="11">
        <f t="shared" si="7"/>
        <v>1.369892003</v>
      </c>
      <c r="AB170" s="8">
        <v>123.0</v>
      </c>
      <c r="AC170" s="9">
        <f t="shared" si="8"/>
        <v>0.002012665063</v>
      </c>
      <c r="AD170" s="8">
        <v>16.0</v>
      </c>
      <c r="AE170" s="4" t="s">
        <v>137</v>
      </c>
      <c r="AF170" s="4"/>
      <c r="AG170" s="4"/>
    </row>
    <row r="171" ht="15.75" customHeight="1">
      <c r="A171" s="4" t="s">
        <v>713</v>
      </c>
      <c r="B171" s="4" t="s">
        <v>714</v>
      </c>
      <c r="C171" s="4" t="s">
        <v>254</v>
      </c>
      <c r="D171" s="4" t="s">
        <v>73</v>
      </c>
      <c r="E171" s="4" t="s">
        <v>66</v>
      </c>
      <c r="F171" s="7">
        <v>45720.7291666667</v>
      </c>
      <c r="G171" s="4" t="s">
        <v>181</v>
      </c>
      <c r="H171" s="4" t="s">
        <v>91</v>
      </c>
      <c r="I171" s="4" t="s">
        <v>715</v>
      </c>
      <c r="J171" s="4">
        <v>3.0</v>
      </c>
      <c r="K171" s="8">
        <v>506306.0</v>
      </c>
      <c r="L171" s="8">
        <v>499540.0</v>
      </c>
      <c r="M171" s="8">
        <v>6766.0</v>
      </c>
      <c r="N171" s="9">
        <f t="shared" si="1"/>
        <v>0.98663654</v>
      </c>
      <c r="O171" s="8">
        <v>221000.0</v>
      </c>
      <c r="P171" s="8">
        <v>161388.0</v>
      </c>
      <c r="Q171" s="9">
        <f t="shared" si="2"/>
        <v>0.3230732274</v>
      </c>
      <c r="R171" s="8">
        <v>11068.0</v>
      </c>
      <c r="S171" s="8">
        <v>6578.0</v>
      </c>
      <c r="T171" s="9">
        <f t="shared" si="3"/>
        <v>0.01316811467</v>
      </c>
      <c r="U171" s="9">
        <f t="shared" si="4"/>
        <v>0.0407589164</v>
      </c>
      <c r="V171" s="8">
        <v>3614.0</v>
      </c>
      <c r="W171" s="8">
        <v>3173.0</v>
      </c>
      <c r="X171" s="9">
        <f t="shared" si="5"/>
        <v>0.006351843696</v>
      </c>
      <c r="Y171" s="10">
        <v>313156.25</v>
      </c>
      <c r="Z171" s="10">
        <f t="shared" si="6"/>
        <v>86.65087161</v>
      </c>
      <c r="AA171" s="11">
        <f t="shared" si="7"/>
        <v>0.6268892381</v>
      </c>
      <c r="AB171" s="8">
        <v>824.0</v>
      </c>
      <c r="AC171" s="9">
        <f t="shared" si="8"/>
        <v>0.001649517556</v>
      </c>
      <c r="AD171" s="8">
        <v>30.0</v>
      </c>
      <c r="AE171" s="4" t="s">
        <v>112</v>
      </c>
      <c r="AF171" s="4"/>
      <c r="AG171" s="4"/>
    </row>
    <row r="172" ht="15.75" customHeight="1">
      <c r="A172" s="4" t="s">
        <v>716</v>
      </c>
      <c r="B172" s="4" t="s">
        <v>717</v>
      </c>
      <c r="C172" s="4" t="s">
        <v>641</v>
      </c>
      <c r="D172" s="4" t="s">
        <v>117</v>
      </c>
      <c r="E172" s="4" t="s">
        <v>66</v>
      </c>
      <c r="F172" s="7">
        <v>45719.6041666667</v>
      </c>
      <c r="G172" s="4" t="s">
        <v>118</v>
      </c>
      <c r="H172" s="4" t="s">
        <v>98</v>
      </c>
      <c r="I172" s="4" t="s">
        <v>718</v>
      </c>
      <c r="J172" s="4">
        <v>2.0</v>
      </c>
      <c r="K172" s="8">
        <v>200947.0</v>
      </c>
      <c r="L172" s="8">
        <v>199597.0</v>
      </c>
      <c r="M172" s="8">
        <v>1350.0</v>
      </c>
      <c r="N172" s="9">
        <f t="shared" si="1"/>
        <v>0.9932818106</v>
      </c>
      <c r="O172" s="8">
        <v>113391.0</v>
      </c>
      <c r="P172" s="8">
        <v>86013.0</v>
      </c>
      <c r="Q172" s="9">
        <f t="shared" si="2"/>
        <v>0.4309333307</v>
      </c>
      <c r="R172" s="8">
        <v>9059.0</v>
      </c>
      <c r="S172" s="8">
        <v>6806.0</v>
      </c>
      <c r="T172" s="9">
        <f t="shared" si="3"/>
        <v>0.0340987089</v>
      </c>
      <c r="U172" s="9">
        <f t="shared" si="4"/>
        <v>0.07912757374</v>
      </c>
      <c r="V172" s="8">
        <v>947.0</v>
      </c>
      <c r="W172" s="8">
        <v>821.0</v>
      </c>
      <c r="X172" s="9">
        <f t="shared" si="5"/>
        <v>0.004113288276</v>
      </c>
      <c r="Y172" s="10">
        <v>69249.58</v>
      </c>
      <c r="Z172" s="10">
        <f t="shared" si="6"/>
        <v>73.12521647</v>
      </c>
      <c r="AA172" s="11">
        <f t="shared" si="7"/>
        <v>0.3469469982</v>
      </c>
      <c r="AB172" s="8">
        <v>694.0</v>
      </c>
      <c r="AC172" s="9">
        <f t="shared" si="8"/>
        <v>0.003477006167</v>
      </c>
      <c r="AD172" s="8">
        <v>55.0</v>
      </c>
      <c r="AE172" s="4" t="s">
        <v>227</v>
      </c>
      <c r="AF172" s="4"/>
      <c r="AG172" s="4"/>
    </row>
    <row r="173" ht="15.75" customHeight="1">
      <c r="A173" s="4" t="s">
        <v>719</v>
      </c>
      <c r="B173" s="4" t="s">
        <v>720</v>
      </c>
      <c r="C173" s="4" t="s">
        <v>254</v>
      </c>
      <c r="D173" s="4" t="s">
        <v>73</v>
      </c>
      <c r="E173" s="4" t="s">
        <v>66</v>
      </c>
      <c r="F173" s="7">
        <v>45716.5625</v>
      </c>
      <c r="G173" s="4" t="s">
        <v>148</v>
      </c>
      <c r="H173" s="4" t="s">
        <v>135</v>
      </c>
      <c r="I173" s="4" t="s">
        <v>721</v>
      </c>
      <c r="J173" s="4">
        <v>4.0</v>
      </c>
      <c r="K173" s="8">
        <v>394418.0</v>
      </c>
      <c r="L173" s="8">
        <v>389671.0</v>
      </c>
      <c r="M173" s="8">
        <v>4747.0</v>
      </c>
      <c r="N173" s="9">
        <f t="shared" si="1"/>
        <v>0.9879645452</v>
      </c>
      <c r="O173" s="8">
        <v>187821.0</v>
      </c>
      <c r="P173" s="8">
        <v>137506.0</v>
      </c>
      <c r="Q173" s="9">
        <f t="shared" si="2"/>
        <v>0.3528771707</v>
      </c>
      <c r="R173" s="8">
        <v>9745.0</v>
      </c>
      <c r="S173" s="8">
        <v>6997.0</v>
      </c>
      <c r="T173" s="9">
        <f t="shared" si="3"/>
        <v>0.01795617328</v>
      </c>
      <c r="U173" s="9">
        <f t="shared" si="4"/>
        <v>0.05088505229</v>
      </c>
      <c r="V173" s="8">
        <v>4122.0</v>
      </c>
      <c r="W173" s="8">
        <v>3707.0</v>
      </c>
      <c r="X173" s="9">
        <f t="shared" si="5"/>
        <v>0.009513153404</v>
      </c>
      <c r="Y173" s="10">
        <v>347767.85</v>
      </c>
      <c r="Z173" s="10">
        <f t="shared" si="6"/>
        <v>84.36871664</v>
      </c>
      <c r="AA173" s="11">
        <f t="shared" si="7"/>
        <v>0.8924653105</v>
      </c>
      <c r="AB173" s="8">
        <v>597.0</v>
      </c>
      <c r="AC173" s="9">
        <f t="shared" si="8"/>
        <v>0.001532061662</v>
      </c>
      <c r="AD173" s="8">
        <v>34.0</v>
      </c>
      <c r="AE173" s="4" t="s">
        <v>126</v>
      </c>
      <c r="AF173" s="4"/>
      <c r="AG173" s="4"/>
    </row>
    <row r="174" ht="15.75" customHeight="1">
      <c r="A174" s="4" t="s">
        <v>722</v>
      </c>
      <c r="B174" s="4" t="s">
        <v>723</v>
      </c>
      <c r="C174" s="4" t="s">
        <v>64</v>
      </c>
      <c r="D174" s="4" t="s">
        <v>65</v>
      </c>
      <c r="E174" s="4" t="s">
        <v>66</v>
      </c>
      <c r="F174" s="7">
        <v>45713.875</v>
      </c>
      <c r="G174" s="4" t="s">
        <v>155</v>
      </c>
      <c r="H174" s="4" t="s">
        <v>91</v>
      </c>
      <c r="I174" s="4" t="s">
        <v>724</v>
      </c>
      <c r="J174" s="4">
        <v>2.0</v>
      </c>
      <c r="K174" s="8">
        <v>37174.0</v>
      </c>
      <c r="L174" s="8">
        <v>36952.0</v>
      </c>
      <c r="M174" s="8">
        <v>222.0</v>
      </c>
      <c r="N174" s="9">
        <f t="shared" si="1"/>
        <v>0.9940280841</v>
      </c>
      <c r="O174" s="8">
        <v>19450.0</v>
      </c>
      <c r="P174" s="8">
        <v>14002.0</v>
      </c>
      <c r="Q174" s="9">
        <f t="shared" si="2"/>
        <v>0.3789240095</v>
      </c>
      <c r="R174" s="8">
        <v>2211.0</v>
      </c>
      <c r="S174" s="8">
        <v>1356.0</v>
      </c>
      <c r="T174" s="9">
        <f t="shared" si="3"/>
        <v>0.0366962546</v>
      </c>
      <c r="U174" s="9">
        <f t="shared" si="4"/>
        <v>0.0968433081</v>
      </c>
      <c r="V174" s="8">
        <v>1286.0</v>
      </c>
      <c r="W174" s="8">
        <v>1138.0</v>
      </c>
      <c r="X174" s="9">
        <f t="shared" si="5"/>
        <v>0.03079670924</v>
      </c>
      <c r="Y174" s="10">
        <v>98312.45</v>
      </c>
      <c r="Z174" s="10">
        <f t="shared" si="6"/>
        <v>76.44825039</v>
      </c>
      <c r="AA174" s="11">
        <f t="shared" si="7"/>
        <v>2.660544761</v>
      </c>
      <c r="AB174" s="8">
        <v>36.0</v>
      </c>
      <c r="AC174" s="9">
        <f t="shared" si="8"/>
        <v>0.0009742368478</v>
      </c>
      <c r="AD174" s="8">
        <v>9.0</v>
      </c>
      <c r="AE174" s="4" t="s">
        <v>144</v>
      </c>
      <c r="AF174" s="4"/>
      <c r="AG174" s="4"/>
    </row>
    <row r="175" ht="15.75" customHeight="1">
      <c r="A175" s="4" t="s">
        <v>725</v>
      </c>
      <c r="B175" s="4" t="s">
        <v>726</v>
      </c>
      <c r="C175" s="4" t="s">
        <v>727</v>
      </c>
      <c r="D175" s="4" t="s">
        <v>187</v>
      </c>
      <c r="E175" s="4" t="s">
        <v>66</v>
      </c>
      <c r="F175" s="7">
        <v>45712.7291666667</v>
      </c>
      <c r="G175" s="4" t="s">
        <v>181</v>
      </c>
      <c r="H175" s="4" t="s">
        <v>98</v>
      </c>
      <c r="I175" s="4" t="s">
        <v>728</v>
      </c>
      <c r="J175" s="4">
        <v>2.0</v>
      </c>
      <c r="K175" s="8">
        <v>38854.0</v>
      </c>
      <c r="L175" s="8">
        <v>38639.0</v>
      </c>
      <c r="M175" s="8">
        <v>215.0</v>
      </c>
      <c r="N175" s="9">
        <f t="shared" si="1"/>
        <v>0.9944664642</v>
      </c>
      <c r="O175" s="8">
        <v>19454.0</v>
      </c>
      <c r="P175" s="8">
        <v>13064.0</v>
      </c>
      <c r="Q175" s="9">
        <f t="shared" si="2"/>
        <v>0.3381039882</v>
      </c>
      <c r="R175" s="8">
        <v>1052.0</v>
      </c>
      <c r="S175" s="8">
        <v>603.0</v>
      </c>
      <c r="T175" s="9">
        <f t="shared" si="3"/>
        <v>0.01560599394</v>
      </c>
      <c r="U175" s="9">
        <f t="shared" si="4"/>
        <v>0.04615737906</v>
      </c>
      <c r="V175" s="8">
        <v>611.0</v>
      </c>
      <c r="W175" s="8">
        <v>592.0</v>
      </c>
      <c r="X175" s="9">
        <f t="shared" si="5"/>
        <v>0.01532130749</v>
      </c>
      <c r="Y175" s="10">
        <v>40397.73</v>
      </c>
      <c r="Z175" s="10">
        <f t="shared" si="6"/>
        <v>66.11739771</v>
      </c>
      <c r="AA175" s="11">
        <f t="shared" si="7"/>
        <v>1.045516965</v>
      </c>
      <c r="AB175" s="8">
        <v>30.0</v>
      </c>
      <c r="AC175" s="9">
        <f t="shared" si="8"/>
        <v>0.0007764176092</v>
      </c>
      <c r="AD175" s="8">
        <v>11.0</v>
      </c>
      <c r="AE175" s="4" t="s">
        <v>227</v>
      </c>
      <c r="AF175" s="4"/>
      <c r="AG175" s="4"/>
    </row>
    <row r="176" ht="15.75" customHeight="1">
      <c r="A176" s="4" t="s">
        <v>729</v>
      </c>
      <c r="B176" s="4" t="s">
        <v>730</v>
      </c>
      <c r="C176" s="4" t="s">
        <v>731</v>
      </c>
      <c r="D176" s="4" t="s">
        <v>199</v>
      </c>
      <c r="E176" s="4" t="s">
        <v>57</v>
      </c>
      <c r="F176" s="7">
        <v>45712.5833333333</v>
      </c>
      <c r="G176" s="4" t="s">
        <v>168</v>
      </c>
      <c r="H176" s="4" t="s">
        <v>98</v>
      </c>
      <c r="I176" s="4" t="s">
        <v>732</v>
      </c>
      <c r="J176" s="4">
        <v>3.0</v>
      </c>
      <c r="K176" s="8">
        <v>36097.0</v>
      </c>
      <c r="L176" s="8">
        <v>35482.0</v>
      </c>
      <c r="M176" s="8">
        <v>615.0</v>
      </c>
      <c r="N176" s="9">
        <f t="shared" si="1"/>
        <v>0.9829625731</v>
      </c>
      <c r="O176" s="8">
        <v>0.0</v>
      </c>
      <c r="P176" s="8">
        <v>0.0</v>
      </c>
      <c r="Q176" s="9">
        <f t="shared" si="2"/>
        <v>0</v>
      </c>
      <c r="R176" s="8">
        <v>3530.0</v>
      </c>
      <c r="S176" s="8">
        <v>3024.0</v>
      </c>
      <c r="T176" s="9">
        <f t="shared" si="3"/>
        <v>0.08522631193</v>
      </c>
      <c r="U176" s="9">
        <f t="shared" si="4"/>
        <v>0</v>
      </c>
      <c r="V176" s="8">
        <v>1026.0</v>
      </c>
      <c r="W176" s="8">
        <v>927.0</v>
      </c>
      <c r="X176" s="9">
        <f t="shared" si="5"/>
        <v>0.026125923</v>
      </c>
      <c r="Y176" s="10">
        <v>84831.15</v>
      </c>
      <c r="Z176" s="10">
        <f t="shared" si="6"/>
        <v>82.68143275</v>
      </c>
      <c r="AA176" s="11">
        <f t="shared" si="7"/>
        <v>2.390822107</v>
      </c>
      <c r="AB176" s="8">
        <v>214.0</v>
      </c>
      <c r="AC176" s="9">
        <f t="shared" si="8"/>
        <v>0.006031227101</v>
      </c>
      <c r="AD176" s="8">
        <v>0.0</v>
      </c>
      <c r="AE176" s="4" t="s">
        <v>137</v>
      </c>
      <c r="AF176" s="4"/>
      <c r="AG176" s="4"/>
    </row>
    <row r="177" ht="15.75" customHeight="1">
      <c r="A177" s="4" t="s">
        <v>733</v>
      </c>
      <c r="B177" s="4" t="s">
        <v>734</v>
      </c>
      <c r="C177" s="4" t="s">
        <v>306</v>
      </c>
      <c r="D177" s="4" t="s">
        <v>65</v>
      </c>
      <c r="E177" s="4" t="s">
        <v>66</v>
      </c>
      <c r="F177" s="7">
        <v>45710.9166666667</v>
      </c>
      <c r="G177" s="4" t="s">
        <v>67</v>
      </c>
      <c r="H177" s="4" t="s">
        <v>105</v>
      </c>
      <c r="I177" s="4" t="s">
        <v>735</v>
      </c>
      <c r="J177" s="4">
        <v>3.0</v>
      </c>
      <c r="K177" s="8">
        <v>62752.0</v>
      </c>
      <c r="L177" s="8">
        <v>62255.0</v>
      </c>
      <c r="M177" s="8">
        <v>497.0</v>
      </c>
      <c r="N177" s="9">
        <f t="shared" si="1"/>
        <v>0.9920799337</v>
      </c>
      <c r="O177" s="8">
        <v>44080.0</v>
      </c>
      <c r="P177" s="8">
        <v>31654.0</v>
      </c>
      <c r="Q177" s="9">
        <f t="shared" si="2"/>
        <v>0.508457152</v>
      </c>
      <c r="R177" s="8">
        <v>4364.0</v>
      </c>
      <c r="S177" s="8">
        <v>3068.0</v>
      </c>
      <c r="T177" s="9">
        <f t="shared" si="3"/>
        <v>0.04928118223</v>
      </c>
      <c r="U177" s="9">
        <f t="shared" si="4"/>
        <v>0.09692297972</v>
      </c>
      <c r="V177" s="8">
        <v>2388.0</v>
      </c>
      <c r="W177" s="8">
        <v>2155.0</v>
      </c>
      <c r="X177" s="9">
        <f t="shared" si="5"/>
        <v>0.03461569352</v>
      </c>
      <c r="Y177" s="10">
        <v>174484.68</v>
      </c>
      <c r="Z177" s="10">
        <f t="shared" si="6"/>
        <v>73.06728643</v>
      </c>
      <c r="AA177" s="11">
        <f t="shared" si="7"/>
        <v>2.802741627</v>
      </c>
      <c r="AB177" s="8">
        <v>181.0</v>
      </c>
      <c r="AC177" s="9">
        <f t="shared" si="8"/>
        <v>0.002907396996</v>
      </c>
      <c r="AD177" s="8">
        <v>4.0</v>
      </c>
      <c r="AE177" s="4" t="s">
        <v>227</v>
      </c>
      <c r="AF177" s="4"/>
      <c r="AG177" s="4"/>
    </row>
    <row r="178" ht="15.75" customHeight="1">
      <c r="A178" s="4" t="s">
        <v>736</v>
      </c>
      <c r="B178" s="4" t="s">
        <v>737</v>
      </c>
      <c r="C178" s="4" t="s">
        <v>129</v>
      </c>
      <c r="D178" s="4" t="s">
        <v>73</v>
      </c>
      <c r="E178" s="4" t="s">
        <v>66</v>
      </c>
      <c r="F178" s="7">
        <v>45708.8958333333</v>
      </c>
      <c r="G178" s="4" t="s">
        <v>142</v>
      </c>
      <c r="H178" s="4" t="s">
        <v>75</v>
      </c>
      <c r="I178" s="4" t="s">
        <v>738</v>
      </c>
      <c r="J178" s="4">
        <v>3.0</v>
      </c>
      <c r="K178" s="8">
        <v>90261.0</v>
      </c>
      <c r="L178" s="8">
        <v>88958.0</v>
      </c>
      <c r="M178" s="8">
        <v>1303.0</v>
      </c>
      <c r="N178" s="9">
        <f t="shared" si="1"/>
        <v>0.9855640864</v>
      </c>
      <c r="O178" s="8">
        <v>45639.0</v>
      </c>
      <c r="P178" s="8">
        <v>34858.0</v>
      </c>
      <c r="Q178" s="9">
        <f t="shared" si="2"/>
        <v>0.3918478383</v>
      </c>
      <c r="R178" s="8">
        <v>3871.0</v>
      </c>
      <c r="S178" s="8">
        <v>2169.0</v>
      </c>
      <c r="T178" s="9">
        <f t="shared" si="3"/>
        <v>0.02438229277</v>
      </c>
      <c r="U178" s="9">
        <f t="shared" si="4"/>
        <v>0.06222387974</v>
      </c>
      <c r="V178" s="8">
        <v>958.0</v>
      </c>
      <c r="W178" s="8">
        <v>908.0</v>
      </c>
      <c r="X178" s="9">
        <f t="shared" si="5"/>
        <v>0.01020706401</v>
      </c>
      <c r="Y178" s="10">
        <v>81086.01</v>
      </c>
      <c r="Z178" s="10">
        <f t="shared" si="6"/>
        <v>84.64092902</v>
      </c>
      <c r="AA178" s="11">
        <f t="shared" si="7"/>
        <v>0.9115089143</v>
      </c>
      <c r="AB178" s="8">
        <v>117.0</v>
      </c>
      <c r="AC178" s="9">
        <f t="shared" si="8"/>
        <v>0.001315227411</v>
      </c>
      <c r="AD178" s="8">
        <v>7.0</v>
      </c>
      <c r="AE178" s="4" t="s">
        <v>232</v>
      </c>
      <c r="AF178" s="4"/>
      <c r="AG178" s="4"/>
    </row>
    <row r="179" ht="15.75" customHeight="1">
      <c r="A179" s="4" t="s">
        <v>739</v>
      </c>
      <c r="B179" s="4" t="s">
        <v>740</v>
      </c>
      <c r="C179" s="4" t="s">
        <v>230</v>
      </c>
      <c r="D179" s="4" t="s">
        <v>123</v>
      </c>
      <c r="E179" s="4" t="s">
        <v>66</v>
      </c>
      <c r="F179" s="7">
        <v>45701.8958333333</v>
      </c>
      <c r="G179" s="4" t="s">
        <v>142</v>
      </c>
      <c r="H179" s="4" t="s">
        <v>75</v>
      </c>
      <c r="I179" s="4" t="s">
        <v>741</v>
      </c>
      <c r="J179" s="4">
        <v>2.0</v>
      </c>
      <c r="K179" s="8">
        <v>415119.0</v>
      </c>
      <c r="L179" s="8">
        <v>412141.0</v>
      </c>
      <c r="M179" s="8">
        <v>2978.0</v>
      </c>
      <c r="N179" s="9">
        <f t="shared" si="1"/>
        <v>0.9928261535</v>
      </c>
      <c r="O179" s="8">
        <v>141023.0</v>
      </c>
      <c r="P179" s="8">
        <v>103059.0</v>
      </c>
      <c r="Q179" s="9">
        <f t="shared" si="2"/>
        <v>0.2500576259</v>
      </c>
      <c r="R179" s="8">
        <v>7685.0</v>
      </c>
      <c r="S179" s="8">
        <v>4656.0</v>
      </c>
      <c r="T179" s="9">
        <f t="shared" si="3"/>
        <v>0.01129710463</v>
      </c>
      <c r="U179" s="9">
        <f t="shared" si="4"/>
        <v>0.04517800483</v>
      </c>
      <c r="V179" s="8">
        <v>3393.0</v>
      </c>
      <c r="W179" s="8">
        <v>3082.0</v>
      </c>
      <c r="X179" s="9">
        <f t="shared" si="5"/>
        <v>0.007478023298</v>
      </c>
      <c r="Y179" s="10">
        <v>209986.71</v>
      </c>
      <c r="Z179" s="10">
        <f t="shared" si="6"/>
        <v>61.88821397</v>
      </c>
      <c r="AA179" s="11">
        <f t="shared" si="7"/>
        <v>0.5095021121</v>
      </c>
      <c r="AB179" s="8">
        <v>1460.0</v>
      </c>
      <c r="AC179" s="9">
        <f t="shared" si="8"/>
        <v>0.003542476968</v>
      </c>
      <c r="AD179" s="8">
        <v>95.0</v>
      </c>
      <c r="AE179" s="4" t="s">
        <v>126</v>
      </c>
      <c r="AF179" s="4"/>
      <c r="AG179" s="4"/>
    </row>
    <row r="180" ht="15.75" customHeight="1">
      <c r="A180" s="4" t="s">
        <v>742</v>
      </c>
      <c r="B180" s="4" t="s">
        <v>743</v>
      </c>
      <c r="C180" s="4" t="s">
        <v>744</v>
      </c>
      <c r="D180" s="4" t="s">
        <v>199</v>
      </c>
      <c r="E180" s="4" t="s">
        <v>57</v>
      </c>
      <c r="F180" s="7">
        <v>45698.75</v>
      </c>
      <c r="G180" s="4" t="s">
        <v>58</v>
      </c>
      <c r="H180" s="4" t="s">
        <v>98</v>
      </c>
      <c r="I180" s="4" t="s">
        <v>745</v>
      </c>
      <c r="J180" s="4">
        <v>4.0</v>
      </c>
      <c r="K180" s="8">
        <v>48886.0</v>
      </c>
      <c r="L180" s="8">
        <v>47157.0</v>
      </c>
      <c r="M180" s="8">
        <v>1729.0</v>
      </c>
      <c r="N180" s="9">
        <f t="shared" si="1"/>
        <v>0.964632001</v>
      </c>
      <c r="O180" s="8">
        <v>0.0</v>
      </c>
      <c r="P180" s="8">
        <v>0.0</v>
      </c>
      <c r="Q180" s="9">
        <f t="shared" si="2"/>
        <v>0</v>
      </c>
      <c r="R180" s="8">
        <v>5197.0</v>
      </c>
      <c r="S180" s="8">
        <v>4143.0</v>
      </c>
      <c r="T180" s="9">
        <f t="shared" si="3"/>
        <v>0.08785546154</v>
      </c>
      <c r="U180" s="9">
        <f t="shared" si="4"/>
        <v>0</v>
      </c>
      <c r="V180" s="8">
        <v>1335.0</v>
      </c>
      <c r="W180" s="8">
        <v>1236.0</v>
      </c>
      <c r="X180" s="9">
        <f t="shared" si="5"/>
        <v>0.02621031872</v>
      </c>
      <c r="Y180" s="10">
        <v>105767.21</v>
      </c>
      <c r="Z180" s="10">
        <f t="shared" si="6"/>
        <v>79.22637453</v>
      </c>
      <c r="AA180" s="11">
        <f t="shared" si="7"/>
        <v>2.242874017</v>
      </c>
      <c r="AB180" s="8">
        <v>238.0</v>
      </c>
      <c r="AC180" s="9">
        <f t="shared" si="8"/>
        <v>0.005046970757</v>
      </c>
      <c r="AD180" s="8">
        <v>0.0</v>
      </c>
      <c r="AE180" s="4" t="s">
        <v>144</v>
      </c>
      <c r="AF180" s="4"/>
      <c r="AG180" s="4"/>
    </row>
    <row r="181" ht="15.75" customHeight="1">
      <c r="A181" s="4" t="s">
        <v>746</v>
      </c>
      <c r="B181" s="4" t="s">
        <v>747</v>
      </c>
      <c r="C181" s="4" t="s">
        <v>493</v>
      </c>
      <c r="D181" s="4" t="s">
        <v>408</v>
      </c>
      <c r="E181" s="4" t="s">
        <v>66</v>
      </c>
      <c r="F181" s="7">
        <v>45697.875</v>
      </c>
      <c r="G181" s="4" t="s">
        <v>155</v>
      </c>
      <c r="H181" s="4" t="s">
        <v>59</v>
      </c>
      <c r="I181" s="4" t="s">
        <v>748</v>
      </c>
      <c r="J181" s="4">
        <v>2.0</v>
      </c>
      <c r="K181" s="8">
        <v>44143.0</v>
      </c>
      <c r="L181" s="8">
        <v>44040.0</v>
      </c>
      <c r="M181" s="8">
        <v>103.0</v>
      </c>
      <c r="N181" s="9">
        <f t="shared" si="1"/>
        <v>0.9976666742</v>
      </c>
      <c r="O181" s="8">
        <v>15691.0</v>
      </c>
      <c r="P181" s="8">
        <v>12859.0</v>
      </c>
      <c r="Q181" s="9">
        <f t="shared" si="2"/>
        <v>0.2919845595</v>
      </c>
      <c r="R181" s="8">
        <v>912.0</v>
      </c>
      <c r="S181" s="8">
        <v>587.0</v>
      </c>
      <c r="T181" s="9">
        <f t="shared" si="3"/>
        <v>0.01332879201</v>
      </c>
      <c r="U181" s="9">
        <f t="shared" si="4"/>
        <v>0.04564896182</v>
      </c>
      <c r="V181" s="8">
        <v>404.0</v>
      </c>
      <c r="W181" s="8">
        <v>372.0</v>
      </c>
      <c r="X181" s="9">
        <f t="shared" si="5"/>
        <v>0.008446866485</v>
      </c>
      <c r="Y181" s="10">
        <v>28952.57</v>
      </c>
      <c r="Z181" s="10">
        <f t="shared" si="6"/>
        <v>71.66477723</v>
      </c>
      <c r="AA181" s="11">
        <f t="shared" si="7"/>
        <v>0.6574153043</v>
      </c>
      <c r="AB181" s="8">
        <v>94.0</v>
      </c>
      <c r="AC181" s="9">
        <f t="shared" si="8"/>
        <v>0.002134423252</v>
      </c>
      <c r="AD181" s="8">
        <v>8.0</v>
      </c>
      <c r="AE181" s="4" t="s">
        <v>232</v>
      </c>
      <c r="AF181" s="4"/>
      <c r="AG181" s="4"/>
    </row>
    <row r="182" ht="15.75" customHeight="1">
      <c r="A182" s="4" t="s">
        <v>749</v>
      </c>
      <c r="B182" s="4" t="s">
        <v>750</v>
      </c>
      <c r="C182" s="4" t="s">
        <v>399</v>
      </c>
      <c r="D182" s="4" t="s">
        <v>73</v>
      </c>
      <c r="E182" s="4" t="s">
        <v>66</v>
      </c>
      <c r="F182" s="7">
        <v>45697.5416666667</v>
      </c>
      <c r="G182" s="4" t="s">
        <v>163</v>
      </c>
      <c r="H182" s="4" t="s">
        <v>59</v>
      </c>
      <c r="I182" s="4" t="s">
        <v>751</v>
      </c>
      <c r="J182" s="4">
        <v>3.0</v>
      </c>
      <c r="K182" s="8">
        <v>88396.0</v>
      </c>
      <c r="L182" s="8">
        <v>87164.0</v>
      </c>
      <c r="M182" s="8">
        <v>1232.0</v>
      </c>
      <c r="N182" s="9">
        <f t="shared" si="1"/>
        <v>0.9860627178</v>
      </c>
      <c r="O182" s="8">
        <v>41458.0</v>
      </c>
      <c r="P182" s="8">
        <v>29627.0</v>
      </c>
      <c r="Q182" s="9">
        <f t="shared" si="2"/>
        <v>0.3398994998</v>
      </c>
      <c r="R182" s="8">
        <v>2353.0</v>
      </c>
      <c r="S182" s="8">
        <v>1775.0</v>
      </c>
      <c r="T182" s="9">
        <f t="shared" si="3"/>
        <v>0.02036391171</v>
      </c>
      <c r="U182" s="9">
        <f t="shared" si="4"/>
        <v>0.05991156715</v>
      </c>
      <c r="V182" s="8">
        <v>949.0</v>
      </c>
      <c r="W182" s="8">
        <v>896.0</v>
      </c>
      <c r="X182" s="9">
        <f t="shared" si="5"/>
        <v>0.01027947318</v>
      </c>
      <c r="Y182" s="10">
        <v>79689.84</v>
      </c>
      <c r="Z182" s="10">
        <f t="shared" si="6"/>
        <v>83.97243414</v>
      </c>
      <c r="AA182" s="11">
        <f t="shared" si="7"/>
        <v>0.9142517553</v>
      </c>
      <c r="AB182" s="8">
        <v>174.0</v>
      </c>
      <c r="AC182" s="9">
        <f t="shared" si="8"/>
        <v>0.001996236979</v>
      </c>
      <c r="AD182" s="8">
        <v>3.0</v>
      </c>
      <c r="AE182" s="4" t="s">
        <v>69</v>
      </c>
      <c r="AF182" s="4"/>
      <c r="AG182" s="4"/>
    </row>
    <row r="183" ht="15.75" customHeight="1">
      <c r="A183" s="4" t="s">
        <v>752</v>
      </c>
      <c r="B183" s="4" t="s">
        <v>753</v>
      </c>
      <c r="C183" s="4" t="s">
        <v>754</v>
      </c>
      <c r="D183" s="4" t="s">
        <v>104</v>
      </c>
      <c r="E183" s="4" t="s">
        <v>57</v>
      </c>
      <c r="F183" s="7">
        <v>45694.75</v>
      </c>
      <c r="G183" s="4" t="s">
        <v>58</v>
      </c>
      <c r="H183" s="4" t="s">
        <v>75</v>
      </c>
      <c r="I183" s="4" t="s">
        <v>755</v>
      </c>
      <c r="J183" s="4">
        <v>2.0</v>
      </c>
      <c r="K183" s="8">
        <v>93416.0</v>
      </c>
      <c r="L183" s="8">
        <v>91515.0</v>
      </c>
      <c r="M183" s="8">
        <v>1901.0</v>
      </c>
      <c r="N183" s="9">
        <f t="shared" si="1"/>
        <v>0.979650167</v>
      </c>
      <c r="O183" s="8">
        <v>0.0</v>
      </c>
      <c r="P183" s="8">
        <v>0.0</v>
      </c>
      <c r="Q183" s="9">
        <f t="shared" si="2"/>
        <v>0</v>
      </c>
      <c r="R183" s="8">
        <v>13388.0</v>
      </c>
      <c r="S183" s="8">
        <v>11720.0</v>
      </c>
      <c r="T183" s="9">
        <f t="shared" si="3"/>
        <v>0.1280664372</v>
      </c>
      <c r="U183" s="9">
        <f t="shared" si="4"/>
        <v>0</v>
      </c>
      <c r="V183" s="8">
        <v>2987.0</v>
      </c>
      <c r="W183" s="8">
        <v>2917.0</v>
      </c>
      <c r="X183" s="9">
        <f t="shared" si="5"/>
        <v>0.03187455608</v>
      </c>
      <c r="Y183" s="10">
        <v>216916.93</v>
      </c>
      <c r="Z183" s="10">
        <f t="shared" si="6"/>
        <v>72.62033144</v>
      </c>
      <c r="AA183" s="11">
        <f t="shared" si="7"/>
        <v>2.370288259</v>
      </c>
      <c r="AB183" s="8">
        <v>284.0</v>
      </c>
      <c r="AC183" s="9">
        <f t="shared" si="8"/>
        <v>0.003103316396</v>
      </c>
      <c r="AD183" s="8">
        <v>0.0</v>
      </c>
      <c r="AE183" s="4" t="s">
        <v>232</v>
      </c>
      <c r="AF183" s="4"/>
      <c r="AG183" s="4"/>
    </row>
    <row r="184" ht="15.75" customHeight="1">
      <c r="A184" s="4" t="s">
        <v>756</v>
      </c>
      <c r="B184" s="4" t="s">
        <v>757</v>
      </c>
      <c r="C184" s="4" t="s">
        <v>254</v>
      </c>
      <c r="D184" s="4" t="s">
        <v>73</v>
      </c>
      <c r="E184" s="4" t="s">
        <v>66</v>
      </c>
      <c r="F184" s="7">
        <v>45693.7083333333</v>
      </c>
      <c r="G184" s="4" t="s">
        <v>124</v>
      </c>
      <c r="H184" s="4" t="s">
        <v>82</v>
      </c>
      <c r="I184" s="4" t="s">
        <v>758</v>
      </c>
      <c r="J184" s="4">
        <v>2.0</v>
      </c>
      <c r="K184" s="8">
        <v>58873.0</v>
      </c>
      <c r="L184" s="8">
        <v>58117.0</v>
      </c>
      <c r="M184" s="8">
        <v>756.0</v>
      </c>
      <c r="N184" s="9">
        <f t="shared" si="1"/>
        <v>0.9871587994</v>
      </c>
      <c r="O184" s="8">
        <v>28011.0</v>
      </c>
      <c r="P184" s="8">
        <v>20452.0</v>
      </c>
      <c r="Q184" s="9">
        <f t="shared" si="2"/>
        <v>0.3519108006</v>
      </c>
      <c r="R184" s="8">
        <v>1867.0</v>
      </c>
      <c r="S184" s="8">
        <v>1324.0</v>
      </c>
      <c r="T184" s="9">
        <f t="shared" si="3"/>
        <v>0.02278163016</v>
      </c>
      <c r="U184" s="9">
        <f t="shared" si="4"/>
        <v>0.06473694504</v>
      </c>
      <c r="V184" s="8">
        <v>360.0</v>
      </c>
      <c r="W184" s="8">
        <v>316.0</v>
      </c>
      <c r="X184" s="9">
        <f t="shared" si="5"/>
        <v>0.0054373075</v>
      </c>
      <c r="Y184" s="10">
        <v>26299.76</v>
      </c>
      <c r="Z184" s="10">
        <f t="shared" si="6"/>
        <v>73.05488889</v>
      </c>
      <c r="AA184" s="11">
        <f t="shared" si="7"/>
        <v>0.4525312731</v>
      </c>
      <c r="AB184" s="8">
        <v>187.0</v>
      </c>
      <c r="AC184" s="9">
        <f t="shared" si="8"/>
        <v>0.00321764716</v>
      </c>
      <c r="AD184" s="8">
        <v>10.0</v>
      </c>
      <c r="AE184" s="4" t="s">
        <v>112</v>
      </c>
      <c r="AF184" s="4"/>
      <c r="AG184" s="4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F$184"/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48.0"/>
    <col customWidth="1" min="3" max="3" width="21.0"/>
    <col customWidth="1" min="4" max="5" width="18.0"/>
    <col customWidth="1" min="6" max="6" width="19.0"/>
    <col customWidth="1" min="7" max="7" width="24.0"/>
    <col customWidth="1" min="8" max="8" width="20.0"/>
    <col customWidth="1" min="9" max="26" width="8.71"/>
  </cols>
  <sheetData>
    <row r="1" ht="31.5" customHeight="1">
      <c r="A1" s="5" t="s">
        <v>21</v>
      </c>
      <c r="B1" s="5" t="s">
        <v>22</v>
      </c>
      <c r="C1" s="5" t="s">
        <v>26</v>
      </c>
      <c r="D1" s="5" t="s">
        <v>759</v>
      </c>
      <c r="E1" s="5" t="s">
        <v>760</v>
      </c>
      <c r="F1" s="5" t="s">
        <v>761</v>
      </c>
      <c r="G1" s="5" t="s">
        <v>762</v>
      </c>
      <c r="H1" s="5" t="s">
        <v>763</v>
      </c>
    </row>
    <row r="2">
      <c r="A2" s="4" t="s">
        <v>53</v>
      </c>
      <c r="B2" s="4" t="s">
        <v>54</v>
      </c>
      <c r="C2" s="7">
        <v>46131.75</v>
      </c>
      <c r="D2" s="4">
        <v>1.0</v>
      </c>
      <c r="E2" s="8">
        <v>0.0</v>
      </c>
      <c r="F2" s="8">
        <v>1788.0</v>
      </c>
      <c r="G2" s="8">
        <v>204.0</v>
      </c>
      <c r="H2" s="10">
        <v>17065.52</v>
      </c>
    </row>
    <row r="3">
      <c r="A3" s="4" t="s">
        <v>53</v>
      </c>
      <c r="B3" s="4" t="s">
        <v>54</v>
      </c>
      <c r="C3" s="7">
        <v>46131.75</v>
      </c>
      <c r="D3" s="4">
        <v>2.0</v>
      </c>
      <c r="E3" s="8">
        <v>0.0</v>
      </c>
      <c r="F3" s="8">
        <v>2845.0</v>
      </c>
      <c r="G3" s="8">
        <v>324.0</v>
      </c>
      <c r="H3" s="10">
        <v>27149.69</v>
      </c>
    </row>
    <row r="4">
      <c r="A4" s="4" t="s">
        <v>53</v>
      </c>
      <c r="B4" s="4" t="s">
        <v>54</v>
      </c>
      <c r="C4" s="7">
        <v>46131.75</v>
      </c>
      <c r="D4" s="4">
        <v>4.0</v>
      </c>
      <c r="E4" s="8">
        <v>0.0</v>
      </c>
      <c r="F4" s="8">
        <v>4227.0</v>
      </c>
      <c r="G4" s="8">
        <v>482.0</v>
      </c>
      <c r="H4" s="10">
        <v>40336.68</v>
      </c>
    </row>
    <row r="5">
      <c r="A5" s="4" t="s">
        <v>53</v>
      </c>
      <c r="B5" s="4" t="s">
        <v>54</v>
      </c>
      <c r="C5" s="7">
        <v>46131.75</v>
      </c>
      <c r="D5" s="4">
        <v>6.0</v>
      </c>
      <c r="E5" s="8">
        <v>0.0</v>
      </c>
      <c r="F5" s="8">
        <v>5040.0</v>
      </c>
      <c r="G5" s="8">
        <v>575.0</v>
      </c>
      <c r="H5" s="10">
        <v>48093.73</v>
      </c>
    </row>
    <row r="6">
      <c r="A6" s="4" t="s">
        <v>53</v>
      </c>
      <c r="B6" s="4" t="s">
        <v>54</v>
      </c>
      <c r="C6" s="7">
        <v>46131.75</v>
      </c>
      <c r="D6" s="4">
        <v>12.0</v>
      </c>
      <c r="E6" s="8">
        <v>0.0</v>
      </c>
      <c r="F6" s="8">
        <v>6341.0</v>
      </c>
      <c r="G6" s="8">
        <v>723.0</v>
      </c>
      <c r="H6" s="10">
        <v>60505.01</v>
      </c>
    </row>
    <row r="7">
      <c r="A7" s="4" t="s">
        <v>53</v>
      </c>
      <c r="B7" s="4" t="s">
        <v>54</v>
      </c>
      <c r="C7" s="7">
        <v>46131.75</v>
      </c>
      <c r="D7" s="4">
        <v>24.0</v>
      </c>
      <c r="E7" s="8">
        <v>0.0</v>
      </c>
      <c r="F7" s="8">
        <v>7317.0</v>
      </c>
      <c r="G7" s="8">
        <v>835.0</v>
      </c>
      <c r="H7" s="10">
        <v>69813.48</v>
      </c>
    </row>
    <row r="8">
      <c r="A8" s="4" t="s">
        <v>53</v>
      </c>
      <c r="B8" s="4" t="s">
        <v>54</v>
      </c>
      <c r="C8" s="7">
        <v>46131.75</v>
      </c>
      <c r="D8" s="4">
        <v>48.0</v>
      </c>
      <c r="E8" s="8">
        <v>0.0</v>
      </c>
      <c r="F8" s="8">
        <v>7886.0</v>
      </c>
      <c r="G8" s="8">
        <v>900.0</v>
      </c>
      <c r="H8" s="10">
        <v>75243.41</v>
      </c>
    </row>
    <row r="9">
      <c r="A9" s="4" t="s">
        <v>53</v>
      </c>
      <c r="B9" s="4" t="s">
        <v>54</v>
      </c>
      <c r="C9" s="7">
        <v>46131.75</v>
      </c>
      <c r="D9" s="4">
        <v>72.0</v>
      </c>
      <c r="E9" s="8">
        <v>0.0</v>
      </c>
      <c r="F9" s="8">
        <v>8130.0</v>
      </c>
      <c r="G9" s="8">
        <v>928.0</v>
      </c>
      <c r="H9" s="10">
        <v>77570.53</v>
      </c>
    </row>
    <row r="10">
      <c r="A10" s="4" t="s">
        <v>62</v>
      </c>
      <c r="B10" s="4" t="s">
        <v>63</v>
      </c>
      <c r="C10" s="7">
        <v>46124.9166666667</v>
      </c>
      <c r="D10" s="4">
        <v>1.0</v>
      </c>
      <c r="E10" s="8">
        <v>8168.0</v>
      </c>
      <c r="F10" s="8">
        <v>686.0</v>
      </c>
      <c r="G10" s="8">
        <v>467.0</v>
      </c>
      <c r="H10" s="10">
        <v>35746.21</v>
      </c>
    </row>
    <row r="11">
      <c r="A11" s="4" t="s">
        <v>62</v>
      </c>
      <c r="B11" s="4" t="s">
        <v>63</v>
      </c>
      <c r="C11" s="7">
        <v>46124.9166666667</v>
      </c>
      <c r="D11" s="4">
        <v>2.0</v>
      </c>
      <c r="E11" s="8">
        <v>12995.0</v>
      </c>
      <c r="F11" s="8">
        <v>1092.0</v>
      </c>
      <c r="G11" s="8">
        <v>743.0</v>
      </c>
      <c r="H11" s="10">
        <v>56868.97</v>
      </c>
    </row>
    <row r="12">
      <c r="A12" s="4" t="s">
        <v>62</v>
      </c>
      <c r="B12" s="4" t="s">
        <v>63</v>
      </c>
      <c r="C12" s="7">
        <v>46124.9166666667</v>
      </c>
      <c r="D12" s="4">
        <v>4.0</v>
      </c>
      <c r="E12" s="8">
        <v>19307.0</v>
      </c>
      <c r="F12" s="8">
        <v>1622.0</v>
      </c>
      <c r="G12" s="8">
        <v>1105.0</v>
      </c>
      <c r="H12" s="10">
        <v>84491.04</v>
      </c>
    </row>
    <row r="13">
      <c r="A13" s="4" t="s">
        <v>62</v>
      </c>
      <c r="B13" s="4" t="s">
        <v>63</v>
      </c>
      <c r="C13" s="7">
        <v>46124.9166666667</v>
      </c>
      <c r="D13" s="4">
        <v>6.0</v>
      </c>
      <c r="E13" s="8">
        <v>23019.0</v>
      </c>
      <c r="F13" s="8">
        <v>1934.0</v>
      </c>
      <c r="G13" s="8">
        <v>1317.0</v>
      </c>
      <c r="H13" s="10">
        <v>100739.31</v>
      </c>
    </row>
    <row r="14">
      <c r="A14" s="4" t="s">
        <v>62</v>
      </c>
      <c r="B14" s="4" t="s">
        <v>63</v>
      </c>
      <c r="C14" s="7">
        <v>46124.9166666667</v>
      </c>
      <c r="D14" s="4">
        <v>12.0</v>
      </c>
      <c r="E14" s="8">
        <v>28960.0</v>
      </c>
      <c r="F14" s="8">
        <v>2433.0</v>
      </c>
      <c r="G14" s="8">
        <v>1657.0</v>
      </c>
      <c r="H14" s="10">
        <v>126736.55</v>
      </c>
    </row>
    <row r="15">
      <c r="A15" s="4" t="s">
        <v>62</v>
      </c>
      <c r="B15" s="4" t="s">
        <v>63</v>
      </c>
      <c r="C15" s="7">
        <v>46124.9166666667</v>
      </c>
      <c r="D15" s="4">
        <v>24.0</v>
      </c>
      <c r="E15" s="8">
        <v>33416.0</v>
      </c>
      <c r="F15" s="8">
        <v>2808.0</v>
      </c>
      <c r="G15" s="8">
        <v>1912.0</v>
      </c>
      <c r="H15" s="10">
        <v>146234.48</v>
      </c>
    </row>
    <row r="16">
      <c r="A16" s="4" t="s">
        <v>62</v>
      </c>
      <c r="B16" s="4" t="s">
        <v>63</v>
      </c>
      <c r="C16" s="7">
        <v>46124.9166666667</v>
      </c>
      <c r="D16" s="4">
        <v>48.0</v>
      </c>
      <c r="E16" s="8">
        <v>36015.0</v>
      </c>
      <c r="F16" s="8">
        <v>3026.0</v>
      </c>
      <c r="G16" s="8">
        <v>2061.0</v>
      </c>
      <c r="H16" s="10">
        <v>157608.28</v>
      </c>
    </row>
    <row r="17">
      <c r="A17" s="4" t="s">
        <v>62</v>
      </c>
      <c r="B17" s="4" t="s">
        <v>63</v>
      </c>
      <c r="C17" s="7">
        <v>46124.9166666667</v>
      </c>
      <c r="D17" s="4">
        <v>72.0</v>
      </c>
      <c r="E17" s="8">
        <v>37129.0</v>
      </c>
      <c r="F17" s="8">
        <v>3120.0</v>
      </c>
      <c r="G17" s="8">
        <v>2125.0</v>
      </c>
      <c r="H17" s="10">
        <v>162482.76</v>
      </c>
    </row>
    <row r="18">
      <c r="A18" s="4" t="s">
        <v>70</v>
      </c>
      <c r="B18" s="4" t="s">
        <v>71</v>
      </c>
      <c r="C18" s="7">
        <v>46121.6666666667</v>
      </c>
      <c r="D18" s="4">
        <v>1.0</v>
      </c>
      <c r="E18" s="8">
        <v>8119.0</v>
      </c>
      <c r="F18" s="8">
        <v>386.0</v>
      </c>
      <c r="G18" s="8">
        <v>240.0</v>
      </c>
      <c r="H18" s="10">
        <v>17123.61</v>
      </c>
    </row>
    <row r="19">
      <c r="A19" s="4" t="s">
        <v>70</v>
      </c>
      <c r="B19" s="4" t="s">
        <v>71</v>
      </c>
      <c r="C19" s="7">
        <v>46121.6666666667</v>
      </c>
      <c r="D19" s="4">
        <v>2.0</v>
      </c>
      <c r="E19" s="8">
        <v>12917.0</v>
      </c>
      <c r="F19" s="8">
        <v>614.0</v>
      </c>
      <c r="G19" s="8">
        <v>382.0</v>
      </c>
      <c r="H19" s="10">
        <v>27242.1</v>
      </c>
    </row>
    <row r="20">
      <c r="A20" s="4" t="s">
        <v>70</v>
      </c>
      <c r="B20" s="4" t="s">
        <v>71</v>
      </c>
      <c r="C20" s="7">
        <v>46121.6666666667</v>
      </c>
      <c r="D20" s="4">
        <v>4.0</v>
      </c>
      <c r="E20" s="8">
        <v>19192.0</v>
      </c>
      <c r="F20" s="8">
        <v>912.0</v>
      </c>
      <c r="G20" s="8">
        <v>567.0</v>
      </c>
      <c r="H20" s="10">
        <v>40473.98</v>
      </c>
    </row>
    <row r="21" ht="15.75" customHeight="1">
      <c r="A21" s="4" t="s">
        <v>70</v>
      </c>
      <c r="B21" s="4" t="s">
        <v>71</v>
      </c>
      <c r="C21" s="7">
        <v>46121.6666666667</v>
      </c>
      <c r="D21" s="4">
        <v>6.0</v>
      </c>
      <c r="E21" s="8">
        <v>22882.0</v>
      </c>
      <c r="F21" s="8">
        <v>1088.0</v>
      </c>
      <c r="G21" s="8">
        <v>677.0</v>
      </c>
      <c r="H21" s="10">
        <v>48257.43</v>
      </c>
    </row>
    <row r="22" ht="15.75" customHeight="1">
      <c r="A22" s="4" t="s">
        <v>70</v>
      </c>
      <c r="B22" s="4" t="s">
        <v>71</v>
      </c>
      <c r="C22" s="7">
        <v>46121.6666666667</v>
      </c>
      <c r="D22" s="4">
        <v>12.0</v>
      </c>
      <c r="E22" s="8">
        <v>28788.0</v>
      </c>
      <c r="F22" s="8">
        <v>1368.0</v>
      </c>
      <c r="G22" s="8">
        <v>851.0</v>
      </c>
      <c r="H22" s="10">
        <v>60710.96</v>
      </c>
    </row>
    <row r="23" ht="15.75" customHeight="1">
      <c r="A23" s="4" t="s">
        <v>70</v>
      </c>
      <c r="B23" s="4" t="s">
        <v>71</v>
      </c>
      <c r="C23" s="7">
        <v>46121.6666666667</v>
      </c>
      <c r="D23" s="4">
        <v>24.0</v>
      </c>
      <c r="E23" s="8">
        <v>33217.0</v>
      </c>
      <c r="F23" s="8">
        <v>1579.0</v>
      </c>
      <c r="G23" s="8">
        <v>982.0</v>
      </c>
      <c r="H23" s="10">
        <v>70051.11</v>
      </c>
    </row>
    <row r="24" ht="15.75" customHeight="1">
      <c r="A24" s="4" t="s">
        <v>70</v>
      </c>
      <c r="B24" s="4" t="s">
        <v>71</v>
      </c>
      <c r="C24" s="7">
        <v>46121.6666666667</v>
      </c>
      <c r="D24" s="4">
        <v>48.0</v>
      </c>
      <c r="E24" s="8">
        <v>35800.0</v>
      </c>
      <c r="F24" s="8">
        <v>1702.0</v>
      </c>
      <c r="G24" s="8">
        <v>1059.0</v>
      </c>
      <c r="H24" s="10">
        <v>75499.53</v>
      </c>
    </row>
    <row r="25" ht="15.75" customHeight="1">
      <c r="A25" s="4" t="s">
        <v>70</v>
      </c>
      <c r="B25" s="4" t="s">
        <v>71</v>
      </c>
      <c r="C25" s="7">
        <v>46121.6666666667</v>
      </c>
      <c r="D25" s="4">
        <v>72.0</v>
      </c>
      <c r="E25" s="8">
        <v>36908.0</v>
      </c>
      <c r="F25" s="8">
        <v>1755.0</v>
      </c>
      <c r="G25" s="8">
        <v>1092.0</v>
      </c>
      <c r="H25" s="10">
        <v>77834.57</v>
      </c>
    </row>
    <row r="26" ht="15.75" customHeight="1">
      <c r="A26" s="4" t="s">
        <v>78</v>
      </c>
      <c r="B26" s="4" t="s">
        <v>79</v>
      </c>
      <c r="C26" s="7">
        <v>46120.75</v>
      </c>
      <c r="D26" s="4">
        <v>1.0</v>
      </c>
      <c r="E26" s="8">
        <v>0.0</v>
      </c>
      <c r="F26" s="8">
        <v>2280.0</v>
      </c>
      <c r="G26" s="8">
        <v>378.0</v>
      </c>
      <c r="H26" s="10">
        <v>31097.14</v>
      </c>
    </row>
    <row r="27" ht="15.75" customHeight="1">
      <c r="A27" s="4" t="s">
        <v>78</v>
      </c>
      <c r="B27" s="4" t="s">
        <v>79</v>
      </c>
      <c r="C27" s="7">
        <v>46120.75</v>
      </c>
      <c r="D27" s="4">
        <v>2.0</v>
      </c>
      <c r="E27" s="8">
        <v>0.0</v>
      </c>
      <c r="F27" s="8">
        <v>3628.0</v>
      </c>
      <c r="G27" s="8">
        <v>602.0</v>
      </c>
      <c r="H27" s="10">
        <v>49472.72</v>
      </c>
    </row>
    <row r="28" ht="15.75" customHeight="1">
      <c r="A28" s="4" t="s">
        <v>78</v>
      </c>
      <c r="B28" s="4" t="s">
        <v>79</v>
      </c>
      <c r="C28" s="7">
        <v>46120.75</v>
      </c>
      <c r="D28" s="4">
        <v>4.0</v>
      </c>
      <c r="E28" s="8">
        <v>0.0</v>
      </c>
      <c r="F28" s="8">
        <v>5390.0</v>
      </c>
      <c r="G28" s="8">
        <v>894.0</v>
      </c>
      <c r="H28" s="10">
        <v>73502.32</v>
      </c>
    </row>
    <row r="29" ht="15.75" customHeight="1">
      <c r="A29" s="4" t="s">
        <v>78</v>
      </c>
      <c r="B29" s="4" t="s">
        <v>79</v>
      </c>
      <c r="C29" s="7">
        <v>46120.75</v>
      </c>
      <c r="D29" s="4">
        <v>6.0</v>
      </c>
      <c r="E29" s="8">
        <v>0.0</v>
      </c>
      <c r="F29" s="8">
        <v>6426.0</v>
      </c>
      <c r="G29" s="8">
        <v>1067.0</v>
      </c>
      <c r="H29" s="10">
        <v>87637.38</v>
      </c>
    </row>
    <row r="30" ht="15.75" customHeight="1">
      <c r="A30" s="4" t="s">
        <v>78</v>
      </c>
      <c r="B30" s="4" t="s">
        <v>79</v>
      </c>
      <c r="C30" s="7">
        <v>46120.75</v>
      </c>
      <c r="D30" s="4">
        <v>12.0</v>
      </c>
      <c r="E30" s="8">
        <v>0.0</v>
      </c>
      <c r="F30" s="8">
        <v>8085.0</v>
      </c>
      <c r="G30" s="8">
        <v>1342.0</v>
      </c>
      <c r="H30" s="10">
        <v>110253.48</v>
      </c>
    </row>
    <row r="31" ht="15.75" customHeight="1">
      <c r="A31" s="4" t="s">
        <v>78</v>
      </c>
      <c r="B31" s="4" t="s">
        <v>79</v>
      </c>
      <c r="C31" s="7">
        <v>46120.75</v>
      </c>
      <c r="D31" s="4">
        <v>24.0</v>
      </c>
      <c r="E31" s="8">
        <v>0.0</v>
      </c>
      <c r="F31" s="8">
        <v>9329.0</v>
      </c>
      <c r="G31" s="8">
        <v>1548.0</v>
      </c>
      <c r="H31" s="10">
        <v>127215.56</v>
      </c>
    </row>
    <row r="32" ht="15.75" customHeight="1">
      <c r="A32" s="4" t="s">
        <v>78</v>
      </c>
      <c r="B32" s="4" t="s">
        <v>79</v>
      </c>
      <c r="C32" s="7">
        <v>46120.75</v>
      </c>
      <c r="D32" s="4">
        <v>48.0</v>
      </c>
      <c r="E32" s="8">
        <v>0.0</v>
      </c>
      <c r="F32" s="8">
        <v>10055.0</v>
      </c>
      <c r="G32" s="8">
        <v>1669.0</v>
      </c>
      <c r="H32" s="10">
        <v>137110.1</v>
      </c>
    </row>
    <row r="33" ht="15.75" customHeight="1">
      <c r="A33" s="4" t="s">
        <v>78</v>
      </c>
      <c r="B33" s="4" t="s">
        <v>79</v>
      </c>
      <c r="C33" s="7">
        <v>46120.75</v>
      </c>
      <c r="D33" s="4">
        <v>72.0</v>
      </c>
      <c r="E33" s="8">
        <v>0.0</v>
      </c>
      <c r="F33" s="8">
        <v>10366.0</v>
      </c>
      <c r="G33" s="8">
        <v>1721.0</v>
      </c>
      <c r="H33" s="10">
        <v>141350.62</v>
      </c>
    </row>
    <row r="34" ht="15.75" customHeight="1">
      <c r="A34" s="4" t="s">
        <v>86</v>
      </c>
      <c r="B34" s="4" t="s">
        <v>87</v>
      </c>
      <c r="C34" s="7">
        <v>46119.8541666667</v>
      </c>
      <c r="D34" s="4">
        <v>1.0</v>
      </c>
      <c r="E34" s="8">
        <v>7436.0</v>
      </c>
      <c r="F34" s="8">
        <v>552.0</v>
      </c>
      <c r="G34" s="8">
        <v>449.0</v>
      </c>
      <c r="H34" s="10">
        <v>24495.2</v>
      </c>
    </row>
    <row r="35" ht="15.75" customHeight="1">
      <c r="A35" s="4" t="s">
        <v>86</v>
      </c>
      <c r="B35" s="4" t="s">
        <v>87</v>
      </c>
      <c r="C35" s="7">
        <v>46119.8541666667</v>
      </c>
      <c r="D35" s="4">
        <v>2.0</v>
      </c>
      <c r="E35" s="8">
        <v>11831.0</v>
      </c>
      <c r="F35" s="8">
        <v>879.0</v>
      </c>
      <c r="G35" s="8">
        <v>715.0</v>
      </c>
      <c r="H35" s="10">
        <v>38969.63</v>
      </c>
    </row>
    <row r="36" ht="15.75" customHeight="1">
      <c r="A36" s="4" t="s">
        <v>86</v>
      </c>
      <c r="B36" s="4" t="s">
        <v>87</v>
      </c>
      <c r="C36" s="7">
        <v>46119.8541666667</v>
      </c>
      <c r="D36" s="4">
        <v>4.0</v>
      </c>
      <c r="E36" s="8">
        <v>17578.0</v>
      </c>
      <c r="F36" s="8">
        <v>1306.0</v>
      </c>
      <c r="G36" s="8">
        <v>1062.0</v>
      </c>
      <c r="H36" s="10">
        <v>57897.74</v>
      </c>
    </row>
    <row r="37" ht="15.75" customHeight="1">
      <c r="A37" s="4" t="s">
        <v>86</v>
      </c>
      <c r="B37" s="4" t="s">
        <v>87</v>
      </c>
      <c r="C37" s="7">
        <v>46119.8541666667</v>
      </c>
      <c r="D37" s="4">
        <v>6.0</v>
      </c>
      <c r="E37" s="8">
        <v>20958.0</v>
      </c>
      <c r="F37" s="8">
        <v>1558.0</v>
      </c>
      <c r="G37" s="8">
        <v>1266.0</v>
      </c>
      <c r="H37" s="10">
        <v>69031.92</v>
      </c>
    </row>
    <row r="38" ht="15.75" customHeight="1">
      <c r="A38" s="4" t="s">
        <v>86</v>
      </c>
      <c r="B38" s="4" t="s">
        <v>87</v>
      </c>
      <c r="C38" s="7">
        <v>46119.8541666667</v>
      </c>
      <c r="D38" s="4">
        <v>12.0</v>
      </c>
      <c r="E38" s="8">
        <v>26367.0</v>
      </c>
      <c r="F38" s="8">
        <v>1960.0</v>
      </c>
      <c r="G38" s="8">
        <v>1593.0</v>
      </c>
      <c r="H38" s="10">
        <v>86846.61</v>
      </c>
    </row>
    <row r="39" ht="15.75" customHeight="1">
      <c r="A39" s="4" t="s">
        <v>86</v>
      </c>
      <c r="B39" s="4" t="s">
        <v>87</v>
      </c>
      <c r="C39" s="7">
        <v>46119.8541666667</v>
      </c>
      <c r="D39" s="4">
        <v>24.0</v>
      </c>
      <c r="E39" s="8">
        <v>30423.0</v>
      </c>
      <c r="F39" s="8">
        <v>2261.0</v>
      </c>
      <c r="G39" s="8">
        <v>1838.0</v>
      </c>
      <c r="H39" s="10">
        <v>100207.63</v>
      </c>
    </row>
    <row r="40" ht="15.75" customHeight="1">
      <c r="A40" s="4" t="s">
        <v>86</v>
      </c>
      <c r="B40" s="4" t="s">
        <v>87</v>
      </c>
      <c r="C40" s="7">
        <v>46119.8541666667</v>
      </c>
      <c r="D40" s="4">
        <v>48.0</v>
      </c>
      <c r="E40" s="8">
        <v>32789.0</v>
      </c>
      <c r="F40" s="8">
        <v>2437.0</v>
      </c>
      <c r="G40" s="8">
        <v>1981.0</v>
      </c>
      <c r="H40" s="10">
        <v>108001.56</v>
      </c>
    </row>
    <row r="41" ht="15.75" customHeight="1">
      <c r="A41" s="4" t="s">
        <v>86</v>
      </c>
      <c r="B41" s="4" t="s">
        <v>87</v>
      </c>
      <c r="C41" s="7">
        <v>46119.8541666667</v>
      </c>
      <c r="D41" s="4">
        <v>72.0</v>
      </c>
      <c r="E41" s="8">
        <v>33804.0</v>
      </c>
      <c r="F41" s="8">
        <v>2513.0</v>
      </c>
      <c r="G41" s="8">
        <v>2043.0</v>
      </c>
      <c r="H41" s="10">
        <v>111341.81</v>
      </c>
    </row>
    <row r="42" ht="15.75" customHeight="1">
      <c r="A42" s="4" t="s">
        <v>94</v>
      </c>
      <c r="B42" s="4" t="s">
        <v>95</v>
      </c>
      <c r="C42" s="7">
        <v>46118.9166666667</v>
      </c>
      <c r="D42" s="4">
        <v>1.0</v>
      </c>
      <c r="E42" s="8">
        <v>4479.0</v>
      </c>
      <c r="F42" s="8">
        <v>394.0</v>
      </c>
      <c r="G42" s="8">
        <v>114.0</v>
      </c>
      <c r="H42" s="10">
        <v>8780.8</v>
      </c>
    </row>
    <row r="43" ht="15.75" customHeight="1">
      <c r="A43" s="4" t="s">
        <v>94</v>
      </c>
      <c r="B43" s="4" t="s">
        <v>95</v>
      </c>
      <c r="C43" s="7">
        <v>46118.9166666667</v>
      </c>
      <c r="D43" s="4">
        <v>2.0</v>
      </c>
      <c r="E43" s="8">
        <v>7126.0</v>
      </c>
      <c r="F43" s="8">
        <v>626.0</v>
      </c>
      <c r="G43" s="8">
        <v>182.0</v>
      </c>
      <c r="H43" s="10">
        <v>13969.45</v>
      </c>
    </row>
    <row r="44" ht="15.75" customHeight="1">
      <c r="A44" s="4" t="s">
        <v>94</v>
      </c>
      <c r="B44" s="4" t="s">
        <v>95</v>
      </c>
      <c r="C44" s="7">
        <v>46118.9166666667</v>
      </c>
      <c r="D44" s="4">
        <v>4.0</v>
      </c>
      <c r="E44" s="8">
        <v>10588.0</v>
      </c>
      <c r="F44" s="8">
        <v>931.0</v>
      </c>
      <c r="G44" s="8">
        <v>271.0</v>
      </c>
      <c r="H44" s="10">
        <v>20754.61</v>
      </c>
    </row>
    <row r="45" ht="15.75" customHeight="1">
      <c r="A45" s="4" t="s">
        <v>94</v>
      </c>
      <c r="B45" s="4" t="s">
        <v>95</v>
      </c>
      <c r="C45" s="7">
        <v>46118.9166666667</v>
      </c>
      <c r="D45" s="4">
        <v>6.0</v>
      </c>
      <c r="E45" s="8">
        <v>12624.0</v>
      </c>
      <c r="F45" s="8">
        <v>1110.0</v>
      </c>
      <c r="G45" s="8">
        <v>323.0</v>
      </c>
      <c r="H45" s="10">
        <v>24745.88</v>
      </c>
    </row>
    <row r="46" ht="15.75" customHeight="1">
      <c r="A46" s="4" t="s">
        <v>94</v>
      </c>
      <c r="B46" s="4" t="s">
        <v>95</v>
      </c>
      <c r="C46" s="7">
        <v>46118.9166666667</v>
      </c>
      <c r="D46" s="4">
        <v>12.0</v>
      </c>
      <c r="E46" s="8">
        <v>15882.0</v>
      </c>
      <c r="F46" s="8">
        <v>1396.0</v>
      </c>
      <c r="G46" s="8">
        <v>407.0</v>
      </c>
      <c r="H46" s="10">
        <v>31131.91</v>
      </c>
    </row>
    <row r="47" ht="15.75" customHeight="1">
      <c r="A47" s="4" t="s">
        <v>94</v>
      </c>
      <c r="B47" s="4" t="s">
        <v>95</v>
      </c>
      <c r="C47" s="7">
        <v>46118.9166666667</v>
      </c>
      <c r="D47" s="4">
        <v>24.0</v>
      </c>
      <c r="E47" s="8">
        <v>18325.0</v>
      </c>
      <c r="F47" s="8">
        <v>1611.0</v>
      </c>
      <c r="G47" s="8">
        <v>469.0</v>
      </c>
      <c r="H47" s="10">
        <v>35921.44</v>
      </c>
    </row>
    <row r="48" ht="15.75" customHeight="1">
      <c r="A48" s="4" t="s">
        <v>94</v>
      </c>
      <c r="B48" s="4" t="s">
        <v>95</v>
      </c>
      <c r="C48" s="7">
        <v>46118.9166666667</v>
      </c>
      <c r="D48" s="4">
        <v>48.0</v>
      </c>
      <c r="E48" s="8">
        <v>19751.0</v>
      </c>
      <c r="F48" s="8">
        <v>1737.0</v>
      </c>
      <c r="G48" s="8">
        <v>506.0</v>
      </c>
      <c r="H48" s="10">
        <v>38715.33</v>
      </c>
    </row>
    <row r="49" ht="15.75" customHeight="1">
      <c r="A49" s="4" t="s">
        <v>94</v>
      </c>
      <c r="B49" s="4" t="s">
        <v>95</v>
      </c>
      <c r="C49" s="7">
        <v>46118.9166666667</v>
      </c>
      <c r="D49" s="4">
        <v>72.0</v>
      </c>
      <c r="E49" s="8">
        <v>20362.0</v>
      </c>
      <c r="F49" s="8">
        <v>1791.0</v>
      </c>
      <c r="G49" s="8">
        <v>522.0</v>
      </c>
      <c r="H49" s="10">
        <v>39912.71</v>
      </c>
    </row>
    <row r="50" ht="15.75" customHeight="1">
      <c r="A50" s="4" t="s">
        <v>101</v>
      </c>
      <c r="B50" s="4" t="s">
        <v>102</v>
      </c>
      <c r="C50" s="7">
        <v>46116.75</v>
      </c>
      <c r="D50" s="4">
        <v>1.0</v>
      </c>
      <c r="E50" s="8">
        <v>0.0</v>
      </c>
      <c r="F50" s="8">
        <v>991.0</v>
      </c>
      <c r="G50" s="8">
        <v>160.0</v>
      </c>
      <c r="H50" s="10">
        <v>14797.36</v>
      </c>
    </row>
    <row r="51" ht="15.75" customHeight="1">
      <c r="A51" s="4" t="s">
        <v>101</v>
      </c>
      <c r="B51" s="4" t="s">
        <v>102</v>
      </c>
      <c r="C51" s="7">
        <v>46116.75</v>
      </c>
      <c r="D51" s="4">
        <v>2.0</v>
      </c>
      <c r="E51" s="8">
        <v>0.0</v>
      </c>
      <c r="F51" s="8">
        <v>1576.0</v>
      </c>
      <c r="G51" s="8">
        <v>254.0</v>
      </c>
      <c r="H51" s="10">
        <v>23541.25</v>
      </c>
    </row>
    <row r="52" ht="15.75" customHeight="1">
      <c r="A52" s="4" t="s">
        <v>101</v>
      </c>
      <c r="B52" s="4" t="s">
        <v>102</v>
      </c>
      <c r="C52" s="7">
        <v>46116.75</v>
      </c>
      <c r="D52" s="4">
        <v>4.0</v>
      </c>
      <c r="E52" s="8">
        <v>0.0</v>
      </c>
      <c r="F52" s="8">
        <v>2342.0</v>
      </c>
      <c r="G52" s="8">
        <v>378.0</v>
      </c>
      <c r="H52" s="10">
        <v>34975.57</v>
      </c>
    </row>
    <row r="53" ht="15.75" customHeight="1">
      <c r="A53" s="4" t="s">
        <v>101</v>
      </c>
      <c r="B53" s="4" t="s">
        <v>102</v>
      </c>
      <c r="C53" s="7">
        <v>46116.75</v>
      </c>
      <c r="D53" s="4">
        <v>6.0</v>
      </c>
      <c r="E53" s="8">
        <v>0.0</v>
      </c>
      <c r="F53" s="8">
        <v>2793.0</v>
      </c>
      <c r="G53" s="8">
        <v>451.0</v>
      </c>
      <c r="H53" s="10">
        <v>41701.64</v>
      </c>
    </row>
    <row r="54" ht="15.75" customHeight="1">
      <c r="A54" s="4" t="s">
        <v>101</v>
      </c>
      <c r="B54" s="4" t="s">
        <v>102</v>
      </c>
      <c r="C54" s="7">
        <v>46116.75</v>
      </c>
      <c r="D54" s="4">
        <v>12.0</v>
      </c>
      <c r="E54" s="8">
        <v>0.0</v>
      </c>
      <c r="F54" s="8">
        <v>3513.0</v>
      </c>
      <c r="G54" s="8">
        <v>567.0</v>
      </c>
      <c r="H54" s="10">
        <v>52463.35</v>
      </c>
    </row>
    <row r="55" ht="15.75" customHeight="1">
      <c r="A55" s="4" t="s">
        <v>101</v>
      </c>
      <c r="B55" s="4" t="s">
        <v>102</v>
      </c>
      <c r="C55" s="7">
        <v>46116.75</v>
      </c>
      <c r="D55" s="4">
        <v>24.0</v>
      </c>
      <c r="E55" s="8">
        <v>0.0</v>
      </c>
      <c r="F55" s="8">
        <v>4054.0</v>
      </c>
      <c r="G55" s="8">
        <v>655.0</v>
      </c>
      <c r="H55" s="10">
        <v>60534.64</v>
      </c>
    </row>
    <row r="56" ht="15.75" customHeight="1">
      <c r="A56" s="4" t="s">
        <v>101</v>
      </c>
      <c r="B56" s="4" t="s">
        <v>102</v>
      </c>
      <c r="C56" s="7">
        <v>46116.75</v>
      </c>
      <c r="D56" s="4">
        <v>48.0</v>
      </c>
      <c r="E56" s="8">
        <v>0.0</v>
      </c>
      <c r="F56" s="8">
        <v>4369.0</v>
      </c>
      <c r="G56" s="8">
        <v>706.0</v>
      </c>
      <c r="H56" s="10">
        <v>65242.89</v>
      </c>
    </row>
    <row r="57" ht="15.75" customHeight="1">
      <c r="A57" s="4" t="s">
        <v>101</v>
      </c>
      <c r="B57" s="4" t="s">
        <v>102</v>
      </c>
      <c r="C57" s="7">
        <v>46116.75</v>
      </c>
      <c r="D57" s="4">
        <v>72.0</v>
      </c>
      <c r="E57" s="8">
        <v>0.0</v>
      </c>
      <c r="F57" s="8">
        <v>4505.0</v>
      </c>
      <c r="G57" s="8">
        <v>728.0</v>
      </c>
      <c r="H57" s="10">
        <v>67260.71</v>
      </c>
    </row>
    <row r="58" ht="15.75" customHeight="1">
      <c r="A58" s="4" t="s">
        <v>108</v>
      </c>
      <c r="B58" s="4" t="s">
        <v>109</v>
      </c>
      <c r="C58" s="7">
        <v>46116.6666666667</v>
      </c>
      <c r="D58" s="4">
        <v>1.0</v>
      </c>
      <c r="E58" s="8">
        <v>0.0</v>
      </c>
      <c r="F58" s="8">
        <v>2469.0</v>
      </c>
      <c r="G58" s="8">
        <v>320.0</v>
      </c>
      <c r="H58" s="10">
        <v>29282.58</v>
      </c>
    </row>
    <row r="59" ht="15.75" customHeight="1">
      <c r="A59" s="4" t="s">
        <v>108</v>
      </c>
      <c r="B59" s="4" t="s">
        <v>109</v>
      </c>
      <c r="C59" s="7">
        <v>46116.6666666667</v>
      </c>
      <c r="D59" s="4">
        <v>2.0</v>
      </c>
      <c r="E59" s="8">
        <v>0.0</v>
      </c>
      <c r="F59" s="8">
        <v>3928.0</v>
      </c>
      <c r="G59" s="8">
        <v>510.0</v>
      </c>
      <c r="H59" s="10">
        <v>46585.93</v>
      </c>
    </row>
    <row r="60" ht="15.75" customHeight="1">
      <c r="A60" s="4" t="s">
        <v>108</v>
      </c>
      <c r="B60" s="4" t="s">
        <v>109</v>
      </c>
      <c r="C60" s="7">
        <v>46116.6666666667</v>
      </c>
      <c r="D60" s="4">
        <v>4.0</v>
      </c>
      <c r="E60" s="8">
        <v>0.0</v>
      </c>
      <c r="F60" s="8">
        <v>5835.0</v>
      </c>
      <c r="G60" s="8">
        <v>758.0</v>
      </c>
      <c r="H60" s="10">
        <v>69213.38</v>
      </c>
    </row>
    <row r="61" ht="15.75" customHeight="1">
      <c r="A61" s="4" t="s">
        <v>108</v>
      </c>
      <c r="B61" s="4" t="s">
        <v>109</v>
      </c>
      <c r="C61" s="7">
        <v>46116.6666666667</v>
      </c>
      <c r="D61" s="4">
        <v>6.0</v>
      </c>
      <c r="E61" s="8">
        <v>0.0</v>
      </c>
      <c r="F61" s="8">
        <v>6958.0</v>
      </c>
      <c r="G61" s="8">
        <v>904.0</v>
      </c>
      <c r="H61" s="10">
        <v>82523.64</v>
      </c>
    </row>
    <row r="62" ht="15.75" customHeight="1">
      <c r="A62" s="4" t="s">
        <v>108</v>
      </c>
      <c r="B62" s="4" t="s">
        <v>109</v>
      </c>
      <c r="C62" s="7">
        <v>46116.6666666667</v>
      </c>
      <c r="D62" s="4">
        <v>12.0</v>
      </c>
      <c r="E62" s="8">
        <v>0.0</v>
      </c>
      <c r="F62" s="8">
        <v>8753.0</v>
      </c>
      <c r="G62" s="8">
        <v>1138.0</v>
      </c>
      <c r="H62" s="10">
        <v>103820.07</v>
      </c>
    </row>
    <row r="63" ht="15.75" customHeight="1">
      <c r="A63" s="4" t="s">
        <v>108</v>
      </c>
      <c r="B63" s="4" t="s">
        <v>109</v>
      </c>
      <c r="C63" s="7">
        <v>46116.6666666667</v>
      </c>
      <c r="D63" s="4">
        <v>24.0</v>
      </c>
      <c r="E63" s="8">
        <v>0.0</v>
      </c>
      <c r="F63" s="8">
        <v>10100.0</v>
      </c>
      <c r="G63" s="8">
        <v>1313.0</v>
      </c>
      <c r="H63" s="10">
        <v>119792.38</v>
      </c>
    </row>
    <row r="64" ht="15.75" customHeight="1">
      <c r="A64" s="4" t="s">
        <v>108</v>
      </c>
      <c r="B64" s="4" t="s">
        <v>109</v>
      </c>
      <c r="C64" s="7">
        <v>46116.6666666667</v>
      </c>
      <c r="D64" s="4">
        <v>48.0</v>
      </c>
      <c r="E64" s="8">
        <v>0.0</v>
      </c>
      <c r="F64" s="8">
        <v>10886.0</v>
      </c>
      <c r="G64" s="8">
        <v>1415.0</v>
      </c>
      <c r="H64" s="10">
        <v>129109.57</v>
      </c>
    </row>
    <row r="65" ht="15.75" customHeight="1">
      <c r="A65" s="4" t="s">
        <v>108</v>
      </c>
      <c r="B65" s="4" t="s">
        <v>109</v>
      </c>
      <c r="C65" s="7">
        <v>46116.6666666667</v>
      </c>
      <c r="D65" s="4">
        <v>72.0</v>
      </c>
      <c r="E65" s="8">
        <v>0.0</v>
      </c>
      <c r="F65" s="8">
        <v>11223.0</v>
      </c>
      <c r="G65" s="8">
        <v>1459.0</v>
      </c>
      <c r="H65" s="10">
        <v>133102.65</v>
      </c>
    </row>
    <row r="66" ht="15.75" customHeight="1">
      <c r="A66" s="4" t="s">
        <v>114</v>
      </c>
      <c r="B66" s="4" t="s">
        <v>115</v>
      </c>
      <c r="C66" s="7">
        <v>46116.6041666667</v>
      </c>
      <c r="D66" s="4">
        <v>1.0</v>
      </c>
      <c r="E66" s="8">
        <v>9339.0</v>
      </c>
      <c r="F66" s="8">
        <v>723.0</v>
      </c>
      <c r="G66" s="8">
        <v>118.0</v>
      </c>
      <c r="H66" s="10">
        <v>8989.96</v>
      </c>
    </row>
    <row r="67" ht="15.75" customHeight="1">
      <c r="A67" s="4" t="s">
        <v>114</v>
      </c>
      <c r="B67" s="4" t="s">
        <v>115</v>
      </c>
      <c r="C67" s="7">
        <v>46116.6041666667</v>
      </c>
      <c r="D67" s="4">
        <v>2.0</v>
      </c>
      <c r="E67" s="8">
        <v>14857.0</v>
      </c>
      <c r="F67" s="8">
        <v>1150.0</v>
      </c>
      <c r="G67" s="8">
        <v>187.0</v>
      </c>
      <c r="H67" s="10">
        <v>14302.21</v>
      </c>
    </row>
    <row r="68" ht="15.75" customHeight="1">
      <c r="A68" s="4" t="s">
        <v>114</v>
      </c>
      <c r="B68" s="4" t="s">
        <v>115</v>
      </c>
      <c r="C68" s="7">
        <v>46116.6041666667</v>
      </c>
      <c r="D68" s="4">
        <v>4.0</v>
      </c>
      <c r="E68" s="8">
        <v>22074.0</v>
      </c>
      <c r="F68" s="8">
        <v>1709.0</v>
      </c>
      <c r="G68" s="8">
        <v>279.0</v>
      </c>
      <c r="H68" s="10">
        <v>21249.0</v>
      </c>
    </row>
    <row r="69" ht="15.75" customHeight="1">
      <c r="A69" s="4" t="s">
        <v>114</v>
      </c>
      <c r="B69" s="4" t="s">
        <v>115</v>
      </c>
      <c r="C69" s="7">
        <v>46116.6041666667</v>
      </c>
      <c r="D69" s="4">
        <v>6.0</v>
      </c>
      <c r="E69" s="8">
        <v>26319.0</v>
      </c>
      <c r="F69" s="8">
        <v>2038.0</v>
      </c>
      <c r="G69" s="8">
        <v>332.0</v>
      </c>
      <c r="H69" s="10">
        <v>25335.35</v>
      </c>
    </row>
    <row r="70" ht="15.75" customHeight="1">
      <c r="A70" s="4" t="s">
        <v>114</v>
      </c>
      <c r="B70" s="4" t="s">
        <v>115</v>
      </c>
      <c r="C70" s="7">
        <v>46116.6041666667</v>
      </c>
      <c r="D70" s="4">
        <v>12.0</v>
      </c>
      <c r="E70" s="8">
        <v>33111.0</v>
      </c>
      <c r="F70" s="8">
        <v>2564.0</v>
      </c>
      <c r="G70" s="8">
        <v>418.0</v>
      </c>
      <c r="H70" s="10">
        <v>31873.51</v>
      </c>
    </row>
    <row r="71" ht="15.75" customHeight="1">
      <c r="A71" s="4" t="s">
        <v>114</v>
      </c>
      <c r="B71" s="4" t="s">
        <v>115</v>
      </c>
      <c r="C71" s="7">
        <v>46116.6041666667</v>
      </c>
      <c r="D71" s="4">
        <v>24.0</v>
      </c>
      <c r="E71" s="8">
        <v>38205.0</v>
      </c>
      <c r="F71" s="8">
        <v>2959.0</v>
      </c>
      <c r="G71" s="8">
        <v>483.0</v>
      </c>
      <c r="H71" s="10">
        <v>36777.12</v>
      </c>
    </row>
    <row r="72" ht="15.75" customHeight="1">
      <c r="A72" s="4" t="s">
        <v>114</v>
      </c>
      <c r="B72" s="4" t="s">
        <v>115</v>
      </c>
      <c r="C72" s="7">
        <v>46116.6041666667</v>
      </c>
      <c r="D72" s="4">
        <v>48.0</v>
      </c>
      <c r="E72" s="8">
        <v>41177.0</v>
      </c>
      <c r="F72" s="8">
        <v>3189.0</v>
      </c>
      <c r="G72" s="8">
        <v>520.0</v>
      </c>
      <c r="H72" s="10">
        <v>39637.57</v>
      </c>
    </row>
    <row r="73" ht="15.75" customHeight="1">
      <c r="A73" s="4" t="s">
        <v>114</v>
      </c>
      <c r="B73" s="4" t="s">
        <v>115</v>
      </c>
      <c r="C73" s="7">
        <v>46116.6041666667</v>
      </c>
      <c r="D73" s="4">
        <v>72.0</v>
      </c>
      <c r="E73" s="8">
        <v>42451.0</v>
      </c>
      <c r="F73" s="8">
        <v>3288.0</v>
      </c>
      <c r="G73" s="8">
        <v>537.0</v>
      </c>
      <c r="H73" s="10">
        <v>40863.47</v>
      </c>
    </row>
    <row r="74" ht="15.75" customHeight="1">
      <c r="A74" s="4" t="s">
        <v>120</v>
      </c>
      <c r="B74" s="4" t="s">
        <v>121</v>
      </c>
      <c r="C74" s="7">
        <v>46114.7083333333</v>
      </c>
      <c r="D74" s="4">
        <v>1.0</v>
      </c>
      <c r="E74" s="8">
        <v>1147.0</v>
      </c>
      <c r="F74" s="8">
        <v>40.0</v>
      </c>
      <c r="G74" s="8">
        <v>35.0</v>
      </c>
      <c r="H74" s="10">
        <v>2372.77</v>
      </c>
    </row>
    <row r="75" ht="15.75" customHeight="1">
      <c r="A75" s="4" t="s">
        <v>120</v>
      </c>
      <c r="B75" s="4" t="s">
        <v>121</v>
      </c>
      <c r="C75" s="7">
        <v>46114.7083333333</v>
      </c>
      <c r="D75" s="4">
        <v>2.0</v>
      </c>
      <c r="E75" s="8">
        <v>1825.0</v>
      </c>
      <c r="F75" s="8">
        <v>64.0</v>
      </c>
      <c r="G75" s="8">
        <v>56.0</v>
      </c>
      <c r="H75" s="10">
        <v>3774.86</v>
      </c>
    </row>
    <row r="76" ht="15.75" customHeight="1">
      <c r="A76" s="4" t="s">
        <v>120</v>
      </c>
      <c r="B76" s="4" t="s">
        <v>121</v>
      </c>
      <c r="C76" s="7">
        <v>46114.7083333333</v>
      </c>
      <c r="D76" s="4">
        <v>4.0</v>
      </c>
      <c r="E76" s="8">
        <v>2712.0</v>
      </c>
      <c r="F76" s="8">
        <v>96.0</v>
      </c>
      <c r="G76" s="8">
        <v>84.0</v>
      </c>
      <c r="H76" s="10">
        <v>5608.36</v>
      </c>
    </row>
    <row r="77" ht="15.75" customHeight="1">
      <c r="A77" s="4" t="s">
        <v>120</v>
      </c>
      <c r="B77" s="4" t="s">
        <v>121</v>
      </c>
      <c r="C77" s="7">
        <v>46114.7083333333</v>
      </c>
      <c r="D77" s="4">
        <v>6.0</v>
      </c>
      <c r="E77" s="8">
        <v>3233.0</v>
      </c>
      <c r="F77" s="8">
        <v>114.0</v>
      </c>
      <c r="G77" s="8">
        <v>100.0</v>
      </c>
      <c r="H77" s="10">
        <v>6686.89</v>
      </c>
    </row>
    <row r="78" ht="15.75" customHeight="1">
      <c r="A78" s="4" t="s">
        <v>120</v>
      </c>
      <c r="B78" s="4" t="s">
        <v>121</v>
      </c>
      <c r="C78" s="7">
        <v>46114.7083333333</v>
      </c>
      <c r="D78" s="4">
        <v>12.0</v>
      </c>
      <c r="E78" s="8">
        <v>4068.0</v>
      </c>
      <c r="F78" s="8">
        <v>144.0</v>
      </c>
      <c r="G78" s="8">
        <v>126.0</v>
      </c>
      <c r="H78" s="10">
        <v>8412.54</v>
      </c>
    </row>
    <row r="79" ht="15.75" customHeight="1">
      <c r="A79" s="4" t="s">
        <v>120</v>
      </c>
      <c r="B79" s="4" t="s">
        <v>121</v>
      </c>
      <c r="C79" s="7">
        <v>46114.7083333333</v>
      </c>
      <c r="D79" s="4">
        <v>24.0</v>
      </c>
      <c r="E79" s="8">
        <v>4694.0</v>
      </c>
      <c r="F79" s="8">
        <v>166.0</v>
      </c>
      <c r="G79" s="8">
        <v>145.0</v>
      </c>
      <c r="H79" s="10">
        <v>9706.78</v>
      </c>
    </row>
    <row r="80" ht="15.75" customHeight="1">
      <c r="A80" s="4" t="s">
        <v>120</v>
      </c>
      <c r="B80" s="4" t="s">
        <v>121</v>
      </c>
      <c r="C80" s="7">
        <v>46114.7083333333</v>
      </c>
      <c r="D80" s="4">
        <v>48.0</v>
      </c>
      <c r="E80" s="8">
        <v>5059.0</v>
      </c>
      <c r="F80" s="8">
        <v>179.0</v>
      </c>
      <c r="G80" s="8">
        <v>157.0</v>
      </c>
      <c r="H80" s="10">
        <v>10461.75</v>
      </c>
    </row>
    <row r="81" ht="15.75" customHeight="1">
      <c r="A81" s="4" t="s">
        <v>120</v>
      </c>
      <c r="B81" s="4" t="s">
        <v>121</v>
      </c>
      <c r="C81" s="7">
        <v>46114.7083333333</v>
      </c>
      <c r="D81" s="4">
        <v>72.0</v>
      </c>
      <c r="E81" s="8">
        <v>5216.0</v>
      </c>
      <c r="F81" s="8">
        <v>185.0</v>
      </c>
      <c r="G81" s="8">
        <v>162.0</v>
      </c>
      <c r="H81" s="10">
        <v>10785.31</v>
      </c>
    </row>
    <row r="82" ht="15.75" customHeight="1">
      <c r="A82" s="4" t="s">
        <v>127</v>
      </c>
      <c r="B82" s="4" t="s">
        <v>128</v>
      </c>
      <c r="C82" s="7">
        <v>46113.8541666667</v>
      </c>
      <c r="D82" s="4">
        <v>1.0</v>
      </c>
      <c r="E82" s="8">
        <v>16129.0</v>
      </c>
      <c r="F82" s="8">
        <v>969.0</v>
      </c>
      <c r="G82" s="8">
        <v>358.0</v>
      </c>
      <c r="H82" s="10">
        <v>27502.9</v>
      </c>
    </row>
    <row r="83" ht="15.75" customHeight="1">
      <c r="A83" s="4" t="s">
        <v>127</v>
      </c>
      <c r="B83" s="4" t="s">
        <v>128</v>
      </c>
      <c r="C83" s="7">
        <v>46113.8541666667</v>
      </c>
      <c r="D83" s="4">
        <v>2.0</v>
      </c>
      <c r="E83" s="8">
        <v>25659.0</v>
      </c>
      <c r="F83" s="8">
        <v>1542.0</v>
      </c>
      <c r="G83" s="8">
        <v>569.0</v>
      </c>
      <c r="H83" s="10">
        <v>43754.61</v>
      </c>
    </row>
    <row r="84" ht="15.75" customHeight="1">
      <c r="A84" s="4" t="s">
        <v>127</v>
      </c>
      <c r="B84" s="4" t="s">
        <v>128</v>
      </c>
      <c r="C84" s="7">
        <v>46113.8541666667</v>
      </c>
      <c r="D84" s="4">
        <v>4.0</v>
      </c>
      <c r="E84" s="8">
        <v>38123.0</v>
      </c>
      <c r="F84" s="8">
        <v>2292.0</v>
      </c>
      <c r="G84" s="8">
        <v>846.0</v>
      </c>
      <c r="H84" s="10">
        <v>65006.85</v>
      </c>
    </row>
    <row r="85" ht="15.75" customHeight="1">
      <c r="A85" s="4" t="s">
        <v>127</v>
      </c>
      <c r="B85" s="4" t="s">
        <v>128</v>
      </c>
      <c r="C85" s="7">
        <v>46113.8541666667</v>
      </c>
      <c r="D85" s="4">
        <v>6.0</v>
      </c>
      <c r="E85" s="8">
        <v>45454.0</v>
      </c>
      <c r="F85" s="8">
        <v>2732.0</v>
      </c>
      <c r="G85" s="8">
        <v>1009.0</v>
      </c>
      <c r="H85" s="10">
        <v>77508.17</v>
      </c>
    </row>
    <row r="86" ht="15.75" customHeight="1">
      <c r="A86" s="4" t="s">
        <v>127</v>
      </c>
      <c r="B86" s="4" t="s">
        <v>128</v>
      </c>
      <c r="C86" s="7">
        <v>46113.8541666667</v>
      </c>
      <c r="D86" s="4">
        <v>12.0</v>
      </c>
      <c r="E86" s="8">
        <v>57184.0</v>
      </c>
      <c r="F86" s="8">
        <v>3438.0</v>
      </c>
      <c r="G86" s="8">
        <v>1269.0</v>
      </c>
      <c r="H86" s="10">
        <v>97510.27</v>
      </c>
    </row>
    <row r="87" ht="15.75" customHeight="1">
      <c r="A87" s="4" t="s">
        <v>127</v>
      </c>
      <c r="B87" s="4" t="s">
        <v>128</v>
      </c>
      <c r="C87" s="7">
        <v>46113.8541666667</v>
      </c>
      <c r="D87" s="4">
        <v>24.0</v>
      </c>
      <c r="E87" s="8">
        <v>65982.0</v>
      </c>
      <c r="F87" s="8">
        <v>3967.0</v>
      </c>
      <c r="G87" s="8">
        <v>1465.0</v>
      </c>
      <c r="H87" s="10">
        <v>112511.85</v>
      </c>
    </row>
    <row r="88" ht="15.75" customHeight="1">
      <c r="A88" s="4" t="s">
        <v>127</v>
      </c>
      <c r="B88" s="4" t="s">
        <v>128</v>
      </c>
      <c r="C88" s="7">
        <v>46113.8541666667</v>
      </c>
      <c r="D88" s="4">
        <v>48.0</v>
      </c>
      <c r="E88" s="8">
        <v>71114.0</v>
      </c>
      <c r="F88" s="8">
        <v>4275.0</v>
      </c>
      <c r="G88" s="8">
        <v>1579.0</v>
      </c>
      <c r="H88" s="10">
        <v>121262.77</v>
      </c>
    </row>
    <row r="89" ht="15.75" customHeight="1">
      <c r="A89" s="4" t="s">
        <v>127</v>
      </c>
      <c r="B89" s="4" t="s">
        <v>128</v>
      </c>
      <c r="C89" s="7">
        <v>46113.8541666667</v>
      </c>
      <c r="D89" s="4">
        <v>72.0</v>
      </c>
      <c r="E89" s="8">
        <v>73314.0</v>
      </c>
      <c r="F89" s="8">
        <v>4408.0</v>
      </c>
      <c r="G89" s="8">
        <v>1628.0</v>
      </c>
      <c r="H89" s="10">
        <v>125013.17</v>
      </c>
    </row>
    <row r="90" ht="15.75" customHeight="1">
      <c r="A90" s="4" t="s">
        <v>131</v>
      </c>
      <c r="B90" s="4" t="s">
        <v>132</v>
      </c>
      <c r="C90" s="7">
        <v>46108.8541666667</v>
      </c>
      <c r="D90" s="4">
        <v>1.0</v>
      </c>
      <c r="E90" s="8">
        <v>26543.0</v>
      </c>
      <c r="F90" s="8">
        <v>1707.0</v>
      </c>
      <c r="G90" s="8">
        <v>453.0</v>
      </c>
      <c r="H90" s="10">
        <v>51085.41</v>
      </c>
    </row>
    <row r="91" ht="15.75" customHeight="1">
      <c r="A91" s="4" t="s">
        <v>131</v>
      </c>
      <c r="B91" s="4" t="s">
        <v>132</v>
      </c>
      <c r="C91" s="7">
        <v>46108.8541666667</v>
      </c>
      <c r="D91" s="4">
        <v>2.0</v>
      </c>
      <c r="E91" s="8">
        <v>42227.0</v>
      </c>
      <c r="F91" s="8">
        <v>2716.0</v>
      </c>
      <c r="G91" s="8">
        <v>721.0</v>
      </c>
      <c r="H91" s="10">
        <v>81272.24</v>
      </c>
    </row>
    <row r="92" ht="15.75" customHeight="1">
      <c r="A92" s="4" t="s">
        <v>131</v>
      </c>
      <c r="B92" s="4" t="s">
        <v>132</v>
      </c>
      <c r="C92" s="7">
        <v>46108.8541666667</v>
      </c>
      <c r="D92" s="4">
        <v>4.0</v>
      </c>
      <c r="E92" s="8">
        <v>62738.0</v>
      </c>
      <c r="F92" s="8">
        <v>4035.0</v>
      </c>
      <c r="G92" s="8">
        <v>1071.0</v>
      </c>
      <c r="H92" s="10">
        <v>120747.33</v>
      </c>
    </row>
    <row r="93" ht="15.75" customHeight="1">
      <c r="A93" s="4" t="s">
        <v>131</v>
      </c>
      <c r="B93" s="4" t="s">
        <v>132</v>
      </c>
      <c r="C93" s="7">
        <v>46108.8541666667</v>
      </c>
      <c r="D93" s="4">
        <v>6.0</v>
      </c>
      <c r="E93" s="8">
        <v>74803.0</v>
      </c>
      <c r="F93" s="8">
        <v>4811.0</v>
      </c>
      <c r="G93" s="8">
        <v>1277.0</v>
      </c>
      <c r="H93" s="10">
        <v>143967.97</v>
      </c>
    </row>
    <row r="94" ht="15.75" customHeight="1">
      <c r="A94" s="4" t="s">
        <v>131</v>
      </c>
      <c r="B94" s="4" t="s">
        <v>132</v>
      </c>
      <c r="C94" s="7">
        <v>46108.8541666667</v>
      </c>
      <c r="D94" s="4">
        <v>12.0</v>
      </c>
      <c r="E94" s="8">
        <v>94107.0</v>
      </c>
      <c r="F94" s="8">
        <v>6053.0</v>
      </c>
      <c r="G94" s="8">
        <v>1607.0</v>
      </c>
      <c r="H94" s="10">
        <v>181121.0</v>
      </c>
    </row>
    <row r="95" ht="15.75" customHeight="1">
      <c r="A95" s="4" t="s">
        <v>131</v>
      </c>
      <c r="B95" s="4" t="s">
        <v>132</v>
      </c>
      <c r="C95" s="7">
        <v>46108.8541666667</v>
      </c>
      <c r="D95" s="4">
        <v>24.0</v>
      </c>
      <c r="E95" s="8">
        <v>108585.0</v>
      </c>
      <c r="F95" s="8">
        <v>6984.0</v>
      </c>
      <c r="G95" s="8">
        <v>1854.0</v>
      </c>
      <c r="H95" s="10">
        <v>208985.77</v>
      </c>
    </row>
    <row r="96" ht="15.75" customHeight="1">
      <c r="A96" s="4" t="s">
        <v>131</v>
      </c>
      <c r="B96" s="4" t="s">
        <v>132</v>
      </c>
      <c r="C96" s="7">
        <v>46108.8541666667</v>
      </c>
      <c r="D96" s="4">
        <v>48.0</v>
      </c>
      <c r="E96" s="8">
        <v>117031.0</v>
      </c>
      <c r="F96" s="8">
        <v>7528.0</v>
      </c>
      <c r="G96" s="8">
        <v>1999.0</v>
      </c>
      <c r="H96" s="10">
        <v>225240.22</v>
      </c>
    </row>
    <row r="97" ht="15.75" customHeight="1">
      <c r="A97" s="4" t="s">
        <v>131</v>
      </c>
      <c r="B97" s="4" t="s">
        <v>132</v>
      </c>
      <c r="C97" s="7">
        <v>46108.8541666667</v>
      </c>
      <c r="D97" s="4">
        <v>72.0</v>
      </c>
      <c r="E97" s="8">
        <v>120651.0</v>
      </c>
      <c r="F97" s="8">
        <v>7761.0</v>
      </c>
      <c r="G97" s="8">
        <v>2061.0</v>
      </c>
      <c r="H97" s="10">
        <v>232206.41</v>
      </c>
    </row>
    <row r="98" ht="15.75" customHeight="1">
      <c r="A98" s="4" t="s">
        <v>139</v>
      </c>
      <c r="B98" s="4" t="s">
        <v>140</v>
      </c>
      <c r="C98" s="7">
        <v>46103.8958333333</v>
      </c>
      <c r="D98" s="4">
        <v>1.0</v>
      </c>
      <c r="E98" s="8">
        <v>9070.0</v>
      </c>
      <c r="F98" s="8">
        <v>742.0</v>
      </c>
      <c r="G98" s="8">
        <v>320.0</v>
      </c>
      <c r="H98" s="10">
        <v>34772.28</v>
      </c>
    </row>
    <row r="99" ht="15.75" customHeight="1">
      <c r="A99" s="4" t="s">
        <v>139</v>
      </c>
      <c r="B99" s="4" t="s">
        <v>140</v>
      </c>
      <c r="C99" s="7">
        <v>46103.8958333333</v>
      </c>
      <c r="D99" s="4">
        <v>2.0</v>
      </c>
      <c r="E99" s="8">
        <v>14430.0</v>
      </c>
      <c r="F99" s="8">
        <v>1181.0</v>
      </c>
      <c r="G99" s="8">
        <v>510.0</v>
      </c>
      <c r="H99" s="10">
        <v>55319.54</v>
      </c>
    </row>
    <row r="100" ht="15.75" customHeight="1">
      <c r="A100" s="4" t="s">
        <v>139</v>
      </c>
      <c r="B100" s="4" t="s">
        <v>140</v>
      </c>
      <c r="C100" s="7">
        <v>46103.8958333333</v>
      </c>
      <c r="D100" s="4">
        <v>4.0</v>
      </c>
      <c r="E100" s="8">
        <v>21439.0</v>
      </c>
      <c r="F100" s="8">
        <v>1756.0</v>
      </c>
      <c r="G100" s="8">
        <v>758.0</v>
      </c>
      <c r="H100" s="10">
        <v>82189.04</v>
      </c>
    </row>
    <row r="101" ht="15.75" customHeight="1">
      <c r="A101" s="4" t="s">
        <v>139</v>
      </c>
      <c r="B101" s="4" t="s">
        <v>140</v>
      </c>
      <c r="C101" s="7">
        <v>46103.8958333333</v>
      </c>
      <c r="D101" s="4">
        <v>6.0</v>
      </c>
      <c r="E101" s="8">
        <v>25562.0</v>
      </c>
      <c r="F101" s="8">
        <v>2093.0</v>
      </c>
      <c r="G101" s="8">
        <v>904.0</v>
      </c>
      <c r="H101" s="10">
        <v>97994.62</v>
      </c>
    </row>
    <row r="102" ht="15.75" customHeight="1">
      <c r="A102" s="4" t="s">
        <v>139</v>
      </c>
      <c r="B102" s="4" t="s">
        <v>140</v>
      </c>
      <c r="C102" s="7">
        <v>46103.8958333333</v>
      </c>
      <c r="D102" s="4">
        <v>12.0</v>
      </c>
      <c r="E102" s="8">
        <v>32159.0</v>
      </c>
      <c r="F102" s="8">
        <v>2634.0</v>
      </c>
      <c r="G102" s="8">
        <v>1138.0</v>
      </c>
      <c r="H102" s="10">
        <v>123283.56</v>
      </c>
    </row>
    <row r="103" ht="15.75" customHeight="1">
      <c r="A103" s="4" t="s">
        <v>139</v>
      </c>
      <c r="B103" s="4" t="s">
        <v>140</v>
      </c>
      <c r="C103" s="7">
        <v>46103.8958333333</v>
      </c>
      <c r="D103" s="4">
        <v>24.0</v>
      </c>
      <c r="E103" s="8">
        <v>37107.0</v>
      </c>
      <c r="F103" s="8">
        <v>3039.0</v>
      </c>
      <c r="G103" s="8">
        <v>1313.0</v>
      </c>
      <c r="H103" s="10">
        <v>142250.26</v>
      </c>
    </row>
    <row r="104" ht="15.75" customHeight="1">
      <c r="A104" s="4" t="s">
        <v>139</v>
      </c>
      <c r="B104" s="4" t="s">
        <v>140</v>
      </c>
      <c r="C104" s="7">
        <v>46103.8958333333</v>
      </c>
      <c r="D104" s="4">
        <v>48.0</v>
      </c>
      <c r="E104" s="8">
        <v>39993.0</v>
      </c>
      <c r="F104" s="8">
        <v>3275.0</v>
      </c>
      <c r="G104" s="8">
        <v>1415.0</v>
      </c>
      <c r="H104" s="10">
        <v>153314.16</v>
      </c>
    </row>
    <row r="105" ht="15.75" customHeight="1">
      <c r="A105" s="4" t="s">
        <v>139</v>
      </c>
      <c r="B105" s="4" t="s">
        <v>140</v>
      </c>
      <c r="C105" s="7">
        <v>46103.8958333333</v>
      </c>
      <c r="D105" s="4">
        <v>72.0</v>
      </c>
      <c r="E105" s="8">
        <v>41230.0</v>
      </c>
      <c r="F105" s="8">
        <v>3377.0</v>
      </c>
      <c r="G105" s="8">
        <v>1459.0</v>
      </c>
      <c r="H105" s="10">
        <v>158055.84</v>
      </c>
    </row>
    <row r="106" ht="15.75" customHeight="1">
      <c r="A106" s="4" t="s">
        <v>145</v>
      </c>
      <c r="B106" s="4" t="s">
        <v>146</v>
      </c>
      <c r="C106" s="7">
        <v>46103.5625</v>
      </c>
      <c r="D106" s="4">
        <v>1.0</v>
      </c>
      <c r="E106" s="8">
        <v>6716.0</v>
      </c>
      <c r="F106" s="8">
        <v>733.0</v>
      </c>
      <c r="G106" s="8">
        <v>84.0</v>
      </c>
      <c r="H106" s="10">
        <v>7226.14</v>
      </c>
    </row>
    <row r="107" ht="15.75" customHeight="1">
      <c r="A107" s="4" t="s">
        <v>145</v>
      </c>
      <c r="B107" s="4" t="s">
        <v>146</v>
      </c>
      <c r="C107" s="7">
        <v>46103.5625</v>
      </c>
      <c r="D107" s="4">
        <v>2.0</v>
      </c>
      <c r="E107" s="8">
        <v>10685.0</v>
      </c>
      <c r="F107" s="8">
        <v>1166.0</v>
      </c>
      <c r="G107" s="8">
        <v>134.0</v>
      </c>
      <c r="H107" s="10">
        <v>11496.12</v>
      </c>
    </row>
    <row r="108" ht="15.75" customHeight="1">
      <c r="A108" s="4" t="s">
        <v>145</v>
      </c>
      <c r="B108" s="4" t="s">
        <v>146</v>
      </c>
      <c r="C108" s="7">
        <v>46103.5625</v>
      </c>
      <c r="D108" s="4">
        <v>4.0</v>
      </c>
      <c r="E108" s="8">
        <v>15875.0</v>
      </c>
      <c r="F108" s="8">
        <v>1733.0</v>
      </c>
      <c r="G108" s="8">
        <v>199.0</v>
      </c>
      <c r="H108" s="10">
        <v>17079.96</v>
      </c>
    </row>
    <row r="109" ht="15.75" customHeight="1">
      <c r="A109" s="4" t="s">
        <v>145</v>
      </c>
      <c r="B109" s="4" t="s">
        <v>146</v>
      </c>
      <c r="C109" s="7">
        <v>46103.5625</v>
      </c>
      <c r="D109" s="4">
        <v>6.0</v>
      </c>
      <c r="E109" s="8">
        <v>18927.0</v>
      </c>
      <c r="F109" s="8">
        <v>2067.0</v>
      </c>
      <c r="G109" s="8">
        <v>237.0</v>
      </c>
      <c r="H109" s="10">
        <v>20364.56</v>
      </c>
    </row>
    <row r="110" ht="15.75" customHeight="1">
      <c r="A110" s="4" t="s">
        <v>145</v>
      </c>
      <c r="B110" s="4" t="s">
        <v>146</v>
      </c>
      <c r="C110" s="7">
        <v>46103.5625</v>
      </c>
      <c r="D110" s="4">
        <v>12.0</v>
      </c>
      <c r="E110" s="8">
        <v>23812.0</v>
      </c>
      <c r="F110" s="8">
        <v>2600.0</v>
      </c>
      <c r="G110" s="8">
        <v>298.0</v>
      </c>
      <c r="H110" s="10">
        <v>25619.93</v>
      </c>
    </row>
    <row r="111" ht="15.75" customHeight="1">
      <c r="A111" s="4" t="s">
        <v>145</v>
      </c>
      <c r="B111" s="4" t="s">
        <v>146</v>
      </c>
      <c r="C111" s="7">
        <v>46103.5625</v>
      </c>
      <c r="D111" s="4">
        <v>24.0</v>
      </c>
      <c r="E111" s="8">
        <v>27476.0</v>
      </c>
      <c r="F111" s="8">
        <v>3000.0</v>
      </c>
      <c r="G111" s="8">
        <v>344.0</v>
      </c>
      <c r="H111" s="10">
        <v>29561.46</v>
      </c>
    </row>
    <row r="112" ht="15.75" customHeight="1">
      <c r="A112" s="4" t="s">
        <v>145</v>
      </c>
      <c r="B112" s="4" t="s">
        <v>146</v>
      </c>
      <c r="C112" s="7">
        <v>46103.5625</v>
      </c>
      <c r="D112" s="4">
        <v>48.0</v>
      </c>
      <c r="E112" s="8">
        <v>29613.0</v>
      </c>
      <c r="F112" s="8">
        <v>3233.0</v>
      </c>
      <c r="G112" s="8">
        <v>371.0</v>
      </c>
      <c r="H112" s="10">
        <v>31860.69</v>
      </c>
    </row>
    <row r="113" ht="15.75" customHeight="1">
      <c r="A113" s="4" t="s">
        <v>145</v>
      </c>
      <c r="B113" s="4" t="s">
        <v>146</v>
      </c>
      <c r="C113" s="7">
        <v>46103.5625</v>
      </c>
      <c r="D113" s="4">
        <v>72.0</v>
      </c>
      <c r="E113" s="8">
        <v>30529.0</v>
      </c>
      <c r="F113" s="8">
        <v>3334.0</v>
      </c>
      <c r="G113" s="8">
        <v>383.0</v>
      </c>
      <c r="H113" s="10">
        <v>32846.07</v>
      </c>
    </row>
    <row r="114" ht="15.75" customHeight="1">
      <c r="A114" s="4" t="s">
        <v>152</v>
      </c>
      <c r="B114" s="4" t="s">
        <v>153</v>
      </c>
      <c r="C114" s="7">
        <v>46099.875</v>
      </c>
      <c r="D114" s="4">
        <v>1.0</v>
      </c>
      <c r="E114" s="8">
        <v>12202.0</v>
      </c>
      <c r="F114" s="8">
        <v>966.0</v>
      </c>
      <c r="G114" s="8">
        <v>506.0</v>
      </c>
      <c r="H114" s="10">
        <v>41944.87</v>
      </c>
    </row>
    <row r="115" ht="15.75" customHeight="1">
      <c r="A115" s="4" t="s">
        <v>152</v>
      </c>
      <c r="B115" s="4" t="s">
        <v>153</v>
      </c>
      <c r="C115" s="7">
        <v>46099.875</v>
      </c>
      <c r="D115" s="4">
        <v>2.0</v>
      </c>
      <c r="E115" s="8">
        <v>19412.0</v>
      </c>
      <c r="F115" s="8">
        <v>1537.0</v>
      </c>
      <c r="G115" s="8">
        <v>806.0</v>
      </c>
      <c r="H115" s="10">
        <v>66730.47</v>
      </c>
    </row>
    <row r="116" ht="15.75" customHeight="1">
      <c r="A116" s="4" t="s">
        <v>152</v>
      </c>
      <c r="B116" s="4" t="s">
        <v>153</v>
      </c>
      <c r="C116" s="7">
        <v>46099.875</v>
      </c>
      <c r="D116" s="4">
        <v>4.0</v>
      </c>
      <c r="E116" s="8">
        <v>28841.0</v>
      </c>
      <c r="F116" s="8">
        <v>2284.0</v>
      </c>
      <c r="G116" s="8">
        <v>1197.0</v>
      </c>
      <c r="H116" s="10">
        <v>99142.41</v>
      </c>
    </row>
    <row r="117" ht="15.75" customHeight="1">
      <c r="A117" s="4" t="s">
        <v>152</v>
      </c>
      <c r="B117" s="4" t="s">
        <v>153</v>
      </c>
      <c r="C117" s="7">
        <v>46099.875</v>
      </c>
      <c r="D117" s="4">
        <v>6.0</v>
      </c>
      <c r="E117" s="8">
        <v>34387.0</v>
      </c>
      <c r="F117" s="8">
        <v>2723.0</v>
      </c>
      <c r="G117" s="8">
        <v>1427.0</v>
      </c>
      <c r="H117" s="10">
        <v>118208.26</v>
      </c>
    </row>
    <row r="118" ht="15.75" customHeight="1">
      <c r="A118" s="4" t="s">
        <v>152</v>
      </c>
      <c r="B118" s="4" t="s">
        <v>153</v>
      </c>
      <c r="C118" s="7">
        <v>46099.875</v>
      </c>
      <c r="D118" s="4">
        <v>12.0</v>
      </c>
      <c r="E118" s="8">
        <v>43261.0</v>
      </c>
      <c r="F118" s="8">
        <v>3426.0</v>
      </c>
      <c r="G118" s="8">
        <v>1796.0</v>
      </c>
      <c r="H118" s="10">
        <v>148713.62</v>
      </c>
    </row>
    <row r="119" ht="15.75" customHeight="1">
      <c r="A119" s="4" t="s">
        <v>152</v>
      </c>
      <c r="B119" s="4" t="s">
        <v>153</v>
      </c>
      <c r="C119" s="7">
        <v>46099.875</v>
      </c>
      <c r="D119" s="4">
        <v>24.0</v>
      </c>
      <c r="E119" s="8">
        <v>49917.0</v>
      </c>
      <c r="F119" s="8">
        <v>3953.0</v>
      </c>
      <c r="G119" s="8">
        <v>2072.0</v>
      </c>
      <c r="H119" s="10">
        <v>171592.64</v>
      </c>
    </row>
    <row r="120" ht="15.75" customHeight="1">
      <c r="A120" s="4" t="s">
        <v>152</v>
      </c>
      <c r="B120" s="4" t="s">
        <v>153</v>
      </c>
      <c r="C120" s="7">
        <v>46099.875</v>
      </c>
      <c r="D120" s="4">
        <v>48.0</v>
      </c>
      <c r="E120" s="8">
        <v>53800.0</v>
      </c>
      <c r="F120" s="8">
        <v>4261.0</v>
      </c>
      <c r="G120" s="8">
        <v>2233.0</v>
      </c>
      <c r="H120" s="10">
        <v>184938.74</v>
      </c>
    </row>
    <row r="121" ht="15.75" customHeight="1">
      <c r="A121" s="4" t="s">
        <v>152</v>
      </c>
      <c r="B121" s="4" t="s">
        <v>153</v>
      </c>
      <c r="C121" s="7">
        <v>46099.875</v>
      </c>
      <c r="D121" s="4">
        <v>72.0</v>
      </c>
      <c r="E121" s="8">
        <v>55464.0</v>
      </c>
      <c r="F121" s="8">
        <v>4393.0</v>
      </c>
      <c r="G121" s="8">
        <v>2303.0</v>
      </c>
      <c r="H121" s="10">
        <v>190658.49</v>
      </c>
    </row>
    <row r="122" ht="15.75" customHeight="1">
      <c r="A122" s="4" t="s">
        <v>157</v>
      </c>
      <c r="B122" s="4" t="s">
        <v>158</v>
      </c>
      <c r="C122" s="7">
        <v>46099.75</v>
      </c>
      <c r="D122" s="4">
        <v>1.0</v>
      </c>
      <c r="E122" s="8">
        <v>0.0</v>
      </c>
      <c r="F122" s="8">
        <v>2214.0</v>
      </c>
      <c r="G122" s="8">
        <v>174.0</v>
      </c>
      <c r="H122" s="10">
        <v>12711.93</v>
      </c>
    </row>
    <row r="123" ht="15.75" customHeight="1">
      <c r="A123" s="4" t="s">
        <v>157</v>
      </c>
      <c r="B123" s="4" t="s">
        <v>158</v>
      </c>
      <c r="C123" s="7">
        <v>46099.75</v>
      </c>
      <c r="D123" s="4">
        <v>2.0</v>
      </c>
      <c r="E123" s="8">
        <v>0.0</v>
      </c>
      <c r="F123" s="8">
        <v>3523.0</v>
      </c>
      <c r="G123" s="8">
        <v>277.0</v>
      </c>
      <c r="H123" s="10">
        <v>20223.52</v>
      </c>
    </row>
    <row r="124" ht="15.75" customHeight="1">
      <c r="A124" s="4" t="s">
        <v>157</v>
      </c>
      <c r="B124" s="4" t="s">
        <v>158</v>
      </c>
      <c r="C124" s="7">
        <v>46099.75</v>
      </c>
      <c r="D124" s="4">
        <v>4.0</v>
      </c>
      <c r="E124" s="8">
        <v>0.0</v>
      </c>
      <c r="F124" s="8">
        <v>5234.0</v>
      </c>
      <c r="G124" s="8">
        <v>411.0</v>
      </c>
      <c r="H124" s="10">
        <v>30046.38</v>
      </c>
    </row>
    <row r="125" ht="15.75" customHeight="1">
      <c r="A125" s="4" t="s">
        <v>157</v>
      </c>
      <c r="B125" s="4" t="s">
        <v>158</v>
      </c>
      <c r="C125" s="7">
        <v>46099.75</v>
      </c>
      <c r="D125" s="4">
        <v>6.0</v>
      </c>
      <c r="E125" s="8">
        <v>0.0</v>
      </c>
      <c r="F125" s="8">
        <v>6240.0</v>
      </c>
      <c r="G125" s="8">
        <v>491.0</v>
      </c>
      <c r="H125" s="10">
        <v>35824.53</v>
      </c>
    </row>
    <row r="126" ht="15.75" customHeight="1">
      <c r="A126" s="4" t="s">
        <v>157</v>
      </c>
      <c r="B126" s="4" t="s">
        <v>158</v>
      </c>
      <c r="C126" s="7">
        <v>46099.75</v>
      </c>
      <c r="D126" s="4">
        <v>12.0</v>
      </c>
      <c r="E126" s="8">
        <v>0.0</v>
      </c>
      <c r="F126" s="8">
        <v>7851.0</v>
      </c>
      <c r="G126" s="8">
        <v>617.0</v>
      </c>
      <c r="H126" s="10">
        <v>45069.57</v>
      </c>
    </row>
    <row r="127" ht="15.75" customHeight="1">
      <c r="A127" s="4" t="s">
        <v>157</v>
      </c>
      <c r="B127" s="4" t="s">
        <v>158</v>
      </c>
      <c r="C127" s="7">
        <v>46099.75</v>
      </c>
      <c r="D127" s="4">
        <v>24.0</v>
      </c>
      <c r="E127" s="8">
        <v>0.0</v>
      </c>
      <c r="F127" s="8">
        <v>9059.0</v>
      </c>
      <c r="G127" s="8">
        <v>712.0</v>
      </c>
      <c r="H127" s="10">
        <v>52003.35</v>
      </c>
    </row>
    <row r="128" ht="15.75" customHeight="1">
      <c r="A128" s="4" t="s">
        <v>157</v>
      </c>
      <c r="B128" s="4" t="s">
        <v>158</v>
      </c>
      <c r="C128" s="7">
        <v>46099.75</v>
      </c>
      <c r="D128" s="4">
        <v>48.0</v>
      </c>
      <c r="E128" s="8">
        <v>0.0</v>
      </c>
      <c r="F128" s="8">
        <v>9764.0</v>
      </c>
      <c r="G128" s="8">
        <v>768.0</v>
      </c>
      <c r="H128" s="10">
        <v>56048.06</v>
      </c>
    </row>
    <row r="129" ht="15.75" customHeight="1">
      <c r="A129" s="4" t="s">
        <v>157</v>
      </c>
      <c r="B129" s="4" t="s">
        <v>158</v>
      </c>
      <c r="C129" s="7">
        <v>46099.75</v>
      </c>
      <c r="D129" s="4">
        <v>72.0</v>
      </c>
      <c r="E129" s="8">
        <v>0.0</v>
      </c>
      <c r="F129" s="8">
        <v>10066.0</v>
      </c>
      <c r="G129" s="8">
        <v>792.0</v>
      </c>
      <c r="H129" s="10">
        <v>57781.5</v>
      </c>
    </row>
    <row r="130" ht="15.75" customHeight="1">
      <c r="A130" s="4" t="s">
        <v>161</v>
      </c>
      <c r="B130" s="4" t="s">
        <v>162</v>
      </c>
      <c r="C130" s="7">
        <v>46099.5416666667</v>
      </c>
      <c r="D130" s="4">
        <v>1.0</v>
      </c>
      <c r="E130" s="8">
        <v>5657.0</v>
      </c>
      <c r="F130" s="8">
        <v>473.0</v>
      </c>
      <c r="G130" s="8">
        <v>382.0</v>
      </c>
      <c r="H130" s="10">
        <v>28440.36</v>
      </c>
    </row>
    <row r="131" ht="15.75" customHeight="1">
      <c r="A131" s="4" t="s">
        <v>161</v>
      </c>
      <c r="B131" s="4" t="s">
        <v>162</v>
      </c>
      <c r="C131" s="7">
        <v>46099.5416666667</v>
      </c>
      <c r="D131" s="4">
        <v>2.0</v>
      </c>
      <c r="E131" s="8">
        <v>9001.0</v>
      </c>
      <c r="F131" s="8">
        <v>753.0</v>
      </c>
      <c r="G131" s="8">
        <v>608.0</v>
      </c>
      <c r="H131" s="10">
        <v>45246.03</v>
      </c>
    </row>
    <row r="132" ht="15.75" customHeight="1">
      <c r="A132" s="4" t="s">
        <v>161</v>
      </c>
      <c r="B132" s="4" t="s">
        <v>162</v>
      </c>
      <c r="C132" s="7">
        <v>46099.5416666667</v>
      </c>
      <c r="D132" s="4">
        <v>4.0</v>
      </c>
      <c r="E132" s="8">
        <v>13373.0</v>
      </c>
      <c r="F132" s="8">
        <v>1119.0</v>
      </c>
      <c r="G132" s="8">
        <v>904.0</v>
      </c>
      <c r="H132" s="10">
        <v>67222.68</v>
      </c>
    </row>
    <row r="133" ht="15.75" customHeight="1">
      <c r="A133" s="4" t="s">
        <v>161</v>
      </c>
      <c r="B133" s="4" t="s">
        <v>162</v>
      </c>
      <c r="C133" s="7">
        <v>46099.5416666667</v>
      </c>
      <c r="D133" s="4">
        <v>6.0</v>
      </c>
      <c r="E133" s="8">
        <v>15945.0</v>
      </c>
      <c r="F133" s="8">
        <v>1334.0</v>
      </c>
      <c r="G133" s="8">
        <v>1078.0</v>
      </c>
      <c r="H133" s="10">
        <v>80150.12</v>
      </c>
    </row>
    <row r="134" ht="15.75" customHeight="1">
      <c r="A134" s="4" t="s">
        <v>161</v>
      </c>
      <c r="B134" s="4" t="s">
        <v>162</v>
      </c>
      <c r="C134" s="7">
        <v>46099.5416666667</v>
      </c>
      <c r="D134" s="4">
        <v>12.0</v>
      </c>
      <c r="E134" s="8">
        <v>20060.0</v>
      </c>
      <c r="F134" s="8">
        <v>1679.0</v>
      </c>
      <c r="G134" s="8">
        <v>1356.0</v>
      </c>
      <c r="H134" s="10">
        <v>100834.02</v>
      </c>
    </row>
    <row r="135" ht="15.75" customHeight="1">
      <c r="A135" s="4" t="s">
        <v>161</v>
      </c>
      <c r="B135" s="4" t="s">
        <v>162</v>
      </c>
      <c r="C135" s="7">
        <v>46099.5416666667</v>
      </c>
      <c r="D135" s="4">
        <v>24.0</v>
      </c>
      <c r="E135" s="8">
        <v>23146.0</v>
      </c>
      <c r="F135" s="8">
        <v>1937.0</v>
      </c>
      <c r="G135" s="8">
        <v>1565.0</v>
      </c>
      <c r="H135" s="10">
        <v>116346.94</v>
      </c>
    </row>
    <row r="136" ht="15.75" customHeight="1">
      <c r="A136" s="4" t="s">
        <v>161</v>
      </c>
      <c r="B136" s="4" t="s">
        <v>162</v>
      </c>
      <c r="C136" s="7">
        <v>46099.5416666667</v>
      </c>
      <c r="D136" s="4">
        <v>48.0</v>
      </c>
      <c r="E136" s="8">
        <v>24946.0</v>
      </c>
      <c r="F136" s="8">
        <v>2088.0</v>
      </c>
      <c r="G136" s="8">
        <v>1686.0</v>
      </c>
      <c r="H136" s="10">
        <v>125396.15</v>
      </c>
    </row>
    <row r="137" ht="15.75" customHeight="1">
      <c r="A137" s="4" t="s">
        <v>161</v>
      </c>
      <c r="B137" s="4" t="s">
        <v>162</v>
      </c>
      <c r="C137" s="7">
        <v>46099.5416666667</v>
      </c>
      <c r="D137" s="4">
        <v>72.0</v>
      </c>
      <c r="E137" s="8">
        <v>25718.0</v>
      </c>
      <c r="F137" s="8">
        <v>2153.0</v>
      </c>
      <c r="G137" s="8">
        <v>1739.0</v>
      </c>
      <c r="H137" s="10">
        <v>129274.38</v>
      </c>
    </row>
    <row r="138" ht="15.75" customHeight="1">
      <c r="A138" s="4" t="s">
        <v>165</v>
      </c>
      <c r="B138" s="4" t="s">
        <v>166</v>
      </c>
      <c r="C138" s="7">
        <v>46094.5833333333</v>
      </c>
      <c r="D138" s="4">
        <v>1.0</v>
      </c>
      <c r="E138" s="8">
        <v>4441.0</v>
      </c>
      <c r="F138" s="8">
        <v>319.0</v>
      </c>
      <c r="G138" s="8">
        <v>121.0</v>
      </c>
      <c r="H138" s="10">
        <v>11097.24</v>
      </c>
    </row>
    <row r="139" ht="15.75" customHeight="1">
      <c r="A139" s="4" t="s">
        <v>165</v>
      </c>
      <c r="B139" s="4" t="s">
        <v>166</v>
      </c>
      <c r="C139" s="7">
        <v>46094.5833333333</v>
      </c>
      <c r="D139" s="4">
        <v>2.0</v>
      </c>
      <c r="E139" s="8">
        <v>7065.0</v>
      </c>
      <c r="F139" s="8">
        <v>508.0</v>
      </c>
      <c r="G139" s="8">
        <v>193.0</v>
      </c>
      <c r="H139" s="10">
        <v>17654.7</v>
      </c>
    </row>
    <row r="140" ht="15.75" customHeight="1">
      <c r="A140" s="4" t="s">
        <v>165</v>
      </c>
      <c r="B140" s="4" t="s">
        <v>166</v>
      </c>
      <c r="C140" s="7">
        <v>46094.5833333333</v>
      </c>
      <c r="D140" s="4">
        <v>4.0</v>
      </c>
      <c r="E140" s="8">
        <v>10497.0</v>
      </c>
      <c r="F140" s="8">
        <v>755.0</v>
      </c>
      <c r="G140" s="8">
        <v>288.0</v>
      </c>
      <c r="H140" s="10">
        <v>26229.85</v>
      </c>
    </row>
    <row r="141" ht="15.75" customHeight="1">
      <c r="A141" s="4" t="s">
        <v>165</v>
      </c>
      <c r="B141" s="4" t="s">
        <v>166</v>
      </c>
      <c r="C141" s="7">
        <v>46094.5833333333</v>
      </c>
      <c r="D141" s="4">
        <v>6.0</v>
      </c>
      <c r="E141" s="8">
        <v>12516.0</v>
      </c>
      <c r="F141" s="8">
        <v>900.0</v>
      </c>
      <c r="G141" s="8">
        <v>343.0</v>
      </c>
      <c r="H141" s="10">
        <v>31274.05</v>
      </c>
    </row>
    <row r="142" ht="15.75" customHeight="1">
      <c r="A142" s="4" t="s">
        <v>165</v>
      </c>
      <c r="B142" s="4" t="s">
        <v>166</v>
      </c>
      <c r="C142" s="7">
        <v>46094.5833333333</v>
      </c>
      <c r="D142" s="4">
        <v>12.0</v>
      </c>
      <c r="E142" s="8">
        <v>15746.0</v>
      </c>
      <c r="F142" s="8">
        <v>1132.0</v>
      </c>
      <c r="G142" s="8">
        <v>432.0</v>
      </c>
      <c r="H142" s="10">
        <v>39344.77</v>
      </c>
    </row>
    <row r="143" ht="15.75" customHeight="1">
      <c r="A143" s="4" t="s">
        <v>165</v>
      </c>
      <c r="B143" s="4" t="s">
        <v>166</v>
      </c>
      <c r="C143" s="7">
        <v>46094.5833333333</v>
      </c>
      <c r="D143" s="4">
        <v>24.0</v>
      </c>
      <c r="E143" s="8">
        <v>18169.0</v>
      </c>
      <c r="F143" s="8">
        <v>1306.0</v>
      </c>
      <c r="G143" s="8">
        <v>498.0</v>
      </c>
      <c r="H143" s="10">
        <v>45397.81</v>
      </c>
    </row>
    <row r="144" ht="15.75" customHeight="1">
      <c r="A144" s="4" t="s">
        <v>165</v>
      </c>
      <c r="B144" s="4" t="s">
        <v>166</v>
      </c>
      <c r="C144" s="7">
        <v>46094.5833333333</v>
      </c>
      <c r="D144" s="4">
        <v>48.0</v>
      </c>
      <c r="E144" s="8">
        <v>19582.0</v>
      </c>
      <c r="F144" s="8">
        <v>1408.0</v>
      </c>
      <c r="G144" s="8">
        <v>537.0</v>
      </c>
      <c r="H144" s="10">
        <v>48928.75</v>
      </c>
    </row>
    <row r="145" ht="15.75" customHeight="1">
      <c r="A145" s="4" t="s">
        <v>165</v>
      </c>
      <c r="B145" s="4" t="s">
        <v>166</v>
      </c>
      <c r="C145" s="7">
        <v>46094.5833333333</v>
      </c>
      <c r="D145" s="4">
        <v>72.0</v>
      </c>
      <c r="E145" s="8">
        <v>20188.0</v>
      </c>
      <c r="F145" s="8">
        <v>1452.0</v>
      </c>
      <c r="G145" s="8">
        <v>554.0</v>
      </c>
      <c r="H145" s="10">
        <v>50442.01</v>
      </c>
    </row>
    <row r="146" ht="15.75" customHeight="1">
      <c r="A146" s="4" t="s">
        <v>170</v>
      </c>
      <c r="B146" s="4" t="s">
        <v>171</v>
      </c>
      <c r="C146" s="7">
        <v>46094.5833333333</v>
      </c>
      <c r="D146" s="4">
        <v>1.0</v>
      </c>
      <c r="E146" s="8">
        <v>5376.0</v>
      </c>
      <c r="F146" s="8">
        <v>331.0</v>
      </c>
      <c r="G146" s="8">
        <v>180.0</v>
      </c>
      <c r="H146" s="10">
        <v>16017.81</v>
      </c>
    </row>
    <row r="147" ht="15.75" customHeight="1">
      <c r="A147" s="4" t="s">
        <v>170</v>
      </c>
      <c r="B147" s="4" t="s">
        <v>171</v>
      </c>
      <c r="C147" s="7">
        <v>46094.5833333333</v>
      </c>
      <c r="D147" s="4">
        <v>2.0</v>
      </c>
      <c r="E147" s="8">
        <v>8554.0</v>
      </c>
      <c r="F147" s="8">
        <v>528.0</v>
      </c>
      <c r="G147" s="8">
        <v>287.0</v>
      </c>
      <c r="H147" s="10">
        <v>25482.88</v>
      </c>
    </row>
    <row r="148" ht="15.75" customHeight="1">
      <c r="A148" s="4" t="s">
        <v>170</v>
      </c>
      <c r="B148" s="4" t="s">
        <v>171</v>
      </c>
      <c r="C148" s="7">
        <v>46094.5833333333</v>
      </c>
      <c r="D148" s="4">
        <v>4.0</v>
      </c>
      <c r="E148" s="8">
        <v>12708.0</v>
      </c>
      <c r="F148" s="8">
        <v>784.0</v>
      </c>
      <c r="G148" s="8">
        <v>426.0</v>
      </c>
      <c r="H148" s="10">
        <v>37860.27</v>
      </c>
    </row>
    <row r="149" ht="15.75" customHeight="1">
      <c r="A149" s="4" t="s">
        <v>170</v>
      </c>
      <c r="B149" s="4" t="s">
        <v>171</v>
      </c>
      <c r="C149" s="7">
        <v>46094.5833333333</v>
      </c>
      <c r="D149" s="4">
        <v>6.0</v>
      </c>
      <c r="E149" s="8">
        <v>15152.0</v>
      </c>
      <c r="F149" s="8">
        <v>935.0</v>
      </c>
      <c r="G149" s="8">
        <v>509.0</v>
      </c>
      <c r="H149" s="10">
        <v>45141.1</v>
      </c>
    </row>
    <row r="150" ht="15.75" customHeight="1">
      <c r="A150" s="4" t="s">
        <v>170</v>
      </c>
      <c r="B150" s="4" t="s">
        <v>171</v>
      </c>
      <c r="C150" s="7">
        <v>46094.5833333333</v>
      </c>
      <c r="D150" s="4">
        <v>12.0</v>
      </c>
      <c r="E150" s="8">
        <v>19063.0</v>
      </c>
      <c r="F150" s="8">
        <v>1177.0</v>
      </c>
      <c r="G150" s="8">
        <v>640.0</v>
      </c>
      <c r="H150" s="10">
        <v>56790.41</v>
      </c>
    </row>
    <row r="151" ht="15.75" customHeight="1">
      <c r="A151" s="4" t="s">
        <v>170</v>
      </c>
      <c r="B151" s="4" t="s">
        <v>171</v>
      </c>
      <c r="C151" s="7">
        <v>46094.5833333333</v>
      </c>
      <c r="D151" s="4">
        <v>24.0</v>
      </c>
      <c r="E151" s="8">
        <v>21996.0</v>
      </c>
      <c r="F151" s="8">
        <v>1358.0</v>
      </c>
      <c r="G151" s="8">
        <v>738.0</v>
      </c>
      <c r="H151" s="10">
        <v>65527.4</v>
      </c>
    </row>
    <row r="152" ht="15.75" customHeight="1">
      <c r="A152" s="4" t="s">
        <v>170</v>
      </c>
      <c r="B152" s="4" t="s">
        <v>171</v>
      </c>
      <c r="C152" s="7">
        <v>46094.5833333333</v>
      </c>
      <c r="D152" s="4">
        <v>48.0</v>
      </c>
      <c r="E152" s="8">
        <v>23706.0</v>
      </c>
      <c r="F152" s="8">
        <v>1463.0</v>
      </c>
      <c r="G152" s="8">
        <v>796.0</v>
      </c>
      <c r="H152" s="10">
        <v>70623.97</v>
      </c>
    </row>
    <row r="153" ht="15.75" customHeight="1">
      <c r="A153" s="4" t="s">
        <v>170</v>
      </c>
      <c r="B153" s="4" t="s">
        <v>171</v>
      </c>
      <c r="C153" s="7">
        <v>46094.5833333333</v>
      </c>
      <c r="D153" s="4">
        <v>72.0</v>
      </c>
      <c r="E153" s="8">
        <v>24440.0</v>
      </c>
      <c r="F153" s="8">
        <v>1509.0</v>
      </c>
      <c r="G153" s="8">
        <v>821.0</v>
      </c>
      <c r="H153" s="10">
        <v>72808.22</v>
      </c>
    </row>
    <row r="154" ht="15.75" customHeight="1">
      <c r="A154" s="4" t="s">
        <v>173</v>
      </c>
      <c r="B154" s="4" t="s">
        <v>174</v>
      </c>
      <c r="C154" s="7">
        <v>46091.5416666667</v>
      </c>
      <c r="D154" s="4">
        <v>1.0</v>
      </c>
      <c r="E154" s="8">
        <v>5102.0</v>
      </c>
      <c r="F154" s="8">
        <v>389.0</v>
      </c>
      <c r="G154" s="8">
        <v>35.0</v>
      </c>
      <c r="H154" s="10">
        <v>4272.86</v>
      </c>
    </row>
    <row r="155" ht="15.75" customHeight="1">
      <c r="A155" s="4" t="s">
        <v>173</v>
      </c>
      <c r="B155" s="4" t="s">
        <v>174</v>
      </c>
      <c r="C155" s="7">
        <v>46091.5416666667</v>
      </c>
      <c r="D155" s="4">
        <v>2.0</v>
      </c>
      <c r="E155" s="8">
        <v>8117.0</v>
      </c>
      <c r="F155" s="8">
        <v>619.0</v>
      </c>
      <c r="G155" s="8">
        <v>56.0</v>
      </c>
      <c r="H155" s="10">
        <v>6797.73</v>
      </c>
    </row>
    <row r="156" ht="15.75" customHeight="1">
      <c r="A156" s="4" t="s">
        <v>173</v>
      </c>
      <c r="B156" s="4" t="s">
        <v>174</v>
      </c>
      <c r="C156" s="7">
        <v>46091.5416666667</v>
      </c>
      <c r="D156" s="4">
        <v>4.0</v>
      </c>
      <c r="E156" s="8">
        <v>12060.0</v>
      </c>
      <c r="F156" s="8">
        <v>920.0</v>
      </c>
      <c r="G156" s="8">
        <v>83.0</v>
      </c>
      <c r="H156" s="10">
        <v>10099.49</v>
      </c>
    </row>
    <row r="157" ht="15.75" customHeight="1">
      <c r="A157" s="4" t="s">
        <v>173</v>
      </c>
      <c r="B157" s="4" t="s">
        <v>174</v>
      </c>
      <c r="C157" s="7">
        <v>46091.5416666667</v>
      </c>
      <c r="D157" s="4">
        <v>6.0</v>
      </c>
      <c r="E157" s="8">
        <v>14380.0</v>
      </c>
      <c r="F157" s="8">
        <v>1097.0</v>
      </c>
      <c r="G157" s="8">
        <v>99.0</v>
      </c>
      <c r="H157" s="10">
        <v>12041.7</v>
      </c>
    </row>
    <row r="158" ht="15.75" customHeight="1">
      <c r="A158" s="4" t="s">
        <v>173</v>
      </c>
      <c r="B158" s="4" t="s">
        <v>174</v>
      </c>
      <c r="C158" s="7">
        <v>46091.5416666667</v>
      </c>
      <c r="D158" s="4">
        <v>12.0</v>
      </c>
      <c r="E158" s="8">
        <v>18091.0</v>
      </c>
      <c r="F158" s="8">
        <v>1380.0</v>
      </c>
      <c r="G158" s="8">
        <v>125.0</v>
      </c>
      <c r="H158" s="10">
        <v>15149.23</v>
      </c>
    </row>
    <row r="159" ht="15.75" customHeight="1">
      <c r="A159" s="4" t="s">
        <v>173</v>
      </c>
      <c r="B159" s="4" t="s">
        <v>174</v>
      </c>
      <c r="C159" s="7">
        <v>46091.5416666667</v>
      </c>
      <c r="D159" s="4">
        <v>24.0</v>
      </c>
      <c r="E159" s="8">
        <v>20874.0</v>
      </c>
      <c r="F159" s="8">
        <v>1593.0</v>
      </c>
      <c r="G159" s="8">
        <v>144.0</v>
      </c>
      <c r="H159" s="10">
        <v>17479.88</v>
      </c>
    </row>
    <row r="160" ht="15.75" customHeight="1">
      <c r="A160" s="4" t="s">
        <v>173</v>
      </c>
      <c r="B160" s="4" t="s">
        <v>174</v>
      </c>
      <c r="C160" s="7">
        <v>46091.5416666667</v>
      </c>
      <c r="D160" s="4">
        <v>48.0</v>
      </c>
      <c r="E160" s="8">
        <v>22498.0</v>
      </c>
      <c r="F160" s="8">
        <v>1716.0</v>
      </c>
      <c r="G160" s="8">
        <v>156.0</v>
      </c>
      <c r="H160" s="10">
        <v>18839.43</v>
      </c>
    </row>
    <row r="161" ht="15.75" customHeight="1">
      <c r="A161" s="4" t="s">
        <v>173</v>
      </c>
      <c r="B161" s="4" t="s">
        <v>174</v>
      </c>
      <c r="C161" s="7">
        <v>46091.5416666667</v>
      </c>
      <c r="D161" s="4">
        <v>72.0</v>
      </c>
      <c r="E161" s="8">
        <v>23194.0</v>
      </c>
      <c r="F161" s="8">
        <v>1770.0</v>
      </c>
      <c r="G161" s="8">
        <v>161.0</v>
      </c>
      <c r="H161" s="10">
        <v>19422.09</v>
      </c>
    </row>
    <row r="162" ht="15.75" customHeight="1">
      <c r="A162" s="4" t="s">
        <v>178</v>
      </c>
      <c r="B162" s="4" t="s">
        <v>179</v>
      </c>
      <c r="C162" s="7">
        <v>46090.7291666667</v>
      </c>
      <c r="D162" s="4">
        <v>1.0</v>
      </c>
      <c r="E162" s="8">
        <v>28045.0</v>
      </c>
      <c r="F162" s="8">
        <v>1773.0</v>
      </c>
      <c r="G162" s="8">
        <v>153.0</v>
      </c>
      <c r="H162" s="10">
        <v>16138.55</v>
      </c>
    </row>
    <row r="163" ht="15.75" customHeight="1">
      <c r="A163" s="4" t="s">
        <v>178</v>
      </c>
      <c r="B163" s="4" t="s">
        <v>179</v>
      </c>
      <c r="C163" s="7">
        <v>46090.7291666667</v>
      </c>
      <c r="D163" s="4">
        <v>2.0</v>
      </c>
      <c r="E163" s="8">
        <v>44618.0</v>
      </c>
      <c r="F163" s="8">
        <v>2822.0</v>
      </c>
      <c r="G163" s="8">
        <v>243.0</v>
      </c>
      <c r="H163" s="10">
        <v>25674.96</v>
      </c>
    </row>
    <row r="164" ht="15.75" customHeight="1">
      <c r="A164" s="4" t="s">
        <v>178</v>
      </c>
      <c r="B164" s="4" t="s">
        <v>179</v>
      </c>
      <c r="C164" s="7">
        <v>46090.7291666667</v>
      </c>
      <c r="D164" s="4">
        <v>4.0</v>
      </c>
      <c r="E164" s="8">
        <v>66290.0</v>
      </c>
      <c r="F164" s="8">
        <v>4192.0</v>
      </c>
      <c r="G164" s="8">
        <v>361.0</v>
      </c>
      <c r="H164" s="10">
        <v>38145.66</v>
      </c>
    </row>
    <row r="165" ht="15.75" customHeight="1">
      <c r="A165" s="4" t="s">
        <v>178</v>
      </c>
      <c r="B165" s="4" t="s">
        <v>179</v>
      </c>
      <c r="C165" s="7">
        <v>46090.7291666667</v>
      </c>
      <c r="D165" s="4">
        <v>6.0</v>
      </c>
      <c r="E165" s="8">
        <v>79038.0</v>
      </c>
      <c r="F165" s="8">
        <v>4999.0</v>
      </c>
      <c r="G165" s="8">
        <v>431.0</v>
      </c>
      <c r="H165" s="10">
        <v>45481.36</v>
      </c>
    </row>
    <row r="166" ht="15.75" customHeight="1">
      <c r="A166" s="4" t="s">
        <v>178</v>
      </c>
      <c r="B166" s="4" t="s">
        <v>179</v>
      </c>
      <c r="C166" s="7">
        <v>46090.7291666667</v>
      </c>
      <c r="D166" s="4">
        <v>12.0</v>
      </c>
      <c r="E166" s="8">
        <v>99435.0</v>
      </c>
      <c r="F166" s="8">
        <v>6289.0</v>
      </c>
      <c r="G166" s="8">
        <v>542.0</v>
      </c>
      <c r="H166" s="10">
        <v>57218.48</v>
      </c>
    </row>
    <row r="167" ht="15.75" customHeight="1">
      <c r="A167" s="4" t="s">
        <v>178</v>
      </c>
      <c r="B167" s="4" t="s">
        <v>179</v>
      </c>
      <c r="C167" s="7">
        <v>46090.7291666667</v>
      </c>
      <c r="D167" s="4">
        <v>24.0</v>
      </c>
      <c r="E167" s="8">
        <v>114732.0</v>
      </c>
      <c r="F167" s="8">
        <v>7256.0</v>
      </c>
      <c r="G167" s="8">
        <v>626.0</v>
      </c>
      <c r="H167" s="10">
        <v>66021.33</v>
      </c>
    </row>
    <row r="168" ht="15.75" customHeight="1">
      <c r="A168" s="4" t="s">
        <v>178</v>
      </c>
      <c r="B168" s="4" t="s">
        <v>179</v>
      </c>
      <c r="C168" s="7">
        <v>46090.7291666667</v>
      </c>
      <c r="D168" s="4">
        <v>48.0</v>
      </c>
      <c r="E168" s="8">
        <v>123656.0</v>
      </c>
      <c r="F168" s="8">
        <v>7821.0</v>
      </c>
      <c r="G168" s="8">
        <v>675.0</v>
      </c>
      <c r="H168" s="10">
        <v>71156.32</v>
      </c>
    </row>
    <row r="169" ht="15.75" customHeight="1">
      <c r="A169" s="4" t="s">
        <v>178</v>
      </c>
      <c r="B169" s="4" t="s">
        <v>179</v>
      </c>
      <c r="C169" s="7">
        <v>46090.7291666667</v>
      </c>
      <c r="D169" s="4">
        <v>72.0</v>
      </c>
      <c r="E169" s="8">
        <v>127481.0</v>
      </c>
      <c r="F169" s="8">
        <v>8063.0</v>
      </c>
      <c r="G169" s="8">
        <v>696.0</v>
      </c>
      <c r="H169" s="10">
        <v>73357.03</v>
      </c>
    </row>
    <row r="170" ht="15.75" customHeight="1">
      <c r="A170" s="4" t="s">
        <v>184</v>
      </c>
      <c r="B170" s="4" t="s">
        <v>185</v>
      </c>
      <c r="C170" s="7">
        <v>46088.8333333333</v>
      </c>
      <c r="D170" s="4">
        <v>1.0</v>
      </c>
      <c r="E170" s="8">
        <v>19497.0</v>
      </c>
      <c r="F170" s="8">
        <v>1078.0</v>
      </c>
      <c r="G170" s="8">
        <v>555.0</v>
      </c>
      <c r="H170" s="10">
        <v>44331.51</v>
      </c>
    </row>
    <row r="171" ht="15.75" customHeight="1">
      <c r="A171" s="4" t="s">
        <v>184</v>
      </c>
      <c r="B171" s="4" t="s">
        <v>185</v>
      </c>
      <c r="C171" s="7">
        <v>46088.8333333333</v>
      </c>
      <c r="D171" s="4">
        <v>2.0</v>
      </c>
      <c r="E171" s="8">
        <v>31018.0</v>
      </c>
      <c r="F171" s="8">
        <v>1715.0</v>
      </c>
      <c r="G171" s="8">
        <v>883.0</v>
      </c>
      <c r="H171" s="10">
        <v>70527.41</v>
      </c>
    </row>
    <row r="172" ht="15.75" customHeight="1">
      <c r="A172" s="4" t="s">
        <v>184</v>
      </c>
      <c r="B172" s="4" t="s">
        <v>185</v>
      </c>
      <c r="C172" s="7">
        <v>46088.8333333333</v>
      </c>
      <c r="D172" s="4">
        <v>4.0</v>
      </c>
      <c r="E172" s="8">
        <v>46084.0</v>
      </c>
      <c r="F172" s="8">
        <v>2548.0</v>
      </c>
      <c r="G172" s="8">
        <v>1312.0</v>
      </c>
      <c r="H172" s="10">
        <v>104783.58</v>
      </c>
    </row>
    <row r="173" ht="15.75" customHeight="1">
      <c r="A173" s="4" t="s">
        <v>184</v>
      </c>
      <c r="B173" s="4" t="s">
        <v>185</v>
      </c>
      <c r="C173" s="7">
        <v>46088.8333333333</v>
      </c>
      <c r="D173" s="4">
        <v>6.0</v>
      </c>
      <c r="E173" s="8">
        <v>54946.0</v>
      </c>
      <c r="F173" s="8">
        <v>3038.0</v>
      </c>
      <c r="G173" s="8">
        <v>1564.0</v>
      </c>
      <c r="H173" s="10">
        <v>124934.27</v>
      </c>
    </row>
    <row r="174" ht="15.75" customHeight="1">
      <c r="A174" s="4" t="s">
        <v>184</v>
      </c>
      <c r="B174" s="4" t="s">
        <v>185</v>
      </c>
      <c r="C174" s="7">
        <v>46088.8333333333</v>
      </c>
      <c r="D174" s="4">
        <v>12.0</v>
      </c>
      <c r="E174" s="8">
        <v>69126.0</v>
      </c>
      <c r="F174" s="8">
        <v>3822.0</v>
      </c>
      <c r="G174" s="8">
        <v>1968.0</v>
      </c>
      <c r="H174" s="10">
        <v>157175.37</v>
      </c>
    </row>
    <row r="175" ht="15.75" customHeight="1">
      <c r="A175" s="4" t="s">
        <v>184</v>
      </c>
      <c r="B175" s="4" t="s">
        <v>185</v>
      </c>
      <c r="C175" s="7">
        <v>46088.8333333333</v>
      </c>
      <c r="D175" s="4">
        <v>24.0</v>
      </c>
      <c r="E175" s="8">
        <v>79761.0</v>
      </c>
      <c r="F175" s="8">
        <v>4410.0</v>
      </c>
      <c r="G175" s="8">
        <v>2271.0</v>
      </c>
      <c r="H175" s="10">
        <v>181356.19</v>
      </c>
    </row>
    <row r="176" ht="15.75" customHeight="1">
      <c r="A176" s="4" t="s">
        <v>184</v>
      </c>
      <c r="B176" s="4" t="s">
        <v>185</v>
      </c>
      <c r="C176" s="7">
        <v>46088.8333333333</v>
      </c>
      <c r="D176" s="4">
        <v>48.0</v>
      </c>
      <c r="E176" s="8">
        <v>85965.0</v>
      </c>
      <c r="F176" s="8">
        <v>4753.0</v>
      </c>
      <c r="G176" s="8">
        <v>2448.0</v>
      </c>
      <c r="H176" s="10">
        <v>195461.67</v>
      </c>
    </row>
    <row r="177" ht="15.75" customHeight="1">
      <c r="A177" s="4" t="s">
        <v>184</v>
      </c>
      <c r="B177" s="4" t="s">
        <v>185</v>
      </c>
      <c r="C177" s="7">
        <v>46088.8333333333</v>
      </c>
      <c r="D177" s="4">
        <v>72.0</v>
      </c>
      <c r="E177" s="8">
        <v>88624.0</v>
      </c>
      <c r="F177" s="8">
        <v>4901.0</v>
      </c>
      <c r="G177" s="8">
        <v>2524.0</v>
      </c>
      <c r="H177" s="10">
        <v>201506.88</v>
      </c>
    </row>
    <row r="178" ht="15.75" customHeight="1">
      <c r="A178" s="4" t="s">
        <v>191</v>
      </c>
      <c r="B178" s="4" t="s">
        <v>192</v>
      </c>
      <c r="C178" s="7">
        <v>46086.9166666667</v>
      </c>
      <c r="D178" s="4">
        <v>1.0</v>
      </c>
      <c r="E178" s="8">
        <v>8315.0</v>
      </c>
      <c r="F178" s="8">
        <v>571.0</v>
      </c>
      <c r="G178" s="8">
        <v>287.0</v>
      </c>
      <c r="H178" s="10">
        <v>22206.95</v>
      </c>
    </row>
    <row r="179" ht="15.75" customHeight="1">
      <c r="A179" s="4" t="s">
        <v>191</v>
      </c>
      <c r="B179" s="4" t="s">
        <v>192</v>
      </c>
      <c r="C179" s="7">
        <v>46086.9166666667</v>
      </c>
      <c r="D179" s="4">
        <v>2.0</v>
      </c>
      <c r="E179" s="8">
        <v>13229.0</v>
      </c>
      <c r="F179" s="8">
        <v>909.0</v>
      </c>
      <c r="G179" s="8">
        <v>456.0</v>
      </c>
      <c r="H179" s="10">
        <v>35329.24</v>
      </c>
    </row>
    <row r="180" ht="15.75" customHeight="1">
      <c r="A180" s="4" t="s">
        <v>191</v>
      </c>
      <c r="B180" s="4" t="s">
        <v>192</v>
      </c>
      <c r="C180" s="7">
        <v>46086.9166666667</v>
      </c>
      <c r="D180" s="4">
        <v>4.0</v>
      </c>
      <c r="E180" s="8">
        <v>19654.0</v>
      </c>
      <c r="F180" s="8">
        <v>1350.0</v>
      </c>
      <c r="G180" s="8">
        <v>678.0</v>
      </c>
      <c r="H180" s="10">
        <v>52489.15</v>
      </c>
    </row>
    <row r="181" ht="15.75" customHeight="1">
      <c r="A181" s="4" t="s">
        <v>191</v>
      </c>
      <c r="B181" s="4" t="s">
        <v>192</v>
      </c>
      <c r="C181" s="7">
        <v>46086.9166666667</v>
      </c>
      <c r="D181" s="4">
        <v>6.0</v>
      </c>
      <c r="E181" s="8">
        <v>23434.0</v>
      </c>
      <c r="F181" s="8">
        <v>1610.0</v>
      </c>
      <c r="G181" s="8">
        <v>809.0</v>
      </c>
      <c r="H181" s="10">
        <v>62583.22</v>
      </c>
    </row>
    <row r="182" ht="15.75" customHeight="1">
      <c r="A182" s="4" t="s">
        <v>191</v>
      </c>
      <c r="B182" s="4" t="s">
        <v>192</v>
      </c>
      <c r="C182" s="7">
        <v>46086.9166666667</v>
      </c>
      <c r="D182" s="4">
        <v>12.0</v>
      </c>
      <c r="E182" s="8">
        <v>29482.0</v>
      </c>
      <c r="F182" s="8">
        <v>2026.0</v>
      </c>
      <c r="G182" s="8">
        <v>1017.0</v>
      </c>
      <c r="H182" s="10">
        <v>78733.73</v>
      </c>
    </row>
    <row r="183" ht="15.75" customHeight="1">
      <c r="A183" s="4" t="s">
        <v>191</v>
      </c>
      <c r="B183" s="4" t="s">
        <v>192</v>
      </c>
      <c r="C183" s="7">
        <v>46086.9166666667</v>
      </c>
      <c r="D183" s="4">
        <v>24.0</v>
      </c>
      <c r="E183" s="8">
        <v>34018.0</v>
      </c>
      <c r="F183" s="8">
        <v>2338.0</v>
      </c>
      <c r="G183" s="8">
        <v>1174.0</v>
      </c>
      <c r="H183" s="10">
        <v>90846.61</v>
      </c>
    </row>
    <row r="184" ht="15.75" customHeight="1">
      <c r="A184" s="4" t="s">
        <v>191</v>
      </c>
      <c r="B184" s="4" t="s">
        <v>192</v>
      </c>
      <c r="C184" s="7">
        <v>46086.9166666667</v>
      </c>
      <c r="D184" s="4">
        <v>48.0</v>
      </c>
      <c r="E184" s="8">
        <v>36664.0</v>
      </c>
      <c r="F184" s="8">
        <v>2520.0</v>
      </c>
      <c r="G184" s="8">
        <v>1265.0</v>
      </c>
      <c r="H184" s="10">
        <v>97912.46</v>
      </c>
    </row>
    <row r="185" ht="15.75" customHeight="1">
      <c r="A185" s="4" t="s">
        <v>191</v>
      </c>
      <c r="B185" s="4" t="s">
        <v>192</v>
      </c>
      <c r="C185" s="7">
        <v>46086.9166666667</v>
      </c>
      <c r="D185" s="4">
        <v>72.0</v>
      </c>
      <c r="E185" s="8">
        <v>37798.0</v>
      </c>
      <c r="F185" s="8">
        <v>2598.0</v>
      </c>
      <c r="G185" s="8">
        <v>1305.0</v>
      </c>
      <c r="H185" s="10">
        <v>100940.68</v>
      </c>
    </row>
    <row r="186" ht="15.75" customHeight="1">
      <c r="A186" s="4" t="s">
        <v>196</v>
      </c>
      <c r="B186" s="4" t="s">
        <v>197</v>
      </c>
      <c r="C186" s="7">
        <v>46085.9166666667</v>
      </c>
      <c r="D186" s="4">
        <v>1.0</v>
      </c>
      <c r="E186" s="8">
        <v>5745.0</v>
      </c>
      <c r="F186" s="8">
        <v>390.0</v>
      </c>
      <c r="G186" s="8">
        <v>278.0</v>
      </c>
      <c r="H186" s="10">
        <v>23545.64</v>
      </c>
    </row>
    <row r="187" ht="15.75" customHeight="1">
      <c r="A187" s="4" t="s">
        <v>196</v>
      </c>
      <c r="B187" s="4" t="s">
        <v>197</v>
      </c>
      <c r="C187" s="7">
        <v>46085.9166666667</v>
      </c>
      <c r="D187" s="4">
        <v>2.0</v>
      </c>
      <c r="E187" s="8">
        <v>9141.0</v>
      </c>
      <c r="F187" s="8">
        <v>621.0</v>
      </c>
      <c r="G187" s="8">
        <v>442.0</v>
      </c>
      <c r="H187" s="10">
        <v>37458.97</v>
      </c>
    </row>
    <row r="188" ht="15.75" customHeight="1">
      <c r="A188" s="4" t="s">
        <v>196</v>
      </c>
      <c r="B188" s="4" t="s">
        <v>197</v>
      </c>
      <c r="C188" s="7">
        <v>46085.9166666667</v>
      </c>
      <c r="D188" s="4">
        <v>4.0</v>
      </c>
      <c r="E188" s="8">
        <v>13581.0</v>
      </c>
      <c r="F188" s="8">
        <v>924.0</v>
      </c>
      <c r="G188" s="8">
        <v>657.0</v>
      </c>
      <c r="H188" s="10">
        <v>55653.33</v>
      </c>
    </row>
    <row r="189" ht="15.75" customHeight="1">
      <c r="A189" s="4" t="s">
        <v>196</v>
      </c>
      <c r="B189" s="4" t="s">
        <v>197</v>
      </c>
      <c r="C189" s="7">
        <v>46085.9166666667</v>
      </c>
      <c r="D189" s="4">
        <v>6.0</v>
      </c>
      <c r="E189" s="8">
        <v>16193.0</v>
      </c>
      <c r="F189" s="8">
        <v>1101.0</v>
      </c>
      <c r="G189" s="8">
        <v>784.0</v>
      </c>
      <c r="H189" s="10">
        <v>66355.89</v>
      </c>
    </row>
    <row r="190" ht="15.75" customHeight="1">
      <c r="A190" s="4" t="s">
        <v>196</v>
      </c>
      <c r="B190" s="4" t="s">
        <v>197</v>
      </c>
      <c r="C190" s="7">
        <v>46085.9166666667</v>
      </c>
      <c r="D190" s="4">
        <v>12.0</v>
      </c>
      <c r="E190" s="8">
        <v>20372.0</v>
      </c>
      <c r="F190" s="8">
        <v>1386.0</v>
      </c>
      <c r="G190" s="8">
        <v>986.0</v>
      </c>
      <c r="H190" s="10">
        <v>83479.99</v>
      </c>
    </row>
    <row r="191" ht="15.75" customHeight="1">
      <c r="A191" s="4" t="s">
        <v>196</v>
      </c>
      <c r="B191" s="4" t="s">
        <v>197</v>
      </c>
      <c r="C191" s="7">
        <v>46085.9166666667</v>
      </c>
      <c r="D191" s="4">
        <v>24.0</v>
      </c>
      <c r="E191" s="8">
        <v>23506.0</v>
      </c>
      <c r="F191" s="8">
        <v>1599.0</v>
      </c>
      <c r="G191" s="8">
        <v>1138.0</v>
      </c>
      <c r="H191" s="10">
        <v>96323.07</v>
      </c>
    </row>
    <row r="192" ht="15.75" customHeight="1">
      <c r="A192" s="4" t="s">
        <v>196</v>
      </c>
      <c r="B192" s="4" t="s">
        <v>197</v>
      </c>
      <c r="C192" s="7">
        <v>46085.9166666667</v>
      </c>
      <c r="D192" s="4">
        <v>48.0</v>
      </c>
      <c r="E192" s="8">
        <v>25334.0</v>
      </c>
      <c r="F192" s="8">
        <v>1723.0</v>
      </c>
      <c r="G192" s="8">
        <v>1227.0</v>
      </c>
      <c r="H192" s="10">
        <v>103814.86</v>
      </c>
    </row>
    <row r="193" ht="15.75" customHeight="1">
      <c r="A193" s="4" t="s">
        <v>196</v>
      </c>
      <c r="B193" s="4" t="s">
        <v>197</v>
      </c>
      <c r="C193" s="7">
        <v>46085.9166666667</v>
      </c>
      <c r="D193" s="4">
        <v>72.0</v>
      </c>
      <c r="E193" s="8">
        <v>26118.0</v>
      </c>
      <c r="F193" s="8">
        <v>1777.0</v>
      </c>
      <c r="G193" s="8">
        <v>1265.0</v>
      </c>
      <c r="H193" s="10">
        <v>107025.63</v>
      </c>
    </row>
    <row r="194" ht="15.75" customHeight="1">
      <c r="A194" s="4" t="s">
        <v>201</v>
      </c>
      <c r="B194" s="4" t="s">
        <v>202</v>
      </c>
      <c r="C194" s="7">
        <v>46084.875</v>
      </c>
      <c r="D194" s="4">
        <v>1.0</v>
      </c>
      <c r="E194" s="8">
        <v>18923.0</v>
      </c>
      <c r="F194" s="8">
        <v>1030.0</v>
      </c>
      <c r="G194" s="8">
        <v>480.0</v>
      </c>
      <c r="H194" s="10">
        <v>37648.37</v>
      </c>
    </row>
    <row r="195" ht="15.75" customHeight="1">
      <c r="A195" s="4" t="s">
        <v>201</v>
      </c>
      <c r="B195" s="4" t="s">
        <v>202</v>
      </c>
      <c r="C195" s="7">
        <v>46084.875</v>
      </c>
      <c r="D195" s="4">
        <v>2.0</v>
      </c>
      <c r="E195" s="8">
        <v>30105.0</v>
      </c>
      <c r="F195" s="8">
        <v>1638.0</v>
      </c>
      <c r="G195" s="8">
        <v>763.0</v>
      </c>
      <c r="H195" s="10">
        <v>59895.14</v>
      </c>
    </row>
    <row r="196" ht="15.75" customHeight="1">
      <c r="A196" s="4" t="s">
        <v>201</v>
      </c>
      <c r="B196" s="4" t="s">
        <v>202</v>
      </c>
      <c r="C196" s="7">
        <v>46084.875</v>
      </c>
      <c r="D196" s="4">
        <v>4.0</v>
      </c>
      <c r="E196" s="8">
        <v>44727.0</v>
      </c>
      <c r="F196" s="8">
        <v>2434.0</v>
      </c>
      <c r="G196" s="8">
        <v>1134.0</v>
      </c>
      <c r="H196" s="10">
        <v>88987.06</v>
      </c>
    </row>
    <row r="197" ht="15.75" customHeight="1">
      <c r="A197" s="4" t="s">
        <v>201</v>
      </c>
      <c r="B197" s="4" t="s">
        <v>202</v>
      </c>
      <c r="C197" s="7">
        <v>46084.875</v>
      </c>
      <c r="D197" s="4">
        <v>6.0</v>
      </c>
      <c r="E197" s="8">
        <v>53329.0</v>
      </c>
      <c r="F197" s="8">
        <v>2902.0</v>
      </c>
      <c r="G197" s="8">
        <v>1352.0</v>
      </c>
      <c r="H197" s="10">
        <v>106099.96</v>
      </c>
    </row>
    <row r="198" ht="15.75" customHeight="1">
      <c r="A198" s="4" t="s">
        <v>201</v>
      </c>
      <c r="B198" s="4" t="s">
        <v>202</v>
      </c>
      <c r="C198" s="7">
        <v>46084.875</v>
      </c>
      <c r="D198" s="4">
        <v>12.0</v>
      </c>
      <c r="E198" s="8">
        <v>67091.0</v>
      </c>
      <c r="F198" s="8">
        <v>3651.0</v>
      </c>
      <c r="G198" s="8">
        <v>1701.0</v>
      </c>
      <c r="H198" s="10">
        <v>133480.59</v>
      </c>
    </row>
    <row r="199" ht="15.75" customHeight="1">
      <c r="A199" s="4" t="s">
        <v>201</v>
      </c>
      <c r="B199" s="4" t="s">
        <v>202</v>
      </c>
      <c r="C199" s="7">
        <v>46084.875</v>
      </c>
      <c r="D199" s="4">
        <v>24.0</v>
      </c>
      <c r="E199" s="8">
        <v>77413.0</v>
      </c>
      <c r="F199" s="8">
        <v>4213.0</v>
      </c>
      <c r="G199" s="8">
        <v>1963.0</v>
      </c>
      <c r="H199" s="10">
        <v>154016.06</v>
      </c>
    </row>
    <row r="200" ht="15.75" customHeight="1">
      <c r="A200" s="4" t="s">
        <v>201</v>
      </c>
      <c r="B200" s="4" t="s">
        <v>202</v>
      </c>
      <c r="C200" s="7">
        <v>46084.875</v>
      </c>
      <c r="D200" s="4">
        <v>48.0</v>
      </c>
      <c r="E200" s="8">
        <v>83434.0</v>
      </c>
      <c r="F200" s="8">
        <v>4541.0</v>
      </c>
      <c r="G200" s="8">
        <v>2116.0</v>
      </c>
      <c r="H200" s="10">
        <v>165995.09</v>
      </c>
    </row>
    <row r="201" ht="15.75" customHeight="1">
      <c r="A201" s="4" t="s">
        <v>201</v>
      </c>
      <c r="B201" s="4" t="s">
        <v>202</v>
      </c>
      <c r="C201" s="7">
        <v>46084.875</v>
      </c>
      <c r="D201" s="4">
        <v>72.0</v>
      </c>
      <c r="E201" s="8">
        <v>86015.0</v>
      </c>
      <c r="F201" s="8">
        <v>4682.0</v>
      </c>
      <c r="G201" s="8">
        <v>2182.0</v>
      </c>
      <c r="H201" s="10">
        <v>171128.96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4.0"/>
    <col customWidth="1" min="3" max="3" width="15.0"/>
    <col customWidth="1" min="4" max="6" width="12.0"/>
    <col customWidth="1" min="7" max="7" width="21.0"/>
    <col customWidth="1" min="8" max="9" width="12.0"/>
    <col customWidth="1" min="10" max="10" width="14.0"/>
    <col customWidth="1" min="11" max="11" width="23.0"/>
    <col customWidth="1" min="12" max="12" width="15.0"/>
    <col customWidth="1" min="13" max="13" width="23.0"/>
    <col customWidth="1" min="14" max="14" width="20.0"/>
    <col customWidth="1" min="15" max="15" width="23.0"/>
    <col customWidth="1" min="16" max="16" width="12.0"/>
    <col customWidth="1" min="17" max="17" width="23.0"/>
    <col customWidth="1" min="18" max="18" width="14.0"/>
    <col customWidth="1" min="19" max="19" width="23.0"/>
    <col customWidth="1" min="20" max="26" width="8.71"/>
  </cols>
  <sheetData>
    <row r="1" ht="31.5" customHeight="1">
      <c r="A1" s="5" t="s">
        <v>764</v>
      </c>
      <c r="B1" s="5" t="s">
        <v>765</v>
      </c>
      <c r="C1" s="5" t="s">
        <v>766</v>
      </c>
      <c r="D1" s="5" t="s">
        <v>767</v>
      </c>
      <c r="E1" s="5" t="s">
        <v>25</v>
      </c>
      <c r="F1" s="5" t="s">
        <v>768</v>
      </c>
      <c r="G1" s="5" t="s">
        <v>769</v>
      </c>
      <c r="H1" s="5" t="s">
        <v>31</v>
      </c>
      <c r="I1" s="5" t="s">
        <v>32</v>
      </c>
      <c r="J1" s="5" t="s">
        <v>36</v>
      </c>
      <c r="K1" s="5" t="s">
        <v>37</v>
      </c>
      <c r="L1" s="5" t="s">
        <v>39</v>
      </c>
      <c r="M1" s="5" t="s">
        <v>40</v>
      </c>
      <c r="N1" s="5" t="s">
        <v>43</v>
      </c>
      <c r="O1" s="5" t="s">
        <v>44</v>
      </c>
      <c r="P1" s="5" t="s">
        <v>45</v>
      </c>
      <c r="Q1" s="5" t="s">
        <v>47</v>
      </c>
      <c r="R1" s="5" t="s">
        <v>48</v>
      </c>
      <c r="S1" s="5" t="s">
        <v>49</v>
      </c>
    </row>
    <row r="2">
      <c r="A2" s="4" t="s">
        <v>770</v>
      </c>
      <c r="B2" s="4" t="s">
        <v>771</v>
      </c>
      <c r="C2" s="4" t="s">
        <v>772</v>
      </c>
      <c r="D2" s="4">
        <v>6.0</v>
      </c>
      <c r="E2" s="4" t="s">
        <v>66</v>
      </c>
      <c r="F2" s="4" t="s">
        <v>773</v>
      </c>
      <c r="G2" s="12">
        <v>45778.0</v>
      </c>
      <c r="H2" s="8">
        <v>33892.0</v>
      </c>
      <c r="I2" s="8">
        <v>33594.0</v>
      </c>
      <c r="J2" s="8">
        <v>17849.0</v>
      </c>
      <c r="K2" s="9">
        <f t="shared" ref="K2:K361" si="1">IFERROR(J2/I2,0)</f>
        <v>0.5313151158</v>
      </c>
      <c r="L2" s="8">
        <v>3858.0</v>
      </c>
      <c r="M2" s="9">
        <f t="shared" ref="M2:M361" si="2">IFERROR(L2/I2,0)</f>
        <v>0.1148419361</v>
      </c>
      <c r="N2" s="8">
        <v>1133.0</v>
      </c>
      <c r="O2" s="9">
        <f t="shared" ref="O2:O361" si="3">IFERROR(N2/I2,0)</f>
        <v>0.03372626064</v>
      </c>
      <c r="P2" s="10">
        <v>57369.72</v>
      </c>
      <c r="Q2" s="11">
        <f t="shared" ref="Q2:Q361" si="4">IFERROR(P2/I2,0)</f>
        <v>1.707737096</v>
      </c>
      <c r="R2" s="8">
        <v>17.0</v>
      </c>
      <c r="S2" s="9">
        <f t="shared" ref="S2:S361" si="5">IFERROR(R2/I2,0)</f>
        <v>0.0005060427457</v>
      </c>
    </row>
    <row r="3">
      <c r="A3" s="4" t="s">
        <v>770</v>
      </c>
      <c r="B3" s="4" t="s">
        <v>771</v>
      </c>
      <c r="C3" s="4" t="s">
        <v>772</v>
      </c>
      <c r="D3" s="4">
        <v>6.0</v>
      </c>
      <c r="E3" s="4" t="s">
        <v>66</v>
      </c>
      <c r="F3" s="4" t="s">
        <v>773</v>
      </c>
      <c r="G3" s="12">
        <v>45809.0</v>
      </c>
      <c r="H3" s="8">
        <v>27336.0</v>
      </c>
      <c r="I3" s="8">
        <v>26973.0</v>
      </c>
      <c r="J3" s="8">
        <v>14068.0</v>
      </c>
      <c r="K3" s="9">
        <f t="shared" si="1"/>
        <v>0.5215585956</v>
      </c>
      <c r="L3" s="8">
        <v>3314.0</v>
      </c>
      <c r="M3" s="9">
        <f t="shared" si="2"/>
        <v>0.1228636043</v>
      </c>
      <c r="N3" s="8">
        <v>810.0</v>
      </c>
      <c r="O3" s="9">
        <f t="shared" si="3"/>
        <v>0.03003003003</v>
      </c>
      <c r="P3" s="10">
        <v>44905.18</v>
      </c>
      <c r="Q3" s="11">
        <f t="shared" si="4"/>
        <v>1.664819634</v>
      </c>
      <c r="R3" s="8">
        <v>50.0</v>
      </c>
      <c r="S3" s="9">
        <f t="shared" si="5"/>
        <v>0.001853705557</v>
      </c>
    </row>
    <row r="4">
      <c r="A4" s="4" t="s">
        <v>770</v>
      </c>
      <c r="B4" s="4" t="s">
        <v>771</v>
      </c>
      <c r="C4" s="4" t="s">
        <v>772</v>
      </c>
      <c r="D4" s="4">
        <v>6.0</v>
      </c>
      <c r="E4" s="4" t="s">
        <v>66</v>
      </c>
      <c r="F4" s="4" t="s">
        <v>773</v>
      </c>
      <c r="G4" s="12">
        <v>45839.0</v>
      </c>
      <c r="H4" s="8">
        <v>25325.0</v>
      </c>
      <c r="I4" s="8">
        <v>25078.0</v>
      </c>
      <c r="J4" s="8">
        <v>14509.0</v>
      </c>
      <c r="K4" s="9">
        <f t="shared" si="1"/>
        <v>0.5785549087</v>
      </c>
      <c r="L4" s="8">
        <v>2872.0</v>
      </c>
      <c r="M4" s="9">
        <f t="shared" si="2"/>
        <v>0.1145226892</v>
      </c>
      <c r="N4" s="8">
        <v>1010.0</v>
      </c>
      <c r="O4" s="9">
        <f t="shared" si="3"/>
        <v>0.04027434405</v>
      </c>
      <c r="P4" s="10">
        <v>49567.31</v>
      </c>
      <c r="Q4" s="11">
        <f t="shared" si="4"/>
        <v>1.97652564</v>
      </c>
      <c r="R4" s="8">
        <v>42.0</v>
      </c>
      <c r="S4" s="9">
        <f t="shared" si="5"/>
        <v>0.001674774703</v>
      </c>
    </row>
    <row r="5">
      <c r="A5" s="4" t="s">
        <v>770</v>
      </c>
      <c r="B5" s="4" t="s">
        <v>771</v>
      </c>
      <c r="C5" s="4" t="s">
        <v>772</v>
      </c>
      <c r="D5" s="4">
        <v>6.0</v>
      </c>
      <c r="E5" s="4" t="s">
        <v>66</v>
      </c>
      <c r="F5" s="4" t="s">
        <v>773</v>
      </c>
      <c r="G5" s="12">
        <v>45870.0</v>
      </c>
      <c r="H5" s="8">
        <v>30169.0</v>
      </c>
      <c r="I5" s="8">
        <v>29801.0</v>
      </c>
      <c r="J5" s="8">
        <v>15892.0</v>
      </c>
      <c r="K5" s="9">
        <f t="shared" si="1"/>
        <v>0.5332706956</v>
      </c>
      <c r="L5" s="8">
        <v>3249.0</v>
      </c>
      <c r="M5" s="9">
        <f t="shared" si="2"/>
        <v>0.1090231871</v>
      </c>
      <c r="N5" s="8">
        <v>1035.0</v>
      </c>
      <c r="O5" s="9">
        <f t="shared" si="3"/>
        <v>0.03473037818</v>
      </c>
      <c r="P5" s="10">
        <v>50490.25</v>
      </c>
      <c r="Q5" s="11">
        <f t="shared" si="4"/>
        <v>1.694246837</v>
      </c>
      <c r="R5" s="8">
        <v>29.0</v>
      </c>
      <c r="S5" s="9">
        <f t="shared" si="5"/>
        <v>0.0009731217073</v>
      </c>
    </row>
    <row r="6">
      <c r="A6" s="4" t="s">
        <v>770</v>
      </c>
      <c r="B6" s="4" t="s">
        <v>771</v>
      </c>
      <c r="C6" s="4" t="s">
        <v>772</v>
      </c>
      <c r="D6" s="4">
        <v>6.0</v>
      </c>
      <c r="E6" s="4" t="s">
        <v>66</v>
      </c>
      <c r="F6" s="4" t="s">
        <v>773</v>
      </c>
      <c r="G6" s="12">
        <v>45901.0</v>
      </c>
      <c r="H6" s="8">
        <v>24998.0</v>
      </c>
      <c r="I6" s="8">
        <v>24812.0</v>
      </c>
      <c r="J6" s="8">
        <v>13730.0</v>
      </c>
      <c r="K6" s="9">
        <f t="shared" si="1"/>
        <v>0.5533612768</v>
      </c>
      <c r="L6" s="8">
        <v>2830.0</v>
      </c>
      <c r="M6" s="9">
        <f t="shared" si="2"/>
        <v>0.114057714</v>
      </c>
      <c r="N6" s="8">
        <v>872.0</v>
      </c>
      <c r="O6" s="9">
        <f t="shared" si="3"/>
        <v>0.03514428502</v>
      </c>
      <c r="P6" s="10">
        <v>41326.51</v>
      </c>
      <c r="Q6" s="11">
        <f t="shared" si="4"/>
        <v>1.665585604</v>
      </c>
      <c r="R6" s="8">
        <v>36.0</v>
      </c>
      <c r="S6" s="9">
        <f t="shared" si="5"/>
        <v>0.00145091085</v>
      </c>
    </row>
    <row r="7">
      <c r="A7" s="4" t="s">
        <v>770</v>
      </c>
      <c r="B7" s="4" t="s">
        <v>771</v>
      </c>
      <c r="C7" s="4" t="s">
        <v>772</v>
      </c>
      <c r="D7" s="4">
        <v>6.0</v>
      </c>
      <c r="E7" s="4" t="s">
        <v>66</v>
      </c>
      <c r="F7" s="4" t="s">
        <v>773</v>
      </c>
      <c r="G7" s="12">
        <v>45931.0</v>
      </c>
      <c r="H7" s="8">
        <v>34702.0</v>
      </c>
      <c r="I7" s="8">
        <v>34450.0</v>
      </c>
      <c r="J7" s="8">
        <v>16060.0</v>
      </c>
      <c r="K7" s="9">
        <f t="shared" si="1"/>
        <v>0.4661828737</v>
      </c>
      <c r="L7" s="8">
        <v>3651.0</v>
      </c>
      <c r="M7" s="9">
        <f t="shared" si="2"/>
        <v>0.1059796807</v>
      </c>
      <c r="N7" s="8">
        <v>1028.0</v>
      </c>
      <c r="O7" s="9">
        <f t="shared" si="3"/>
        <v>0.02984034833</v>
      </c>
      <c r="P7" s="10">
        <v>54489.3</v>
      </c>
      <c r="Q7" s="11">
        <f t="shared" si="4"/>
        <v>1.581692308</v>
      </c>
      <c r="R7" s="8">
        <v>40.0</v>
      </c>
      <c r="S7" s="9">
        <f t="shared" si="5"/>
        <v>0.001161103048</v>
      </c>
    </row>
    <row r="8">
      <c r="A8" s="4" t="s">
        <v>770</v>
      </c>
      <c r="B8" s="4" t="s">
        <v>771</v>
      </c>
      <c r="C8" s="4" t="s">
        <v>772</v>
      </c>
      <c r="D8" s="4">
        <v>6.0</v>
      </c>
      <c r="E8" s="4" t="s">
        <v>66</v>
      </c>
      <c r="F8" s="4" t="s">
        <v>773</v>
      </c>
      <c r="G8" s="12">
        <v>45962.0</v>
      </c>
      <c r="H8" s="8">
        <v>44013.0</v>
      </c>
      <c r="I8" s="8">
        <v>43744.0</v>
      </c>
      <c r="J8" s="8">
        <v>24529.0</v>
      </c>
      <c r="K8" s="9">
        <f t="shared" si="1"/>
        <v>0.5607397586</v>
      </c>
      <c r="L8" s="8">
        <v>4964.0</v>
      </c>
      <c r="M8" s="9">
        <f t="shared" si="2"/>
        <v>0.1134784199</v>
      </c>
      <c r="N8" s="8">
        <v>1333.0</v>
      </c>
      <c r="O8" s="9">
        <f t="shared" si="3"/>
        <v>0.03047275055</v>
      </c>
      <c r="P8" s="10">
        <v>90676.61</v>
      </c>
      <c r="Q8" s="11">
        <f t="shared" si="4"/>
        <v>2.072892511</v>
      </c>
      <c r="R8" s="8">
        <v>57.0</v>
      </c>
      <c r="S8" s="9">
        <f t="shared" si="5"/>
        <v>0.001303035845</v>
      </c>
    </row>
    <row r="9">
      <c r="A9" s="4" t="s">
        <v>770</v>
      </c>
      <c r="B9" s="4" t="s">
        <v>771</v>
      </c>
      <c r="C9" s="4" t="s">
        <v>772</v>
      </c>
      <c r="D9" s="4">
        <v>6.0</v>
      </c>
      <c r="E9" s="4" t="s">
        <v>66</v>
      </c>
      <c r="F9" s="4" t="s">
        <v>773</v>
      </c>
      <c r="G9" s="12">
        <v>45992.0</v>
      </c>
      <c r="H9" s="8">
        <v>38966.0</v>
      </c>
      <c r="I9" s="8">
        <v>38650.0</v>
      </c>
      <c r="J9" s="8">
        <v>21315.0</v>
      </c>
      <c r="K9" s="9">
        <f t="shared" si="1"/>
        <v>0.5514877102</v>
      </c>
      <c r="L9" s="8">
        <v>3732.0</v>
      </c>
      <c r="M9" s="9">
        <f t="shared" si="2"/>
        <v>0.09655886158</v>
      </c>
      <c r="N9" s="8">
        <v>1438.0</v>
      </c>
      <c r="O9" s="9">
        <f t="shared" si="3"/>
        <v>0.03720569211</v>
      </c>
      <c r="P9" s="10">
        <v>80125.37</v>
      </c>
      <c r="Q9" s="11">
        <f t="shared" si="4"/>
        <v>2.073101423</v>
      </c>
      <c r="R9" s="8">
        <v>47.0</v>
      </c>
      <c r="S9" s="9">
        <f t="shared" si="5"/>
        <v>0.001216041397</v>
      </c>
    </row>
    <row r="10">
      <c r="A10" s="4" t="s">
        <v>770</v>
      </c>
      <c r="B10" s="4" t="s">
        <v>771</v>
      </c>
      <c r="C10" s="4" t="s">
        <v>772</v>
      </c>
      <c r="D10" s="4">
        <v>6.0</v>
      </c>
      <c r="E10" s="4" t="s">
        <v>66</v>
      </c>
      <c r="F10" s="4" t="s">
        <v>773</v>
      </c>
      <c r="G10" s="12">
        <v>46023.0</v>
      </c>
      <c r="H10" s="8">
        <v>20238.0</v>
      </c>
      <c r="I10" s="8">
        <v>20181.0</v>
      </c>
      <c r="J10" s="8">
        <v>10943.0</v>
      </c>
      <c r="K10" s="9">
        <f t="shared" si="1"/>
        <v>0.5422427035</v>
      </c>
      <c r="L10" s="8">
        <v>2174.0</v>
      </c>
      <c r="M10" s="9">
        <f t="shared" si="2"/>
        <v>0.107725088</v>
      </c>
      <c r="N10" s="8">
        <v>683.0</v>
      </c>
      <c r="O10" s="9">
        <f t="shared" si="3"/>
        <v>0.03384371438</v>
      </c>
      <c r="P10" s="10">
        <v>41533.05</v>
      </c>
      <c r="Q10" s="11">
        <f t="shared" si="4"/>
        <v>2.058027352</v>
      </c>
      <c r="R10" s="8">
        <v>29.0</v>
      </c>
      <c r="S10" s="9">
        <f t="shared" si="5"/>
        <v>0.001436995193</v>
      </c>
    </row>
    <row r="11">
      <c r="A11" s="4" t="s">
        <v>770</v>
      </c>
      <c r="B11" s="4" t="s">
        <v>771</v>
      </c>
      <c r="C11" s="4" t="s">
        <v>772</v>
      </c>
      <c r="D11" s="4">
        <v>6.0</v>
      </c>
      <c r="E11" s="4" t="s">
        <v>66</v>
      </c>
      <c r="F11" s="4" t="s">
        <v>773</v>
      </c>
      <c r="G11" s="12">
        <v>46054.0</v>
      </c>
      <c r="H11" s="8">
        <v>30143.0</v>
      </c>
      <c r="I11" s="8">
        <v>30058.0</v>
      </c>
      <c r="J11" s="8">
        <v>15563.0</v>
      </c>
      <c r="K11" s="9">
        <f t="shared" si="1"/>
        <v>0.5177656531</v>
      </c>
      <c r="L11" s="8">
        <v>3572.0</v>
      </c>
      <c r="M11" s="9">
        <f t="shared" si="2"/>
        <v>0.1188369153</v>
      </c>
      <c r="N11" s="8">
        <v>989.0</v>
      </c>
      <c r="O11" s="9">
        <f t="shared" si="3"/>
        <v>0.0329030541</v>
      </c>
      <c r="P11" s="10">
        <v>60689.05</v>
      </c>
      <c r="Q11" s="11">
        <f t="shared" si="4"/>
        <v>2.019064808</v>
      </c>
      <c r="R11" s="8">
        <v>55.0</v>
      </c>
      <c r="S11" s="9">
        <f t="shared" si="5"/>
        <v>0.001829795728</v>
      </c>
    </row>
    <row r="12">
      <c r="A12" s="4" t="s">
        <v>770</v>
      </c>
      <c r="B12" s="4" t="s">
        <v>771</v>
      </c>
      <c r="C12" s="4" t="s">
        <v>772</v>
      </c>
      <c r="D12" s="4">
        <v>6.0</v>
      </c>
      <c r="E12" s="4" t="s">
        <v>66</v>
      </c>
      <c r="F12" s="4" t="s">
        <v>773</v>
      </c>
      <c r="G12" s="12">
        <v>46082.0</v>
      </c>
      <c r="H12" s="8">
        <v>32374.0</v>
      </c>
      <c r="I12" s="8">
        <v>32130.0</v>
      </c>
      <c r="J12" s="8">
        <v>16408.0</v>
      </c>
      <c r="K12" s="9">
        <f t="shared" si="1"/>
        <v>0.5106753813</v>
      </c>
      <c r="L12" s="8">
        <v>3274.0</v>
      </c>
      <c r="M12" s="9">
        <f t="shared" si="2"/>
        <v>0.1018985372</v>
      </c>
      <c r="N12" s="8">
        <v>1244.0</v>
      </c>
      <c r="O12" s="9">
        <f t="shared" si="3"/>
        <v>0.03871770931</v>
      </c>
      <c r="P12" s="10">
        <v>66753.2</v>
      </c>
      <c r="Q12" s="11">
        <f t="shared" si="4"/>
        <v>2.077597261</v>
      </c>
      <c r="R12" s="8">
        <v>14.0</v>
      </c>
      <c r="S12" s="9">
        <f t="shared" si="5"/>
        <v>0.0004357298475</v>
      </c>
    </row>
    <row r="13">
      <c r="A13" s="4" t="s">
        <v>770</v>
      </c>
      <c r="B13" s="4" t="s">
        <v>771</v>
      </c>
      <c r="C13" s="4" t="s">
        <v>772</v>
      </c>
      <c r="D13" s="4">
        <v>6.0</v>
      </c>
      <c r="E13" s="4" t="s">
        <v>66</v>
      </c>
      <c r="F13" s="4" t="s">
        <v>773</v>
      </c>
      <c r="G13" s="12">
        <v>46113.0</v>
      </c>
      <c r="H13" s="8">
        <v>28825.0</v>
      </c>
      <c r="I13" s="8">
        <v>28596.0</v>
      </c>
      <c r="J13" s="8">
        <v>14005.0</v>
      </c>
      <c r="K13" s="9">
        <f t="shared" si="1"/>
        <v>0.4897538117</v>
      </c>
      <c r="L13" s="8">
        <v>2678.0</v>
      </c>
      <c r="M13" s="9">
        <f t="shared" si="2"/>
        <v>0.09364946146</v>
      </c>
      <c r="N13" s="8">
        <v>1098.0</v>
      </c>
      <c r="O13" s="9">
        <f t="shared" si="3"/>
        <v>0.0383969786</v>
      </c>
      <c r="P13" s="10">
        <v>45080.12</v>
      </c>
      <c r="Q13" s="11">
        <f t="shared" si="4"/>
        <v>1.576448454</v>
      </c>
      <c r="R13" s="8">
        <v>33.0</v>
      </c>
      <c r="S13" s="9">
        <f t="shared" si="5"/>
        <v>0.001154007554</v>
      </c>
    </row>
    <row r="14">
      <c r="A14" s="4" t="s">
        <v>774</v>
      </c>
      <c r="B14" s="4" t="s">
        <v>775</v>
      </c>
      <c r="C14" s="4" t="s">
        <v>776</v>
      </c>
      <c r="D14" s="4">
        <v>3.0</v>
      </c>
      <c r="E14" s="4" t="s">
        <v>57</v>
      </c>
      <c r="F14" s="4" t="s">
        <v>773</v>
      </c>
      <c r="G14" s="12">
        <v>45778.0</v>
      </c>
      <c r="H14" s="8">
        <v>32390.0</v>
      </c>
      <c r="I14" s="8">
        <v>32062.0</v>
      </c>
      <c r="J14" s="8">
        <v>0.0</v>
      </c>
      <c r="K14" s="9">
        <f t="shared" si="1"/>
        <v>0</v>
      </c>
      <c r="L14" s="8">
        <v>3507.0</v>
      </c>
      <c r="M14" s="9">
        <f t="shared" si="2"/>
        <v>0.1093818227</v>
      </c>
      <c r="N14" s="8">
        <v>1438.0</v>
      </c>
      <c r="O14" s="9">
        <f t="shared" si="3"/>
        <v>0.04485060196</v>
      </c>
      <c r="P14" s="10">
        <v>37422.26</v>
      </c>
      <c r="Q14" s="11">
        <f t="shared" si="4"/>
        <v>1.167184206</v>
      </c>
      <c r="R14" s="8">
        <v>15.0</v>
      </c>
      <c r="S14" s="9">
        <f t="shared" si="5"/>
        <v>0.0004678435531</v>
      </c>
    </row>
    <row r="15">
      <c r="A15" s="4" t="s">
        <v>774</v>
      </c>
      <c r="B15" s="4" t="s">
        <v>775</v>
      </c>
      <c r="C15" s="4" t="s">
        <v>776</v>
      </c>
      <c r="D15" s="4">
        <v>3.0</v>
      </c>
      <c r="E15" s="4" t="s">
        <v>57</v>
      </c>
      <c r="F15" s="4" t="s">
        <v>773</v>
      </c>
      <c r="G15" s="12">
        <v>45809.0</v>
      </c>
      <c r="H15" s="8">
        <v>26010.0</v>
      </c>
      <c r="I15" s="8">
        <v>25817.0</v>
      </c>
      <c r="J15" s="8">
        <v>0.0</v>
      </c>
      <c r="K15" s="9">
        <f t="shared" si="1"/>
        <v>0</v>
      </c>
      <c r="L15" s="8">
        <v>2876.0</v>
      </c>
      <c r="M15" s="9">
        <f t="shared" si="2"/>
        <v>0.1113994655</v>
      </c>
      <c r="N15" s="8">
        <v>1047.0</v>
      </c>
      <c r="O15" s="9">
        <f t="shared" si="3"/>
        <v>0.04055467328</v>
      </c>
      <c r="P15" s="10">
        <v>31581.45</v>
      </c>
      <c r="Q15" s="11">
        <f t="shared" si="4"/>
        <v>1.223281171</v>
      </c>
      <c r="R15" s="8">
        <v>34.0</v>
      </c>
      <c r="S15" s="9">
        <f t="shared" si="5"/>
        <v>0.001316961692</v>
      </c>
    </row>
    <row r="16">
      <c r="A16" s="4" t="s">
        <v>774</v>
      </c>
      <c r="B16" s="4" t="s">
        <v>775</v>
      </c>
      <c r="C16" s="4" t="s">
        <v>776</v>
      </c>
      <c r="D16" s="4">
        <v>3.0</v>
      </c>
      <c r="E16" s="4" t="s">
        <v>57</v>
      </c>
      <c r="F16" s="4" t="s">
        <v>773</v>
      </c>
      <c r="G16" s="12">
        <v>45839.0</v>
      </c>
      <c r="H16" s="8">
        <v>28917.0</v>
      </c>
      <c r="I16" s="8">
        <v>28632.0</v>
      </c>
      <c r="J16" s="8">
        <v>0.0</v>
      </c>
      <c r="K16" s="9">
        <f t="shared" si="1"/>
        <v>0</v>
      </c>
      <c r="L16" s="8">
        <v>3130.0</v>
      </c>
      <c r="M16" s="9">
        <f t="shared" si="2"/>
        <v>0.1093182453</v>
      </c>
      <c r="N16" s="8">
        <v>1169.0</v>
      </c>
      <c r="O16" s="9">
        <f t="shared" si="3"/>
        <v>0.0408284437</v>
      </c>
      <c r="P16" s="10">
        <v>34951.73</v>
      </c>
      <c r="Q16" s="11">
        <f t="shared" si="4"/>
        <v>1.220722618</v>
      </c>
      <c r="R16" s="8">
        <v>17.0</v>
      </c>
      <c r="S16" s="9">
        <f t="shared" si="5"/>
        <v>0.0005937412685</v>
      </c>
    </row>
    <row r="17">
      <c r="A17" s="4" t="s">
        <v>774</v>
      </c>
      <c r="B17" s="4" t="s">
        <v>775</v>
      </c>
      <c r="C17" s="4" t="s">
        <v>776</v>
      </c>
      <c r="D17" s="4">
        <v>3.0</v>
      </c>
      <c r="E17" s="4" t="s">
        <v>57</v>
      </c>
      <c r="F17" s="4" t="s">
        <v>773</v>
      </c>
      <c r="G17" s="12">
        <v>45870.0</v>
      </c>
      <c r="H17" s="8">
        <v>27071.0</v>
      </c>
      <c r="I17" s="8">
        <v>26835.0</v>
      </c>
      <c r="J17" s="8">
        <v>0.0</v>
      </c>
      <c r="K17" s="9">
        <f t="shared" si="1"/>
        <v>0</v>
      </c>
      <c r="L17" s="8">
        <v>3692.0</v>
      </c>
      <c r="M17" s="9">
        <f t="shared" si="2"/>
        <v>0.1375815167</v>
      </c>
      <c r="N17" s="8">
        <v>1106.0</v>
      </c>
      <c r="O17" s="9">
        <f t="shared" si="3"/>
        <v>0.04121483138</v>
      </c>
      <c r="P17" s="10">
        <v>34850.88</v>
      </c>
      <c r="Q17" s="11">
        <f t="shared" si="4"/>
        <v>1.298709894</v>
      </c>
      <c r="R17" s="8">
        <v>26.0</v>
      </c>
      <c r="S17" s="9">
        <f t="shared" si="5"/>
        <v>0.0009688839203</v>
      </c>
    </row>
    <row r="18">
      <c r="A18" s="4" t="s">
        <v>774</v>
      </c>
      <c r="B18" s="4" t="s">
        <v>775</v>
      </c>
      <c r="C18" s="4" t="s">
        <v>776</v>
      </c>
      <c r="D18" s="4">
        <v>3.0</v>
      </c>
      <c r="E18" s="4" t="s">
        <v>57</v>
      </c>
      <c r="F18" s="4" t="s">
        <v>773</v>
      </c>
      <c r="G18" s="12">
        <v>45901.0</v>
      </c>
      <c r="H18" s="8">
        <v>24959.0</v>
      </c>
      <c r="I18" s="8">
        <v>24864.0</v>
      </c>
      <c r="J18" s="8">
        <v>0.0</v>
      </c>
      <c r="K18" s="9">
        <f t="shared" si="1"/>
        <v>0</v>
      </c>
      <c r="L18" s="8">
        <v>2642.0</v>
      </c>
      <c r="M18" s="9">
        <f t="shared" si="2"/>
        <v>0.1062580438</v>
      </c>
      <c r="N18" s="8">
        <v>887.0</v>
      </c>
      <c r="O18" s="9">
        <f t="shared" si="3"/>
        <v>0.03567406692</v>
      </c>
      <c r="P18" s="10">
        <v>32370.92</v>
      </c>
      <c r="Q18" s="11">
        <f t="shared" si="4"/>
        <v>1.301919241</v>
      </c>
      <c r="R18" s="8">
        <v>47.0</v>
      </c>
      <c r="S18" s="9">
        <f t="shared" si="5"/>
        <v>0.00189028314</v>
      </c>
    </row>
    <row r="19">
      <c r="A19" s="4" t="s">
        <v>774</v>
      </c>
      <c r="B19" s="4" t="s">
        <v>775</v>
      </c>
      <c r="C19" s="4" t="s">
        <v>776</v>
      </c>
      <c r="D19" s="4">
        <v>3.0</v>
      </c>
      <c r="E19" s="4" t="s">
        <v>57</v>
      </c>
      <c r="F19" s="4" t="s">
        <v>773</v>
      </c>
      <c r="G19" s="12">
        <v>45931.0</v>
      </c>
      <c r="H19" s="8">
        <v>27106.0</v>
      </c>
      <c r="I19" s="8">
        <v>26878.0</v>
      </c>
      <c r="J19" s="8">
        <v>0.0</v>
      </c>
      <c r="K19" s="9">
        <f t="shared" si="1"/>
        <v>0</v>
      </c>
      <c r="L19" s="8">
        <v>3502.0</v>
      </c>
      <c r="M19" s="9">
        <f t="shared" si="2"/>
        <v>0.1302924325</v>
      </c>
      <c r="N19" s="8">
        <v>1204.0</v>
      </c>
      <c r="O19" s="9">
        <f t="shared" si="3"/>
        <v>0.04479499963</v>
      </c>
      <c r="P19" s="10">
        <v>33356.92</v>
      </c>
      <c r="Q19" s="11">
        <f t="shared" si="4"/>
        <v>1.241049185</v>
      </c>
      <c r="R19" s="8">
        <v>39.0</v>
      </c>
      <c r="S19" s="9">
        <f t="shared" si="5"/>
        <v>0.001451000819</v>
      </c>
    </row>
    <row r="20">
      <c r="A20" s="4" t="s">
        <v>774</v>
      </c>
      <c r="B20" s="4" t="s">
        <v>775</v>
      </c>
      <c r="C20" s="4" t="s">
        <v>776</v>
      </c>
      <c r="D20" s="4">
        <v>3.0</v>
      </c>
      <c r="E20" s="4" t="s">
        <v>57</v>
      </c>
      <c r="F20" s="4" t="s">
        <v>773</v>
      </c>
      <c r="G20" s="12">
        <v>45962.0</v>
      </c>
      <c r="H20" s="8">
        <v>33932.0</v>
      </c>
      <c r="I20" s="8">
        <v>33594.0</v>
      </c>
      <c r="J20" s="8">
        <v>0.0</v>
      </c>
      <c r="K20" s="9">
        <f t="shared" si="1"/>
        <v>0</v>
      </c>
      <c r="L20" s="8">
        <v>4195.0</v>
      </c>
      <c r="M20" s="9">
        <f t="shared" si="2"/>
        <v>0.1248734893</v>
      </c>
      <c r="N20" s="8">
        <v>1507.0</v>
      </c>
      <c r="O20" s="9">
        <f t="shared" si="3"/>
        <v>0.04485920105</v>
      </c>
      <c r="P20" s="10">
        <v>44222.2</v>
      </c>
      <c r="Q20" s="11">
        <f t="shared" si="4"/>
        <v>1.316371971</v>
      </c>
      <c r="R20" s="8">
        <v>37.0</v>
      </c>
      <c r="S20" s="9">
        <f t="shared" si="5"/>
        <v>0.001101387152</v>
      </c>
    </row>
    <row r="21" ht="15.75" customHeight="1">
      <c r="A21" s="4" t="s">
        <v>774</v>
      </c>
      <c r="B21" s="4" t="s">
        <v>775</v>
      </c>
      <c r="C21" s="4" t="s">
        <v>776</v>
      </c>
      <c r="D21" s="4">
        <v>3.0</v>
      </c>
      <c r="E21" s="4" t="s">
        <v>57</v>
      </c>
      <c r="F21" s="4" t="s">
        <v>773</v>
      </c>
      <c r="G21" s="12">
        <v>45992.0</v>
      </c>
      <c r="H21" s="8">
        <v>36052.0</v>
      </c>
      <c r="I21" s="8">
        <v>35552.0</v>
      </c>
      <c r="J21" s="8">
        <v>0.0</v>
      </c>
      <c r="K21" s="9">
        <f t="shared" si="1"/>
        <v>0</v>
      </c>
      <c r="L21" s="8">
        <v>3963.0</v>
      </c>
      <c r="M21" s="9">
        <f t="shared" si="2"/>
        <v>0.1114705221</v>
      </c>
      <c r="N21" s="8">
        <v>1348.0</v>
      </c>
      <c r="O21" s="9">
        <f t="shared" si="3"/>
        <v>0.03791629163</v>
      </c>
      <c r="P21" s="10">
        <v>44057.83</v>
      </c>
      <c r="Q21" s="11">
        <f t="shared" si="4"/>
        <v>1.239250394</v>
      </c>
      <c r="R21" s="8">
        <v>54.0</v>
      </c>
      <c r="S21" s="9">
        <f t="shared" si="5"/>
        <v>0.00151890189</v>
      </c>
    </row>
    <row r="22" ht="15.75" customHeight="1">
      <c r="A22" s="4" t="s">
        <v>774</v>
      </c>
      <c r="B22" s="4" t="s">
        <v>775</v>
      </c>
      <c r="C22" s="4" t="s">
        <v>776</v>
      </c>
      <c r="D22" s="4">
        <v>3.0</v>
      </c>
      <c r="E22" s="4" t="s">
        <v>57</v>
      </c>
      <c r="F22" s="4" t="s">
        <v>773</v>
      </c>
      <c r="G22" s="12">
        <v>46023.0</v>
      </c>
      <c r="H22" s="8">
        <v>26875.0</v>
      </c>
      <c r="I22" s="8">
        <v>26611.0</v>
      </c>
      <c r="J22" s="8">
        <v>0.0</v>
      </c>
      <c r="K22" s="9">
        <f t="shared" si="1"/>
        <v>0</v>
      </c>
      <c r="L22" s="8">
        <v>3342.0</v>
      </c>
      <c r="M22" s="9">
        <f t="shared" si="2"/>
        <v>0.1255871632</v>
      </c>
      <c r="N22" s="8">
        <v>973.0</v>
      </c>
      <c r="O22" s="9">
        <f t="shared" si="3"/>
        <v>0.03656382699</v>
      </c>
      <c r="P22" s="10">
        <v>36373.8</v>
      </c>
      <c r="Q22" s="11">
        <f t="shared" si="4"/>
        <v>1.366870843</v>
      </c>
      <c r="R22" s="8">
        <v>10.0</v>
      </c>
      <c r="S22" s="9">
        <f t="shared" si="5"/>
        <v>0.00037578445</v>
      </c>
    </row>
    <row r="23" ht="15.75" customHeight="1">
      <c r="A23" s="4" t="s">
        <v>774</v>
      </c>
      <c r="B23" s="4" t="s">
        <v>775</v>
      </c>
      <c r="C23" s="4" t="s">
        <v>776</v>
      </c>
      <c r="D23" s="4">
        <v>3.0</v>
      </c>
      <c r="E23" s="4" t="s">
        <v>57</v>
      </c>
      <c r="F23" s="4" t="s">
        <v>773</v>
      </c>
      <c r="G23" s="12">
        <v>46054.0</v>
      </c>
      <c r="H23" s="8">
        <v>33328.0</v>
      </c>
      <c r="I23" s="8">
        <v>32904.0</v>
      </c>
      <c r="J23" s="8">
        <v>0.0</v>
      </c>
      <c r="K23" s="9">
        <f t="shared" si="1"/>
        <v>0</v>
      </c>
      <c r="L23" s="8">
        <v>3941.0</v>
      </c>
      <c r="M23" s="9">
        <f t="shared" si="2"/>
        <v>0.119772672</v>
      </c>
      <c r="N23" s="8">
        <v>1058.0</v>
      </c>
      <c r="O23" s="9">
        <f t="shared" si="3"/>
        <v>0.03215414539</v>
      </c>
      <c r="P23" s="10">
        <v>43637.43</v>
      </c>
      <c r="Q23" s="11">
        <f t="shared" si="4"/>
        <v>1.326204413</v>
      </c>
      <c r="R23" s="8">
        <v>61.0</v>
      </c>
      <c r="S23" s="9">
        <f t="shared" si="5"/>
        <v>0.001853877948</v>
      </c>
    </row>
    <row r="24" ht="15.75" customHeight="1">
      <c r="A24" s="4" t="s">
        <v>774</v>
      </c>
      <c r="B24" s="4" t="s">
        <v>775</v>
      </c>
      <c r="C24" s="4" t="s">
        <v>776</v>
      </c>
      <c r="D24" s="4">
        <v>3.0</v>
      </c>
      <c r="E24" s="4" t="s">
        <v>57</v>
      </c>
      <c r="F24" s="4" t="s">
        <v>773</v>
      </c>
      <c r="G24" s="12">
        <v>46082.0</v>
      </c>
      <c r="H24" s="8">
        <v>29560.0</v>
      </c>
      <c r="I24" s="8">
        <v>29191.0</v>
      </c>
      <c r="J24" s="8">
        <v>0.0</v>
      </c>
      <c r="K24" s="9">
        <f t="shared" si="1"/>
        <v>0</v>
      </c>
      <c r="L24" s="8">
        <v>3801.0</v>
      </c>
      <c r="M24" s="9">
        <f t="shared" si="2"/>
        <v>0.1302113665</v>
      </c>
      <c r="N24" s="8">
        <v>1172.0</v>
      </c>
      <c r="O24" s="9">
        <f t="shared" si="3"/>
        <v>0.0401493611</v>
      </c>
      <c r="P24" s="10">
        <v>37114.66</v>
      </c>
      <c r="Q24" s="11">
        <f t="shared" si="4"/>
        <v>1.271441883</v>
      </c>
      <c r="R24" s="8">
        <v>39.0</v>
      </c>
      <c r="S24" s="9">
        <f t="shared" si="5"/>
        <v>0.001336028228</v>
      </c>
    </row>
    <row r="25" ht="15.75" customHeight="1">
      <c r="A25" s="4" t="s">
        <v>774</v>
      </c>
      <c r="B25" s="4" t="s">
        <v>775</v>
      </c>
      <c r="C25" s="4" t="s">
        <v>776</v>
      </c>
      <c r="D25" s="4">
        <v>3.0</v>
      </c>
      <c r="E25" s="4" t="s">
        <v>57</v>
      </c>
      <c r="F25" s="4" t="s">
        <v>773</v>
      </c>
      <c r="G25" s="12">
        <v>46113.0</v>
      </c>
      <c r="H25" s="8">
        <v>29461.0</v>
      </c>
      <c r="I25" s="8">
        <v>29156.0</v>
      </c>
      <c r="J25" s="8">
        <v>0.0</v>
      </c>
      <c r="K25" s="9">
        <f t="shared" si="1"/>
        <v>0</v>
      </c>
      <c r="L25" s="8">
        <v>3661.0</v>
      </c>
      <c r="M25" s="9">
        <f t="shared" si="2"/>
        <v>0.1255659213</v>
      </c>
      <c r="N25" s="8">
        <v>1388.0</v>
      </c>
      <c r="O25" s="9">
        <f t="shared" si="3"/>
        <v>0.04760598162</v>
      </c>
      <c r="P25" s="10">
        <v>30650.64</v>
      </c>
      <c r="Q25" s="11">
        <f t="shared" si="4"/>
        <v>1.051263548</v>
      </c>
      <c r="R25" s="8">
        <v>22.0</v>
      </c>
      <c r="S25" s="9">
        <f t="shared" si="5"/>
        <v>0.0007545616683</v>
      </c>
    </row>
    <row r="26" ht="15.75" customHeight="1">
      <c r="A26" s="4" t="s">
        <v>777</v>
      </c>
      <c r="B26" s="4" t="s">
        <v>778</v>
      </c>
      <c r="C26" s="4" t="s">
        <v>776</v>
      </c>
      <c r="D26" s="4">
        <v>4.0</v>
      </c>
      <c r="E26" s="4" t="s">
        <v>66</v>
      </c>
      <c r="F26" s="4" t="s">
        <v>773</v>
      </c>
      <c r="G26" s="12">
        <v>45778.0</v>
      </c>
      <c r="H26" s="8">
        <v>46842.0</v>
      </c>
      <c r="I26" s="8">
        <v>46547.0</v>
      </c>
      <c r="J26" s="8">
        <v>21835.0</v>
      </c>
      <c r="K26" s="9">
        <f t="shared" si="1"/>
        <v>0.4690957527</v>
      </c>
      <c r="L26" s="8">
        <v>5930.0</v>
      </c>
      <c r="M26" s="9">
        <f t="shared" si="2"/>
        <v>0.1273981137</v>
      </c>
      <c r="N26" s="8">
        <v>3189.0</v>
      </c>
      <c r="O26" s="9">
        <f t="shared" si="3"/>
        <v>0.06851139708</v>
      </c>
      <c r="P26" s="10">
        <v>207439.67</v>
      </c>
      <c r="Q26" s="11">
        <f t="shared" si="4"/>
        <v>4.456563688</v>
      </c>
      <c r="R26" s="8">
        <v>86.0</v>
      </c>
      <c r="S26" s="9">
        <f t="shared" si="5"/>
        <v>0.001847594904</v>
      </c>
    </row>
    <row r="27" ht="15.75" customHeight="1">
      <c r="A27" s="4" t="s">
        <v>777</v>
      </c>
      <c r="B27" s="4" t="s">
        <v>778</v>
      </c>
      <c r="C27" s="4" t="s">
        <v>776</v>
      </c>
      <c r="D27" s="4">
        <v>4.0</v>
      </c>
      <c r="E27" s="4" t="s">
        <v>66</v>
      </c>
      <c r="F27" s="4" t="s">
        <v>773</v>
      </c>
      <c r="G27" s="12">
        <v>45809.0</v>
      </c>
      <c r="H27" s="8">
        <v>40493.0</v>
      </c>
      <c r="I27" s="8">
        <v>40267.0</v>
      </c>
      <c r="J27" s="8">
        <v>19602.0</v>
      </c>
      <c r="K27" s="9">
        <f t="shared" si="1"/>
        <v>0.486800606</v>
      </c>
      <c r="L27" s="8">
        <v>5777.0</v>
      </c>
      <c r="M27" s="9">
        <f t="shared" si="2"/>
        <v>0.1434673554</v>
      </c>
      <c r="N27" s="8">
        <v>3213.0</v>
      </c>
      <c r="O27" s="9">
        <f t="shared" si="3"/>
        <v>0.07979238582</v>
      </c>
      <c r="P27" s="10">
        <v>185129.5</v>
      </c>
      <c r="Q27" s="11">
        <f t="shared" si="4"/>
        <v>4.597548861</v>
      </c>
      <c r="R27" s="8">
        <v>27.0</v>
      </c>
      <c r="S27" s="9">
        <f t="shared" si="5"/>
        <v>0.0006705242506</v>
      </c>
    </row>
    <row r="28" ht="15.75" customHeight="1">
      <c r="A28" s="4" t="s">
        <v>777</v>
      </c>
      <c r="B28" s="4" t="s">
        <v>778</v>
      </c>
      <c r="C28" s="4" t="s">
        <v>776</v>
      </c>
      <c r="D28" s="4">
        <v>4.0</v>
      </c>
      <c r="E28" s="4" t="s">
        <v>66</v>
      </c>
      <c r="F28" s="4" t="s">
        <v>773</v>
      </c>
      <c r="G28" s="12">
        <v>45839.0</v>
      </c>
      <c r="H28" s="8">
        <v>43051.0</v>
      </c>
      <c r="I28" s="8">
        <v>42659.0</v>
      </c>
      <c r="J28" s="8">
        <v>20004.0</v>
      </c>
      <c r="K28" s="9">
        <f t="shared" si="1"/>
        <v>0.4689280105</v>
      </c>
      <c r="L28" s="8">
        <v>5084.0</v>
      </c>
      <c r="M28" s="9">
        <f t="shared" si="2"/>
        <v>0.1191776647</v>
      </c>
      <c r="N28" s="8">
        <v>3154.0</v>
      </c>
      <c r="O28" s="9">
        <f t="shared" si="3"/>
        <v>0.07393516022</v>
      </c>
      <c r="P28" s="10">
        <v>179503.1</v>
      </c>
      <c r="Q28" s="11">
        <f t="shared" si="4"/>
        <v>4.207860006</v>
      </c>
      <c r="R28" s="8">
        <v>53.0</v>
      </c>
      <c r="S28" s="9">
        <f t="shared" si="5"/>
        <v>0.001242410746</v>
      </c>
    </row>
    <row r="29" ht="15.75" customHeight="1">
      <c r="A29" s="4" t="s">
        <v>777</v>
      </c>
      <c r="B29" s="4" t="s">
        <v>778</v>
      </c>
      <c r="C29" s="4" t="s">
        <v>776</v>
      </c>
      <c r="D29" s="4">
        <v>4.0</v>
      </c>
      <c r="E29" s="4" t="s">
        <v>66</v>
      </c>
      <c r="F29" s="4" t="s">
        <v>773</v>
      </c>
      <c r="G29" s="12">
        <v>45870.0</v>
      </c>
      <c r="H29" s="8">
        <v>39937.0</v>
      </c>
      <c r="I29" s="8">
        <v>39514.0</v>
      </c>
      <c r="J29" s="8">
        <v>17223.0</v>
      </c>
      <c r="K29" s="9">
        <f t="shared" si="1"/>
        <v>0.4358708306</v>
      </c>
      <c r="L29" s="8">
        <v>5554.0</v>
      </c>
      <c r="M29" s="9">
        <f t="shared" si="2"/>
        <v>0.140557777</v>
      </c>
      <c r="N29" s="8">
        <v>3033.0</v>
      </c>
      <c r="O29" s="9">
        <f t="shared" si="3"/>
        <v>0.0767576049</v>
      </c>
      <c r="P29" s="10">
        <v>167845.92</v>
      </c>
      <c r="Q29" s="11">
        <f t="shared" si="4"/>
        <v>4.247758263</v>
      </c>
      <c r="R29" s="8">
        <v>65.0</v>
      </c>
      <c r="S29" s="9">
        <f t="shared" si="5"/>
        <v>0.001644986587</v>
      </c>
    </row>
    <row r="30" ht="15.75" customHeight="1">
      <c r="A30" s="4" t="s">
        <v>777</v>
      </c>
      <c r="B30" s="4" t="s">
        <v>778</v>
      </c>
      <c r="C30" s="4" t="s">
        <v>776</v>
      </c>
      <c r="D30" s="4">
        <v>4.0</v>
      </c>
      <c r="E30" s="4" t="s">
        <v>66</v>
      </c>
      <c r="F30" s="4" t="s">
        <v>773</v>
      </c>
      <c r="G30" s="12">
        <v>45901.0</v>
      </c>
      <c r="H30" s="8">
        <v>38851.0</v>
      </c>
      <c r="I30" s="8">
        <v>38491.0</v>
      </c>
      <c r="J30" s="8">
        <v>17930.0</v>
      </c>
      <c r="K30" s="9">
        <f t="shared" si="1"/>
        <v>0.4658231794</v>
      </c>
      <c r="L30" s="8">
        <v>5362.0</v>
      </c>
      <c r="M30" s="9">
        <f t="shared" si="2"/>
        <v>0.1393052921</v>
      </c>
      <c r="N30" s="8">
        <v>2935.0</v>
      </c>
      <c r="O30" s="9">
        <f t="shared" si="3"/>
        <v>0.07625159128</v>
      </c>
      <c r="P30" s="10">
        <v>153885.96</v>
      </c>
      <c r="Q30" s="11">
        <f t="shared" si="4"/>
        <v>3.997972513</v>
      </c>
      <c r="R30" s="8">
        <v>62.0</v>
      </c>
      <c r="S30" s="9">
        <f t="shared" si="5"/>
        <v>0.001610766153</v>
      </c>
    </row>
    <row r="31" ht="15.75" customHeight="1">
      <c r="A31" s="4" t="s">
        <v>777</v>
      </c>
      <c r="B31" s="4" t="s">
        <v>778</v>
      </c>
      <c r="C31" s="4" t="s">
        <v>776</v>
      </c>
      <c r="D31" s="4">
        <v>4.0</v>
      </c>
      <c r="E31" s="4" t="s">
        <v>66</v>
      </c>
      <c r="F31" s="4" t="s">
        <v>773</v>
      </c>
      <c r="G31" s="12">
        <v>45931.0</v>
      </c>
      <c r="H31" s="8">
        <v>48716.0</v>
      </c>
      <c r="I31" s="8">
        <v>48553.0</v>
      </c>
      <c r="J31" s="8">
        <v>25330.0</v>
      </c>
      <c r="K31" s="9">
        <f t="shared" si="1"/>
        <v>0.5216979383</v>
      </c>
      <c r="L31" s="8">
        <v>6760.0</v>
      </c>
      <c r="M31" s="9">
        <f t="shared" si="2"/>
        <v>0.1392292958</v>
      </c>
      <c r="N31" s="8">
        <v>3727.0</v>
      </c>
      <c r="O31" s="9">
        <f t="shared" si="3"/>
        <v>0.07676147715</v>
      </c>
      <c r="P31" s="10">
        <v>196744.93</v>
      </c>
      <c r="Q31" s="11">
        <f t="shared" si="4"/>
        <v>4.052168352</v>
      </c>
      <c r="R31" s="8">
        <v>79.0</v>
      </c>
      <c r="S31" s="9">
        <f t="shared" si="5"/>
        <v>0.001627087925</v>
      </c>
    </row>
    <row r="32" ht="15.75" customHeight="1">
      <c r="A32" s="4" t="s">
        <v>777</v>
      </c>
      <c r="B32" s="4" t="s">
        <v>778</v>
      </c>
      <c r="C32" s="4" t="s">
        <v>776</v>
      </c>
      <c r="D32" s="4">
        <v>4.0</v>
      </c>
      <c r="E32" s="4" t="s">
        <v>66</v>
      </c>
      <c r="F32" s="4" t="s">
        <v>773</v>
      </c>
      <c r="G32" s="12">
        <v>45962.0</v>
      </c>
      <c r="H32" s="8">
        <v>53867.0</v>
      </c>
      <c r="I32" s="8">
        <v>53550.0</v>
      </c>
      <c r="J32" s="8">
        <v>27555.0</v>
      </c>
      <c r="K32" s="9">
        <f t="shared" si="1"/>
        <v>0.5145658263</v>
      </c>
      <c r="L32" s="8">
        <v>7300.0</v>
      </c>
      <c r="M32" s="9">
        <f t="shared" si="2"/>
        <v>0.1363211951</v>
      </c>
      <c r="N32" s="8">
        <v>4284.0</v>
      </c>
      <c r="O32" s="9">
        <f t="shared" si="3"/>
        <v>0.08</v>
      </c>
      <c r="P32" s="10">
        <v>227315.54</v>
      </c>
      <c r="Q32" s="11">
        <f t="shared" si="4"/>
        <v>4.244921382</v>
      </c>
      <c r="R32" s="8">
        <v>79.0</v>
      </c>
      <c r="S32" s="9">
        <f t="shared" si="5"/>
        <v>0.001475256769</v>
      </c>
    </row>
    <row r="33" ht="15.75" customHeight="1">
      <c r="A33" s="4" t="s">
        <v>777</v>
      </c>
      <c r="B33" s="4" t="s">
        <v>778</v>
      </c>
      <c r="C33" s="4" t="s">
        <v>776</v>
      </c>
      <c r="D33" s="4">
        <v>4.0</v>
      </c>
      <c r="E33" s="4" t="s">
        <v>66</v>
      </c>
      <c r="F33" s="4" t="s">
        <v>773</v>
      </c>
      <c r="G33" s="12">
        <v>45992.0</v>
      </c>
      <c r="H33" s="8">
        <v>48772.0</v>
      </c>
      <c r="I33" s="8">
        <v>48222.0</v>
      </c>
      <c r="J33" s="8">
        <v>22585.0</v>
      </c>
      <c r="K33" s="9">
        <f t="shared" si="1"/>
        <v>0.4683546929</v>
      </c>
      <c r="L33" s="8">
        <v>7254.0</v>
      </c>
      <c r="M33" s="9">
        <f t="shared" si="2"/>
        <v>0.1504292647</v>
      </c>
      <c r="N33" s="8">
        <v>3839.0</v>
      </c>
      <c r="O33" s="9">
        <f t="shared" si="3"/>
        <v>0.07961096595</v>
      </c>
      <c r="P33" s="10">
        <v>205846.93</v>
      </c>
      <c r="Q33" s="11">
        <f t="shared" si="4"/>
        <v>4.26873481</v>
      </c>
      <c r="R33" s="8">
        <v>29.0</v>
      </c>
      <c r="S33" s="9">
        <f t="shared" si="5"/>
        <v>0.0006013852598</v>
      </c>
    </row>
    <row r="34" ht="15.75" customHeight="1">
      <c r="A34" s="4" t="s">
        <v>777</v>
      </c>
      <c r="B34" s="4" t="s">
        <v>778</v>
      </c>
      <c r="C34" s="4" t="s">
        <v>776</v>
      </c>
      <c r="D34" s="4">
        <v>4.0</v>
      </c>
      <c r="E34" s="4" t="s">
        <v>66</v>
      </c>
      <c r="F34" s="4" t="s">
        <v>773</v>
      </c>
      <c r="G34" s="12">
        <v>46023.0</v>
      </c>
      <c r="H34" s="8">
        <v>33706.0</v>
      </c>
      <c r="I34" s="8">
        <v>33296.0</v>
      </c>
      <c r="J34" s="8">
        <v>16264.0</v>
      </c>
      <c r="K34" s="9">
        <f t="shared" si="1"/>
        <v>0.4884670831</v>
      </c>
      <c r="L34" s="8">
        <v>4217.0</v>
      </c>
      <c r="M34" s="9">
        <f t="shared" si="2"/>
        <v>0.1266518501</v>
      </c>
      <c r="N34" s="8">
        <v>3108.0</v>
      </c>
      <c r="O34" s="9">
        <f t="shared" si="3"/>
        <v>0.09334454589</v>
      </c>
      <c r="P34" s="10">
        <v>157893.68</v>
      </c>
      <c r="Q34" s="11">
        <f t="shared" si="4"/>
        <v>4.742121576</v>
      </c>
      <c r="R34" s="8">
        <v>20.0</v>
      </c>
      <c r="S34" s="9">
        <f t="shared" si="5"/>
        <v>0.0006006727535</v>
      </c>
    </row>
    <row r="35" ht="15.75" customHeight="1">
      <c r="A35" s="4" t="s">
        <v>777</v>
      </c>
      <c r="B35" s="4" t="s">
        <v>778</v>
      </c>
      <c r="C35" s="4" t="s">
        <v>776</v>
      </c>
      <c r="D35" s="4">
        <v>4.0</v>
      </c>
      <c r="E35" s="4" t="s">
        <v>66</v>
      </c>
      <c r="F35" s="4" t="s">
        <v>773</v>
      </c>
      <c r="G35" s="12">
        <v>46054.0</v>
      </c>
      <c r="H35" s="8">
        <v>49486.0</v>
      </c>
      <c r="I35" s="8">
        <v>48894.0</v>
      </c>
      <c r="J35" s="8">
        <v>22016.0</v>
      </c>
      <c r="K35" s="9">
        <f t="shared" si="1"/>
        <v>0.450280198</v>
      </c>
      <c r="L35" s="8">
        <v>6363.0</v>
      </c>
      <c r="M35" s="9">
        <f t="shared" si="2"/>
        <v>0.1301386673</v>
      </c>
      <c r="N35" s="8">
        <v>3705.0</v>
      </c>
      <c r="O35" s="9">
        <f t="shared" si="3"/>
        <v>0.07577616886</v>
      </c>
      <c r="P35" s="10">
        <v>225989.29</v>
      </c>
      <c r="Q35" s="11">
        <f t="shared" si="4"/>
        <v>4.622024993</v>
      </c>
      <c r="R35" s="8">
        <v>84.0</v>
      </c>
      <c r="S35" s="9">
        <f t="shared" si="5"/>
        <v>0.001718002209</v>
      </c>
    </row>
    <row r="36" ht="15.75" customHeight="1">
      <c r="A36" s="4" t="s">
        <v>777</v>
      </c>
      <c r="B36" s="4" t="s">
        <v>778</v>
      </c>
      <c r="C36" s="4" t="s">
        <v>776</v>
      </c>
      <c r="D36" s="4">
        <v>4.0</v>
      </c>
      <c r="E36" s="4" t="s">
        <v>66</v>
      </c>
      <c r="F36" s="4" t="s">
        <v>773</v>
      </c>
      <c r="G36" s="12">
        <v>46082.0</v>
      </c>
      <c r="H36" s="8">
        <v>42195.0</v>
      </c>
      <c r="I36" s="8">
        <v>41989.0</v>
      </c>
      <c r="J36" s="8">
        <v>18316.0</v>
      </c>
      <c r="K36" s="9">
        <f t="shared" si="1"/>
        <v>0.4362094834</v>
      </c>
      <c r="L36" s="8">
        <v>5135.0</v>
      </c>
      <c r="M36" s="9">
        <f t="shared" si="2"/>
        <v>0.1222939341</v>
      </c>
      <c r="N36" s="8">
        <v>4219.0</v>
      </c>
      <c r="O36" s="9">
        <f t="shared" si="3"/>
        <v>0.1004786968</v>
      </c>
      <c r="P36" s="10">
        <v>175965.73</v>
      </c>
      <c r="Q36" s="11">
        <f t="shared" si="4"/>
        <v>4.190757818</v>
      </c>
      <c r="R36" s="8">
        <v>13.0</v>
      </c>
      <c r="S36" s="9">
        <f t="shared" si="5"/>
        <v>0.0003096048965</v>
      </c>
    </row>
    <row r="37" ht="15.75" customHeight="1">
      <c r="A37" s="4" t="s">
        <v>777</v>
      </c>
      <c r="B37" s="4" t="s">
        <v>778</v>
      </c>
      <c r="C37" s="4" t="s">
        <v>776</v>
      </c>
      <c r="D37" s="4">
        <v>4.0</v>
      </c>
      <c r="E37" s="4" t="s">
        <v>66</v>
      </c>
      <c r="F37" s="4" t="s">
        <v>773</v>
      </c>
      <c r="G37" s="12">
        <v>46113.0</v>
      </c>
      <c r="H37" s="8">
        <v>46499.0</v>
      </c>
      <c r="I37" s="8">
        <v>46380.0</v>
      </c>
      <c r="J37" s="8">
        <v>24121.0</v>
      </c>
      <c r="K37" s="9">
        <f t="shared" si="1"/>
        <v>0.5200733075</v>
      </c>
      <c r="L37" s="8">
        <v>6242.0</v>
      </c>
      <c r="M37" s="9">
        <f t="shared" si="2"/>
        <v>0.1345838724</v>
      </c>
      <c r="N37" s="8">
        <v>3651.0</v>
      </c>
      <c r="O37" s="9">
        <f t="shared" si="3"/>
        <v>0.07871927555</v>
      </c>
      <c r="P37" s="10">
        <v>218061.73</v>
      </c>
      <c r="Q37" s="11">
        <f t="shared" si="4"/>
        <v>4.701632816</v>
      </c>
      <c r="R37" s="8">
        <v>83.0</v>
      </c>
      <c r="S37" s="9">
        <f t="shared" si="5"/>
        <v>0.001789564467</v>
      </c>
    </row>
    <row r="38" ht="15.75" customHeight="1">
      <c r="A38" s="4" t="s">
        <v>779</v>
      </c>
      <c r="B38" s="4" t="s">
        <v>780</v>
      </c>
      <c r="C38" s="4" t="s">
        <v>776</v>
      </c>
      <c r="D38" s="4">
        <v>2.0</v>
      </c>
      <c r="E38" s="4" t="s">
        <v>57</v>
      </c>
      <c r="F38" s="4" t="s">
        <v>773</v>
      </c>
      <c r="G38" s="12">
        <v>45778.0</v>
      </c>
      <c r="H38" s="8">
        <v>49379.0</v>
      </c>
      <c r="I38" s="8">
        <v>48814.0</v>
      </c>
      <c r="J38" s="8">
        <v>0.0</v>
      </c>
      <c r="K38" s="9">
        <f t="shared" si="1"/>
        <v>0</v>
      </c>
      <c r="L38" s="8">
        <v>5300.0</v>
      </c>
      <c r="M38" s="9">
        <f t="shared" si="2"/>
        <v>0.1085754087</v>
      </c>
      <c r="N38" s="8">
        <v>2158.0</v>
      </c>
      <c r="O38" s="9">
        <f t="shared" si="3"/>
        <v>0.04420862867</v>
      </c>
      <c r="P38" s="10">
        <v>58772.45</v>
      </c>
      <c r="Q38" s="11">
        <f t="shared" si="4"/>
        <v>1.204008071</v>
      </c>
      <c r="R38" s="8">
        <v>47.0</v>
      </c>
      <c r="S38" s="9">
        <f t="shared" si="5"/>
        <v>0.0009628385299</v>
      </c>
    </row>
    <row r="39" ht="15.75" customHeight="1">
      <c r="A39" s="4" t="s">
        <v>779</v>
      </c>
      <c r="B39" s="4" t="s">
        <v>780</v>
      </c>
      <c r="C39" s="4" t="s">
        <v>776</v>
      </c>
      <c r="D39" s="4">
        <v>2.0</v>
      </c>
      <c r="E39" s="4" t="s">
        <v>57</v>
      </c>
      <c r="F39" s="4" t="s">
        <v>773</v>
      </c>
      <c r="G39" s="12">
        <v>45809.0</v>
      </c>
      <c r="H39" s="8">
        <v>42894.0</v>
      </c>
      <c r="I39" s="8">
        <v>42322.0</v>
      </c>
      <c r="J39" s="8">
        <v>0.0</v>
      </c>
      <c r="K39" s="9">
        <f t="shared" si="1"/>
        <v>0</v>
      </c>
      <c r="L39" s="8">
        <v>5117.0</v>
      </c>
      <c r="M39" s="9">
        <f t="shared" si="2"/>
        <v>0.1209063844</v>
      </c>
      <c r="N39" s="8">
        <v>1640.0</v>
      </c>
      <c r="O39" s="9">
        <f t="shared" si="3"/>
        <v>0.03875053164</v>
      </c>
      <c r="P39" s="10">
        <v>57484.94</v>
      </c>
      <c r="Q39" s="11">
        <f t="shared" si="4"/>
        <v>1.358275601</v>
      </c>
      <c r="R39" s="8">
        <v>15.0</v>
      </c>
      <c r="S39" s="9">
        <f t="shared" si="5"/>
        <v>0.0003544255943</v>
      </c>
    </row>
    <row r="40" ht="15.75" customHeight="1">
      <c r="A40" s="4" t="s">
        <v>779</v>
      </c>
      <c r="B40" s="4" t="s">
        <v>780</v>
      </c>
      <c r="C40" s="4" t="s">
        <v>776</v>
      </c>
      <c r="D40" s="4">
        <v>2.0</v>
      </c>
      <c r="E40" s="4" t="s">
        <v>57</v>
      </c>
      <c r="F40" s="4" t="s">
        <v>773</v>
      </c>
      <c r="G40" s="12">
        <v>45839.0</v>
      </c>
      <c r="H40" s="8">
        <v>36068.0</v>
      </c>
      <c r="I40" s="8">
        <v>35930.0</v>
      </c>
      <c r="J40" s="8">
        <v>0.0</v>
      </c>
      <c r="K40" s="9">
        <f t="shared" si="1"/>
        <v>0</v>
      </c>
      <c r="L40" s="8">
        <v>4668.0</v>
      </c>
      <c r="M40" s="9">
        <f t="shared" si="2"/>
        <v>0.1299192875</v>
      </c>
      <c r="N40" s="8">
        <v>1412.0</v>
      </c>
      <c r="O40" s="9">
        <f t="shared" si="3"/>
        <v>0.03929863624</v>
      </c>
      <c r="P40" s="10">
        <v>38205.54</v>
      </c>
      <c r="Q40" s="11">
        <f t="shared" si="4"/>
        <v>1.063332591</v>
      </c>
      <c r="R40" s="8">
        <v>42.0</v>
      </c>
      <c r="S40" s="9">
        <f t="shared" si="5"/>
        <v>0.001168939605</v>
      </c>
    </row>
    <row r="41" ht="15.75" customHeight="1">
      <c r="A41" s="4" t="s">
        <v>779</v>
      </c>
      <c r="B41" s="4" t="s">
        <v>780</v>
      </c>
      <c r="C41" s="4" t="s">
        <v>776</v>
      </c>
      <c r="D41" s="4">
        <v>2.0</v>
      </c>
      <c r="E41" s="4" t="s">
        <v>57</v>
      </c>
      <c r="F41" s="4" t="s">
        <v>773</v>
      </c>
      <c r="G41" s="12">
        <v>45870.0</v>
      </c>
      <c r="H41" s="8">
        <v>37693.0</v>
      </c>
      <c r="I41" s="8">
        <v>37131.0</v>
      </c>
      <c r="J41" s="8">
        <v>0.0</v>
      </c>
      <c r="K41" s="9">
        <f t="shared" si="1"/>
        <v>0</v>
      </c>
      <c r="L41" s="8">
        <v>4688.0</v>
      </c>
      <c r="M41" s="9">
        <f t="shared" si="2"/>
        <v>0.1262556893</v>
      </c>
      <c r="N41" s="8">
        <v>1413.0</v>
      </c>
      <c r="O41" s="9">
        <f t="shared" si="3"/>
        <v>0.03805445585</v>
      </c>
      <c r="P41" s="10">
        <v>39220.33</v>
      </c>
      <c r="Q41" s="11">
        <f t="shared" si="4"/>
        <v>1.056269155</v>
      </c>
      <c r="R41" s="8">
        <v>33.0</v>
      </c>
      <c r="S41" s="9">
        <f t="shared" si="5"/>
        <v>0.0008887452533</v>
      </c>
    </row>
    <row r="42" ht="15.75" customHeight="1">
      <c r="A42" s="4" t="s">
        <v>779</v>
      </c>
      <c r="B42" s="4" t="s">
        <v>780</v>
      </c>
      <c r="C42" s="4" t="s">
        <v>776</v>
      </c>
      <c r="D42" s="4">
        <v>2.0</v>
      </c>
      <c r="E42" s="4" t="s">
        <v>57</v>
      </c>
      <c r="F42" s="4" t="s">
        <v>773</v>
      </c>
      <c r="G42" s="12">
        <v>45901.0</v>
      </c>
      <c r="H42" s="8">
        <v>46559.0</v>
      </c>
      <c r="I42" s="8">
        <v>45973.0</v>
      </c>
      <c r="J42" s="8">
        <v>0.0</v>
      </c>
      <c r="K42" s="9">
        <f t="shared" si="1"/>
        <v>0</v>
      </c>
      <c r="L42" s="8">
        <v>5124.0</v>
      </c>
      <c r="M42" s="9">
        <f t="shared" si="2"/>
        <v>0.1114567246</v>
      </c>
      <c r="N42" s="8">
        <v>1669.0</v>
      </c>
      <c r="O42" s="9">
        <f t="shared" si="3"/>
        <v>0.03630391752</v>
      </c>
      <c r="P42" s="10">
        <v>62756.35</v>
      </c>
      <c r="Q42" s="11">
        <f t="shared" si="4"/>
        <v>1.365069715</v>
      </c>
      <c r="R42" s="8">
        <v>40.0</v>
      </c>
      <c r="S42" s="9">
        <f t="shared" si="5"/>
        <v>0.0008700759141</v>
      </c>
    </row>
    <row r="43" ht="15.75" customHeight="1">
      <c r="A43" s="4" t="s">
        <v>779</v>
      </c>
      <c r="B43" s="4" t="s">
        <v>780</v>
      </c>
      <c r="C43" s="4" t="s">
        <v>776</v>
      </c>
      <c r="D43" s="4">
        <v>2.0</v>
      </c>
      <c r="E43" s="4" t="s">
        <v>57</v>
      </c>
      <c r="F43" s="4" t="s">
        <v>773</v>
      </c>
      <c r="G43" s="12">
        <v>45931.0</v>
      </c>
      <c r="H43" s="8">
        <v>41819.0</v>
      </c>
      <c r="I43" s="8">
        <v>41422.0</v>
      </c>
      <c r="J43" s="8">
        <v>0.0</v>
      </c>
      <c r="K43" s="9">
        <f t="shared" si="1"/>
        <v>0</v>
      </c>
      <c r="L43" s="8">
        <v>4849.0</v>
      </c>
      <c r="M43" s="9">
        <f t="shared" si="2"/>
        <v>0.1170633963</v>
      </c>
      <c r="N43" s="8">
        <v>1824.0</v>
      </c>
      <c r="O43" s="9">
        <f t="shared" si="3"/>
        <v>0.044034571</v>
      </c>
      <c r="P43" s="10">
        <v>47694.45</v>
      </c>
      <c r="Q43" s="11">
        <f t="shared" si="4"/>
        <v>1.151427985</v>
      </c>
      <c r="R43" s="8">
        <v>40.0</v>
      </c>
      <c r="S43" s="9">
        <f t="shared" si="5"/>
        <v>0.0009656704167</v>
      </c>
    </row>
    <row r="44" ht="15.75" customHeight="1">
      <c r="A44" s="4" t="s">
        <v>779</v>
      </c>
      <c r="B44" s="4" t="s">
        <v>780</v>
      </c>
      <c r="C44" s="4" t="s">
        <v>776</v>
      </c>
      <c r="D44" s="4">
        <v>2.0</v>
      </c>
      <c r="E44" s="4" t="s">
        <v>57</v>
      </c>
      <c r="F44" s="4" t="s">
        <v>773</v>
      </c>
      <c r="G44" s="12">
        <v>45962.0</v>
      </c>
      <c r="H44" s="8">
        <v>57930.0</v>
      </c>
      <c r="I44" s="8">
        <v>57491.0</v>
      </c>
      <c r="J44" s="8">
        <v>0.0</v>
      </c>
      <c r="K44" s="9">
        <f t="shared" si="1"/>
        <v>0</v>
      </c>
      <c r="L44" s="8">
        <v>7890.0</v>
      </c>
      <c r="M44" s="9">
        <f t="shared" si="2"/>
        <v>0.1372388722</v>
      </c>
      <c r="N44" s="8">
        <v>2470.0</v>
      </c>
      <c r="O44" s="9">
        <f t="shared" si="3"/>
        <v>0.04296324642</v>
      </c>
      <c r="P44" s="10">
        <v>75491.93</v>
      </c>
      <c r="Q44" s="11">
        <f t="shared" si="4"/>
        <v>1.31310866</v>
      </c>
      <c r="R44" s="8">
        <v>87.0</v>
      </c>
      <c r="S44" s="9">
        <f t="shared" si="5"/>
        <v>0.00151328034</v>
      </c>
    </row>
    <row r="45" ht="15.75" customHeight="1">
      <c r="A45" s="4" t="s">
        <v>779</v>
      </c>
      <c r="B45" s="4" t="s">
        <v>780</v>
      </c>
      <c r="C45" s="4" t="s">
        <v>776</v>
      </c>
      <c r="D45" s="4">
        <v>2.0</v>
      </c>
      <c r="E45" s="4" t="s">
        <v>57</v>
      </c>
      <c r="F45" s="4" t="s">
        <v>773</v>
      </c>
      <c r="G45" s="12">
        <v>45992.0</v>
      </c>
      <c r="H45" s="8">
        <v>57289.0</v>
      </c>
      <c r="I45" s="8">
        <v>56843.0</v>
      </c>
      <c r="J45" s="8">
        <v>0.0</v>
      </c>
      <c r="K45" s="9">
        <f t="shared" si="1"/>
        <v>0</v>
      </c>
      <c r="L45" s="8">
        <v>7550.0</v>
      </c>
      <c r="M45" s="9">
        <f t="shared" si="2"/>
        <v>0.1328219834</v>
      </c>
      <c r="N45" s="8">
        <v>1997.0</v>
      </c>
      <c r="O45" s="9">
        <f t="shared" si="3"/>
        <v>0.03513185441</v>
      </c>
      <c r="P45" s="10">
        <v>74351.41</v>
      </c>
      <c r="Q45" s="11">
        <f t="shared" si="4"/>
        <v>1.308013476</v>
      </c>
      <c r="R45" s="8">
        <v>88.0</v>
      </c>
      <c r="S45" s="9">
        <f t="shared" si="5"/>
        <v>0.00154812378</v>
      </c>
    </row>
    <row r="46" ht="15.75" customHeight="1">
      <c r="A46" s="4" t="s">
        <v>779</v>
      </c>
      <c r="B46" s="4" t="s">
        <v>780</v>
      </c>
      <c r="C46" s="4" t="s">
        <v>776</v>
      </c>
      <c r="D46" s="4">
        <v>2.0</v>
      </c>
      <c r="E46" s="4" t="s">
        <v>57</v>
      </c>
      <c r="F46" s="4" t="s">
        <v>773</v>
      </c>
      <c r="G46" s="12">
        <v>46023.0</v>
      </c>
      <c r="H46" s="8">
        <v>35410.0</v>
      </c>
      <c r="I46" s="8">
        <v>34883.0</v>
      </c>
      <c r="J46" s="8">
        <v>0.0</v>
      </c>
      <c r="K46" s="9">
        <f t="shared" si="1"/>
        <v>0</v>
      </c>
      <c r="L46" s="8">
        <v>4087.0</v>
      </c>
      <c r="M46" s="9">
        <f t="shared" si="2"/>
        <v>0.117163088</v>
      </c>
      <c r="N46" s="8">
        <v>1191.0</v>
      </c>
      <c r="O46" s="9">
        <f t="shared" si="3"/>
        <v>0.03414270562</v>
      </c>
      <c r="P46" s="10">
        <v>46798.24</v>
      </c>
      <c r="Q46" s="11">
        <f t="shared" si="4"/>
        <v>1.341577273</v>
      </c>
      <c r="R46" s="8">
        <v>47.0</v>
      </c>
      <c r="S46" s="9">
        <f t="shared" si="5"/>
        <v>0.001347361179</v>
      </c>
    </row>
    <row r="47" ht="15.75" customHeight="1">
      <c r="A47" s="4" t="s">
        <v>779</v>
      </c>
      <c r="B47" s="4" t="s">
        <v>780</v>
      </c>
      <c r="C47" s="4" t="s">
        <v>776</v>
      </c>
      <c r="D47" s="4">
        <v>2.0</v>
      </c>
      <c r="E47" s="4" t="s">
        <v>57</v>
      </c>
      <c r="F47" s="4" t="s">
        <v>773</v>
      </c>
      <c r="G47" s="12">
        <v>46054.0</v>
      </c>
      <c r="H47" s="8">
        <v>46670.0</v>
      </c>
      <c r="I47" s="8">
        <v>46161.0</v>
      </c>
      <c r="J47" s="8">
        <v>0.0</v>
      </c>
      <c r="K47" s="9">
        <f t="shared" si="1"/>
        <v>0</v>
      </c>
      <c r="L47" s="8">
        <v>5517.0</v>
      </c>
      <c r="M47" s="9">
        <f t="shared" si="2"/>
        <v>0.1195164749</v>
      </c>
      <c r="N47" s="8">
        <v>1662.0</v>
      </c>
      <c r="O47" s="9">
        <f t="shared" si="3"/>
        <v>0.03600441932</v>
      </c>
      <c r="P47" s="10">
        <v>61350.77</v>
      </c>
      <c r="Q47" s="11">
        <f t="shared" si="4"/>
        <v>1.329060679</v>
      </c>
      <c r="R47" s="8">
        <v>17.0</v>
      </c>
      <c r="S47" s="9">
        <f t="shared" si="5"/>
        <v>0.0003682762505</v>
      </c>
    </row>
    <row r="48" ht="15.75" customHeight="1">
      <c r="A48" s="4" t="s">
        <v>779</v>
      </c>
      <c r="B48" s="4" t="s">
        <v>780</v>
      </c>
      <c r="C48" s="4" t="s">
        <v>776</v>
      </c>
      <c r="D48" s="4">
        <v>2.0</v>
      </c>
      <c r="E48" s="4" t="s">
        <v>57</v>
      </c>
      <c r="F48" s="4" t="s">
        <v>773</v>
      </c>
      <c r="G48" s="12">
        <v>46082.0</v>
      </c>
      <c r="H48" s="8">
        <v>38794.0</v>
      </c>
      <c r="I48" s="8">
        <v>38294.0</v>
      </c>
      <c r="J48" s="8">
        <v>0.0</v>
      </c>
      <c r="K48" s="9">
        <f t="shared" si="1"/>
        <v>0</v>
      </c>
      <c r="L48" s="8">
        <v>4203.0</v>
      </c>
      <c r="M48" s="9">
        <f t="shared" si="2"/>
        <v>0.1097560976</v>
      </c>
      <c r="N48" s="8">
        <v>1381.0</v>
      </c>
      <c r="O48" s="9">
        <f t="shared" si="3"/>
        <v>0.03606309082</v>
      </c>
      <c r="P48" s="10">
        <v>50625.81</v>
      </c>
      <c r="Q48" s="11">
        <f t="shared" si="4"/>
        <v>1.322029822</v>
      </c>
      <c r="R48" s="8">
        <v>17.0</v>
      </c>
      <c r="S48" s="9">
        <f t="shared" si="5"/>
        <v>0.0004439337755</v>
      </c>
    </row>
    <row r="49" ht="15.75" customHeight="1">
      <c r="A49" s="4" t="s">
        <v>779</v>
      </c>
      <c r="B49" s="4" t="s">
        <v>780</v>
      </c>
      <c r="C49" s="4" t="s">
        <v>776</v>
      </c>
      <c r="D49" s="4">
        <v>2.0</v>
      </c>
      <c r="E49" s="4" t="s">
        <v>57</v>
      </c>
      <c r="F49" s="4" t="s">
        <v>773</v>
      </c>
      <c r="G49" s="12">
        <v>46113.0</v>
      </c>
      <c r="H49" s="8">
        <v>45081.0</v>
      </c>
      <c r="I49" s="8">
        <v>44557.0</v>
      </c>
      <c r="J49" s="8">
        <v>0.0</v>
      </c>
      <c r="K49" s="9">
        <f t="shared" si="1"/>
        <v>0</v>
      </c>
      <c r="L49" s="8">
        <v>5122.0</v>
      </c>
      <c r="M49" s="9">
        <f t="shared" si="2"/>
        <v>0.1149538793</v>
      </c>
      <c r="N49" s="8">
        <v>1823.0</v>
      </c>
      <c r="O49" s="9">
        <f t="shared" si="3"/>
        <v>0.04091388558</v>
      </c>
      <c r="P49" s="10">
        <v>58441.22</v>
      </c>
      <c r="Q49" s="11">
        <f t="shared" si="4"/>
        <v>1.311605808</v>
      </c>
      <c r="R49" s="8">
        <v>39.0</v>
      </c>
      <c r="S49" s="9">
        <f t="shared" si="5"/>
        <v>0.0008752833449</v>
      </c>
    </row>
    <row r="50" ht="15.75" customHeight="1">
      <c r="A50" s="4" t="s">
        <v>781</v>
      </c>
      <c r="B50" s="4" t="s">
        <v>782</v>
      </c>
      <c r="C50" s="4" t="s">
        <v>776</v>
      </c>
      <c r="D50" s="4">
        <v>3.0</v>
      </c>
      <c r="E50" s="4" t="s">
        <v>66</v>
      </c>
      <c r="F50" s="4" t="s">
        <v>773</v>
      </c>
      <c r="G50" s="12">
        <v>45778.0</v>
      </c>
      <c r="H50" s="8">
        <v>13434.0</v>
      </c>
      <c r="I50" s="8">
        <v>13293.0</v>
      </c>
      <c r="J50" s="8">
        <v>7626.0</v>
      </c>
      <c r="K50" s="9">
        <f t="shared" si="1"/>
        <v>0.5736853983</v>
      </c>
      <c r="L50" s="8">
        <v>2468.0</v>
      </c>
      <c r="M50" s="9">
        <f t="shared" si="2"/>
        <v>0.1856616264</v>
      </c>
      <c r="N50" s="8">
        <v>1918.0</v>
      </c>
      <c r="O50" s="9">
        <f t="shared" si="3"/>
        <v>0.1442864666</v>
      </c>
      <c r="P50" s="10">
        <v>108347.06</v>
      </c>
      <c r="Q50" s="11">
        <f t="shared" si="4"/>
        <v>8.150685323</v>
      </c>
      <c r="R50" s="8">
        <v>16.0</v>
      </c>
      <c r="S50" s="9">
        <f t="shared" si="5"/>
        <v>0.001203641014</v>
      </c>
    </row>
    <row r="51" ht="15.75" customHeight="1">
      <c r="A51" s="4" t="s">
        <v>781</v>
      </c>
      <c r="B51" s="4" t="s">
        <v>782</v>
      </c>
      <c r="C51" s="4" t="s">
        <v>776</v>
      </c>
      <c r="D51" s="4">
        <v>3.0</v>
      </c>
      <c r="E51" s="4" t="s">
        <v>66</v>
      </c>
      <c r="F51" s="4" t="s">
        <v>773</v>
      </c>
      <c r="G51" s="12">
        <v>45809.0</v>
      </c>
      <c r="H51" s="8">
        <v>13039.0</v>
      </c>
      <c r="I51" s="8">
        <v>12891.0</v>
      </c>
      <c r="J51" s="8">
        <v>6792.0</v>
      </c>
      <c r="K51" s="9">
        <f t="shared" si="1"/>
        <v>0.5268792181</v>
      </c>
      <c r="L51" s="8">
        <v>2327.0</v>
      </c>
      <c r="M51" s="9">
        <f t="shared" si="2"/>
        <v>0.1805135366</v>
      </c>
      <c r="N51" s="8">
        <v>2003.0</v>
      </c>
      <c r="O51" s="9">
        <f t="shared" si="3"/>
        <v>0.1553797223</v>
      </c>
      <c r="P51" s="10">
        <v>98948.95</v>
      </c>
      <c r="Q51" s="11">
        <f t="shared" si="4"/>
        <v>7.675816461</v>
      </c>
      <c r="R51" s="8">
        <v>5.0</v>
      </c>
      <c r="S51" s="9">
        <f t="shared" si="5"/>
        <v>0.0003878675045</v>
      </c>
    </row>
    <row r="52" ht="15.75" customHeight="1">
      <c r="A52" s="4" t="s">
        <v>781</v>
      </c>
      <c r="B52" s="4" t="s">
        <v>782</v>
      </c>
      <c r="C52" s="4" t="s">
        <v>776</v>
      </c>
      <c r="D52" s="4">
        <v>3.0</v>
      </c>
      <c r="E52" s="4" t="s">
        <v>66</v>
      </c>
      <c r="F52" s="4" t="s">
        <v>773</v>
      </c>
      <c r="G52" s="12">
        <v>45839.0</v>
      </c>
      <c r="H52" s="8">
        <v>11168.0</v>
      </c>
      <c r="I52" s="8">
        <v>11067.0</v>
      </c>
      <c r="J52" s="8">
        <v>6753.0</v>
      </c>
      <c r="K52" s="9">
        <f t="shared" si="1"/>
        <v>0.6101924641</v>
      </c>
      <c r="L52" s="8">
        <v>2212.0</v>
      </c>
      <c r="M52" s="9">
        <f t="shared" si="2"/>
        <v>0.1998734978</v>
      </c>
      <c r="N52" s="8">
        <v>1636.0</v>
      </c>
      <c r="O52" s="9">
        <f t="shared" si="3"/>
        <v>0.1478268727</v>
      </c>
      <c r="P52" s="10">
        <v>97421.1</v>
      </c>
      <c r="Q52" s="11">
        <f t="shared" si="4"/>
        <v>8.8028463</v>
      </c>
      <c r="R52" s="8">
        <v>11.0</v>
      </c>
      <c r="S52" s="9">
        <f t="shared" si="5"/>
        <v>0.0009939459655</v>
      </c>
    </row>
    <row r="53" ht="15.75" customHeight="1">
      <c r="A53" s="4" t="s">
        <v>781</v>
      </c>
      <c r="B53" s="4" t="s">
        <v>782</v>
      </c>
      <c r="C53" s="4" t="s">
        <v>776</v>
      </c>
      <c r="D53" s="4">
        <v>3.0</v>
      </c>
      <c r="E53" s="4" t="s">
        <v>66</v>
      </c>
      <c r="F53" s="4" t="s">
        <v>773</v>
      </c>
      <c r="G53" s="12">
        <v>45870.0</v>
      </c>
      <c r="H53" s="8">
        <v>11784.0</v>
      </c>
      <c r="I53" s="8">
        <v>11669.0</v>
      </c>
      <c r="J53" s="8">
        <v>7044.0</v>
      </c>
      <c r="K53" s="9">
        <f t="shared" si="1"/>
        <v>0.6036506984</v>
      </c>
      <c r="L53" s="8">
        <v>1835.0</v>
      </c>
      <c r="M53" s="9">
        <f t="shared" si="2"/>
        <v>0.1572542634</v>
      </c>
      <c r="N53" s="8">
        <v>1531.0</v>
      </c>
      <c r="O53" s="9">
        <f t="shared" si="3"/>
        <v>0.131202331</v>
      </c>
      <c r="P53" s="10">
        <v>85925.24</v>
      </c>
      <c r="Q53" s="11">
        <f t="shared" si="4"/>
        <v>7.363547862</v>
      </c>
      <c r="R53" s="8">
        <v>16.0</v>
      </c>
      <c r="S53" s="9">
        <f t="shared" si="5"/>
        <v>0.001371154341</v>
      </c>
    </row>
    <row r="54" ht="15.75" customHeight="1">
      <c r="A54" s="4" t="s">
        <v>781</v>
      </c>
      <c r="B54" s="4" t="s">
        <v>782</v>
      </c>
      <c r="C54" s="4" t="s">
        <v>776</v>
      </c>
      <c r="D54" s="4">
        <v>3.0</v>
      </c>
      <c r="E54" s="4" t="s">
        <v>66</v>
      </c>
      <c r="F54" s="4" t="s">
        <v>773</v>
      </c>
      <c r="G54" s="12">
        <v>45901.0</v>
      </c>
      <c r="H54" s="8">
        <v>12757.0</v>
      </c>
      <c r="I54" s="8">
        <v>12666.0</v>
      </c>
      <c r="J54" s="8">
        <v>6791.0</v>
      </c>
      <c r="K54" s="9">
        <f t="shared" si="1"/>
        <v>0.5361597979</v>
      </c>
      <c r="L54" s="8">
        <v>2545.0</v>
      </c>
      <c r="M54" s="9">
        <f t="shared" si="2"/>
        <v>0.200931628</v>
      </c>
      <c r="N54" s="8">
        <v>1972.0</v>
      </c>
      <c r="O54" s="9">
        <f t="shared" si="3"/>
        <v>0.1556924049</v>
      </c>
      <c r="P54" s="10">
        <v>111799.25</v>
      </c>
      <c r="Q54" s="11">
        <f t="shared" si="4"/>
        <v>8.826721143</v>
      </c>
      <c r="R54" s="8">
        <v>19.0</v>
      </c>
      <c r="S54" s="9">
        <f t="shared" si="5"/>
        <v>0.001500078952</v>
      </c>
    </row>
    <row r="55" ht="15.75" customHeight="1">
      <c r="A55" s="4" t="s">
        <v>781</v>
      </c>
      <c r="B55" s="4" t="s">
        <v>782</v>
      </c>
      <c r="C55" s="4" t="s">
        <v>776</v>
      </c>
      <c r="D55" s="4">
        <v>3.0</v>
      </c>
      <c r="E55" s="4" t="s">
        <v>66</v>
      </c>
      <c r="F55" s="4" t="s">
        <v>773</v>
      </c>
      <c r="G55" s="12">
        <v>45931.0</v>
      </c>
      <c r="H55" s="8">
        <v>13282.0</v>
      </c>
      <c r="I55" s="8">
        <v>13160.0</v>
      </c>
      <c r="J55" s="8">
        <v>6660.0</v>
      </c>
      <c r="K55" s="9">
        <f t="shared" si="1"/>
        <v>0.5060790274</v>
      </c>
      <c r="L55" s="8">
        <v>2620.0</v>
      </c>
      <c r="M55" s="9">
        <f t="shared" si="2"/>
        <v>0.1990881459</v>
      </c>
      <c r="N55" s="8">
        <v>1566.0</v>
      </c>
      <c r="O55" s="9">
        <f t="shared" si="3"/>
        <v>0.1189969605</v>
      </c>
      <c r="P55" s="10">
        <v>94476.0</v>
      </c>
      <c r="Q55" s="11">
        <f t="shared" si="4"/>
        <v>7.179027356</v>
      </c>
      <c r="R55" s="8">
        <v>9.0</v>
      </c>
      <c r="S55" s="9">
        <f t="shared" si="5"/>
        <v>0.0006838905775</v>
      </c>
    </row>
    <row r="56" ht="15.75" customHeight="1">
      <c r="A56" s="4" t="s">
        <v>781</v>
      </c>
      <c r="B56" s="4" t="s">
        <v>782</v>
      </c>
      <c r="C56" s="4" t="s">
        <v>776</v>
      </c>
      <c r="D56" s="4">
        <v>3.0</v>
      </c>
      <c r="E56" s="4" t="s">
        <v>66</v>
      </c>
      <c r="F56" s="4" t="s">
        <v>773</v>
      </c>
      <c r="G56" s="12">
        <v>45962.0</v>
      </c>
      <c r="H56" s="8">
        <v>18029.0</v>
      </c>
      <c r="I56" s="8">
        <v>17934.0</v>
      </c>
      <c r="J56" s="8">
        <v>9178.0</v>
      </c>
      <c r="K56" s="9">
        <f t="shared" si="1"/>
        <v>0.5117653619</v>
      </c>
      <c r="L56" s="8">
        <v>3128.0</v>
      </c>
      <c r="M56" s="9">
        <f t="shared" si="2"/>
        <v>0.1744173079</v>
      </c>
      <c r="N56" s="8">
        <v>2104.0</v>
      </c>
      <c r="O56" s="9">
        <f t="shared" si="3"/>
        <v>0.1173190588</v>
      </c>
      <c r="P56" s="10">
        <v>158215.49</v>
      </c>
      <c r="Q56" s="11">
        <f t="shared" si="4"/>
        <v>8.822097134</v>
      </c>
      <c r="R56" s="8">
        <v>19.0</v>
      </c>
      <c r="S56" s="9">
        <f t="shared" si="5"/>
        <v>0.00105944017</v>
      </c>
    </row>
    <row r="57" ht="15.75" customHeight="1">
      <c r="A57" s="4" t="s">
        <v>781</v>
      </c>
      <c r="B57" s="4" t="s">
        <v>782</v>
      </c>
      <c r="C57" s="4" t="s">
        <v>776</v>
      </c>
      <c r="D57" s="4">
        <v>3.0</v>
      </c>
      <c r="E57" s="4" t="s">
        <v>66</v>
      </c>
      <c r="F57" s="4" t="s">
        <v>773</v>
      </c>
      <c r="G57" s="12">
        <v>45992.0</v>
      </c>
      <c r="H57" s="8">
        <v>12992.0</v>
      </c>
      <c r="I57" s="8">
        <v>12927.0</v>
      </c>
      <c r="J57" s="8">
        <v>7150.0</v>
      </c>
      <c r="K57" s="9">
        <f t="shared" si="1"/>
        <v>0.5531059024</v>
      </c>
      <c r="L57" s="8">
        <v>2673.0</v>
      </c>
      <c r="M57" s="9">
        <f t="shared" si="2"/>
        <v>0.2067765143</v>
      </c>
      <c r="N57" s="8">
        <v>1523.0</v>
      </c>
      <c r="O57" s="9">
        <f t="shared" si="3"/>
        <v>0.1178154251</v>
      </c>
      <c r="P57" s="10">
        <v>104403.09</v>
      </c>
      <c r="Q57" s="11">
        <f t="shared" si="4"/>
        <v>8.076358784</v>
      </c>
      <c r="R57" s="8">
        <v>5.0</v>
      </c>
      <c r="S57" s="9">
        <f t="shared" si="5"/>
        <v>0.0003867873443</v>
      </c>
    </row>
    <row r="58" ht="15.75" customHeight="1">
      <c r="A58" s="4" t="s">
        <v>781</v>
      </c>
      <c r="B58" s="4" t="s">
        <v>782</v>
      </c>
      <c r="C58" s="4" t="s">
        <v>776</v>
      </c>
      <c r="D58" s="4">
        <v>3.0</v>
      </c>
      <c r="E58" s="4" t="s">
        <v>66</v>
      </c>
      <c r="F58" s="4" t="s">
        <v>773</v>
      </c>
      <c r="G58" s="12">
        <v>46023.0</v>
      </c>
      <c r="H58" s="8">
        <v>11520.0</v>
      </c>
      <c r="I58" s="8">
        <v>11405.0</v>
      </c>
      <c r="J58" s="8">
        <v>5865.0</v>
      </c>
      <c r="K58" s="9">
        <f t="shared" si="1"/>
        <v>0.5142481368</v>
      </c>
      <c r="L58" s="8">
        <v>2199.0</v>
      </c>
      <c r="M58" s="9">
        <f t="shared" si="2"/>
        <v>0.192810171</v>
      </c>
      <c r="N58" s="8">
        <v>1560.0</v>
      </c>
      <c r="O58" s="9">
        <f t="shared" si="3"/>
        <v>0.1367821131</v>
      </c>
      <c r="P58" s="10">
        <v>78988.79</v>
      </c>
      <c r="Q58" s="11">
        <f t="shared" si="4"/>
        <v>6.925803595</v>
      </c>
      <c r="R58" s="8">
        <v>13.0</v>
      </c>
      <c r="S58" s="9">
        <f t="shared" si="5"/>
        <v>0.001139850943</v>
      </c>
    </row>
    <row r="59" ht="15.75" customHeight="1">
      <c r="A59" s="4" t="s">
        <v>781</v>
      </c>
      <c r="B59" s="4" t="s">
        <v>782</v>
      </c>
      <c r="C59" s="4" t="s">
        <v>776</v>
      </c>
      <c r="D59" s="4">
        <v>3.0</v>
      </c>
      <c r="E59" s="4" t="s">
        <v>66</v>
      </c>
      <c r="F59" s="4" t="s">
        <v>773</v>
      </c>
      <c r="G59" s="12">
        <v>46054.0</v>
      </c>
      <c r="H59" s="8">
        <v>11895.0</v>
      </c>
      <c r="I59" s="8">
        <v>11722.0</v>
      </c>
      <c r="J59" s="8">
        <v>6225.0</v>
      </c>
      <c r="K59" s="9">
        <f t="shared" si="1"/>
        <v>0.5310527214</v>
      </c>
      <c r="L59" s="8">
        <v>2372.0</v>
      </c>
      <c r="M59" s="9">
        <f t="shared" si="2"/>
        <v>0.202354547</v>
      </c>
      <c r="N59" s="8">
        <v>1880.0</v>
      </c>
      <c r="O59" s="9">
        <f t="shared" si="3"/>
        <v>0.1603821873</v>
      </c>
      <c r="P59" s="10">
        <v>90531.73</v>
      </c>
      <c r="Q59" s="11">
        <f t="shared" si="4"/>
        <v>7.723232384</v>
      </c>
      <c r="R59" s="8">
        <v>20.0</v>
      </c>
      <c r="S59" s="9">
        <f t="shared" si="5"/>
        <v>0.001706193482</v>
      </c>
    </row>
    <row r="60" ht="15.75" customHeight="1">
      <c r="A60" s="4" t="s">
        <v>781</v>
      </c>
      <c r="B60" s="4" t="s">
        <v>782</v>
      </c>
      <c r="C60" s="4" t="s">
        <v>776</v>
      </c>
      <c r="D60" s="4">
        <v>3.0</v>
      </c>
      <c r="E60" s="4" t="s">
        <v>66</v>
      </c>
      <c r="F60" s="4" t="s">
        <v>773</v>
      </c>
      <c r="G60" s="12">
        <v>46082.0</v>
      </c>
      <c r="H60" s="8">
        <v>14243.0</v>
      </c>
      <c r="I60" s="8">
        <v>14130.0</v>
      </c>
      <c r="J60" s="8">
        <v>7090.0</v>
      </c>
      <c r="K60" s="9">
        <f t="shared" si="1"/>
        <v>0.5017692852</v>
      </c>
      <c r="L60" s="8">
        <v>2885.0</v>
      </c>
      <c r="M60" s="9">
        <f t="shared" si="2"/>
        <v>0.2041755131</v>
      </c>
      <c r="N60" s="8">
        <v>2009.0</v>
      </c>
      <c r="O60" s="9">
        <f t="shared" si="3"/>
        <v>0.1421797594</v>
      </c>
      <c r="P60" s="10">
        <v>113217.25</v>
      </c>
      <c r="Q60" s="11">
        <f t="shared" si="4"/>
        <v>8.012544232</v>
      </c>
      <c r="R60" s="8">
        <v>15.0</v>
      </c>
      <c r="S60" s="9">
        <f t="shared" si="5"/>
        <v>0.001061571125</v>
      </c>
    </row>
    <row r="61" ht="15.75" customHeight="1">
      <c r="A61" s="4" t="s">
        <v>781</v>
      </c>
      <c r="B61" s="4" t="s">
        <v>782</v>
      </c>
      <c r="C61" s="4" t="s">
        <v>776</v>
      </c>
      <c r="D61" s="4">
        <v>3.0</v>
      </c>
      <c r="E61" s="4" t="s">
        <v>66</v>
      </c>
      <c r="F61" s="4" t="s">
        <v>773</v>
      </c>
      <c r="G61" s="12">
        <v>46113.0</v>
      </c>
      <c r="H61" s="8">
        <v>12896.0</v>
      </c>
      <c r="I61" s="8">
        <v>12849.0</v>
      </c>
      <c r="J61" s="8">
        <v>6956.0</v>
      </c>
      <c r="K61" s="9">
        <f t="shared" si="1"/>
        <v>0.5413650868</v>
      </c>
      <c r="L61" s="8">
        <v>2409.0</v>
      </c>
      <c r="M61" s="9">
        <f t="shared" si="2"/>
        <v>0.1874854074</v>
      </c>
      <c r="N61" s="8">
        <v>1823.0</v>
      </c>
      <c r="O61" s="9">
        <f t="shared" si="3"/>
        <v>0.1418787454</v>
      </c>
      <c r="P61" s="10">
        <v>112517.15</v>
      </c>
      <c r="Q61" s="11">
        <f t="shared" si="4"/>
        <v>8.756879913</v>
      </c>
      <c r="R61" s="8">
        <v>14.0</v>
      </c>
      <c r="S61" s="9">
        <f t="shared" si="5"/>
        <v>0.001089578956</v>
      </c>
    </row>
    <row r="62" ht="15.75" customHeight="1">
      <c r="A62" s="4" t="s">
        <v>783</v>
      </c>
      <c r="B62" s="4" t="s">
        <v>784</v>
      </c>
      <c r="C62" s="4" t="s">
        <v>776</v>
      </c>
      <c r="D62" s="4">
        <v>3.0</v>
      </c>
      <c r="E62" s="4" t="s">
        <v>66</v>
      </c>
      <c r="F62" s="4" t="s">
        <v>773</v>
      </c>
      <c r="G62" s="12">
        <v>45778.0</v>
      </c>
      <c r="H62" s="8">
        <v>71798.0</v>
      </c>
      <c r="I62" s="8">
        <v>70804.0</v>
      </c>
      <c r="J62" s="8">
        <v>28366.0</v>
      </c>
      <c r="K62" s="9">
        <f t="shared" si="1"/>
        <v>0.4006270832</v>
      </c>
      <c r="L62" s="8">
        <v>5515.0</v>
      </c>
      <c r="M62" s="9">
        <f t="shared" si="2"/>
        <v>0.0778910796</v>
      </c>
      <c r="N62" s="8">
        <v>1343.0</v>
      </c>
      <c r="O62" s="9">
        <f t="shared" si="3"/>
        <v>0.01896785492</v>
      </c>
      <c r="P62" s="10">
        <v>57387.24</v>
      </c>
      <c r="Q62" s="11">
        <f t="shared" si="4"/>
        <v>0.8105084459</v>
      </c>
      <c r="R62" s="8">
        <v>84.0</v>
      </c>
      <c r="S62" s="9">
        <f t="shared" si="5"/>
        <v>0.001186373651</v>
      </c>
    </row>
    <row r="63" ht="15.75" customHeight="1">
      <c r="A63" s="4" t="s">
        <v>783</v>
      </c>
      <c r="B63" s="4" t="s">
        <v>784</v>
      </c>
      <c r="C63" s="4" t="s">
        <v>776</v>
      </c>
      <c r="D63" s="4">
        <v>3.0</v>
      </c>
      <c r="E63" s="4" t="s">
        <v>66</v>
      </c>
      <c r="F63" s="4" t="s">
        <v>773</v>
      </c>
      <c r="G63" s="12">
        <v>45809.0</v>
      </c>
      <c r="H63" s="8">
        <v>69605.0</v>
      </c>
      <c r="I63" s="8">
        <v>68684.0</v>
      </c>
      <c r="J63" s="8">
        <v>27370.0</v>
      </c>
      <c r="K63" s="9">
        <f t="shared" si="1"/>
        <v>0.3984916429</v>
      </c>
      <c r="L63" s="8">
        <v>5552.0</v>
      </c>
      <c r="M63" s="9">
        <f t="shared" si="2"/>
        <v>0.08083396424</v>
      </c>
      <c r="N63" s="8">
        <v>1624.0</v>
      </c>
      <c r="O63" s="9">
        <f t="shared" si="3"/>
        <v>0.02364451692</v>
      </c>
      <c r="P63" s="10">
        <v>65091.86</v>
      </c>
      <c r="Q63" s="11">
        <f t="shared" si="4"/>
        <v>0.9477004834</v>
      </c>
      <c r="R63" s="8">
        <v>108.0</v>
      </c>
      <c r="S63" s="9">
        <f t="shared" si="5"/>
        <v>0.001572418613</v>
      </c>
    </row>
    <row r="64" ht="15.75" customHeight="1">
      <c r="A64" s="4" t="s">
        <v>783</v>
      </c>
      <c r="B64" s="4" t="s">
        <v>784</v>
      </c>
      <c r="C64" s="4" t="s">
        <v>776</v>
      </c>
      <c r="D64" s="4">
        <v>3.0</v>
      </c>
      <c r="E64" s="4" t="s">
        <v>66</v>
      </c>
      <c r="F64" s="4" t="s">
        <v>773</v>
      </c>
      <c r="G64" s="12">
        <v>45839.0</v>
      </c>
      <c r="H64" s="8">
        <v>57520.0</v>
      </c>
      <c r="I64" s="8">
        <v>57229.0</v>
      </c>
      <c r="J64" s="8">
        <v>25755.0</v>
      </c>
      <c r="K64" s="9">
        <f t="shared" si="1"/>
        <v>0.4500340736</v>
      </c>
      <c r="L64" s="8">
        <v>4711.0</v>
      </c>
      <c r="M64" s="9">
        <f t="shared" si="2"/>
        <v>0.082318405</v>
      </c>
      <c r="N64" s="8">
        <v>1408.0</v>
      </c>
      <c r="O64" s="9">
        <f t="shared" si="3"/>
        <v>0.02460291111</v>
      </c>
      <c r="P64" s="10">
        <v>55153.9</v>
      </c>
      <c r="Q64" s="11">
        <f t="shared" si="4"/>
        <v>0.9637404113</v>
      </c>
      <c r="R64" s="8">
        <v>35.0</v>
      </c>
      <c r="S64" s="9">
        <f t="shared" si="5"/>
        <v>0.0006115780461</v>
      </c>
    </row>
    <row r="65" ht="15.75" customHeight="1">
      <c r="A65" s="4" t="s">
        <v>783</v>
      </c>
      <c r="B65" s="4" t="s">
        <v>784</v>
      </c>
      <c r="C65" s="4" t="s">
        <v>776</v>
      </c>
      <c r="D65" s="4">
        <v>3.0</v>
      </c>
      <c r="E65" s="4" t="s">
        <v>66</v>
      </c>
      <c r="F65" s="4" t="s">
        <v>773</v>
      </c>
      <c r="G65" s="12">
        <v>45870.0</v>
      </c>
      <c r="H65" s="8">
        <v>72006.0</v>
      </c>
      <c r="I65" s="8">
        <v>71335.0</v>
      </c>
      <c r="J65" s="8">
        <v>28162.0</v>
      </c>
      <c r="K65" s="9">
        <f t="shared" si="1"/>
        <v>0.3947851686</v>
      </c>
      <c r="L65" s="8">
        <v>6074.0</v>
      </c>
      <c r="M65" s="9">
        <f t="shared" si="2"/>
        <v>0.08514754328</v>
      </c>
      <c r="N65" s="8">
        <v>1661.0</v>
      </c>
      <c r="O65" s="9">
        <f t="shared" si="3"/>
        <v>0.0232845027</v>
      </c>
      <c r="P65" s="10">
        <v>74445.32</v>
      </c>
      <c r="Q65" s="11">
        <f t="shared" si="4"/>
        <v>1.043601598</v>
      </c>
      <c r="R65" s="8">
        <v>48.0</v>
      </c>
      <c r="S65" s="9">
        <f t="shared" si="5"/>
        <v>0.0006728814747</v>
      </c>
    </row>
    <row r="66" ht="15.75" customHeight="1">
      <c r="A66" s="4" t="s">
        <v>783</v>
      </c>
      <c r="B66" s="4" t="s">
        <v>784</v>
      </c>
      <c r="C66" s="4" t="s">
        <v>776</v>
      </c>
      <c r="D66" s="4">
        <v>3.0</v>
      </c>
      <c r="E66" s="4" t="s">
        <v>66</v>
      </c>
      <c r="F66" s="4" t="s">
        <v>773</v>
      </c>
      <c r="G66" s="12">
        <v>45901.0</v>
      </c>
      <c r="H66" s="8">
        <v>59415.0</v>
      </c>
      <c r="I66" s="8">
        <v>59006.0</v>
      </c>
      <c r="J66" s="8">
        <v>24881.0</v>
      </c>
      <c r="K66" s="9">
        <f t="shared" si="1"/>
        <v>0.4216689828</v>
      </c>
      <c r="L66" s="8">
        <v>5145.0</v>
      </c>
      <c r="M66" s="9">
        <f t="shared" si="2"/>
        <v>0.08719452259</v>
      </c>
      <c r="N66" s="8">
        <v>1356.0</v>
      </c>
      <c r="O66" s="9">
        <f t="shared" si="3"/>
        <v>0.02298071383</v>
      </c>
      <c r="P66" s="10">
        <v>59316.87</v>
      </c>
      <c r="Q66" s="11">
        <f t="shared" si="4"/>
        <v>1.005268447</v>
      </c>
      <c r="R66" s="8">
        <v>44.0</v>
      </c>
      <c r="S66" s="9">
        <f t="shared" si="5"/>
        <v>0.0007456868793</v>
      </c>
    </row>
    <row r="67" ht="15.75" customHeight="1">
      <c r="A67" s="4" t="s">
        <v>783</v>
      </c>
      <c r="B67" s="4" t="s">
        <v>784</v>
      </c>
      <c r="C67" s="4" t="s">
        <v>776</v>
      </c>
      <c r="D67" s="4">
        <v>3.0</v>
      </c>
      <c r="E67" s="4" t="s">
        <v>66</v>
      </c>
      <c r="F67" s="4" t="s">
        <v>773</v>
      </c>
      <c r="G67" s="12">
        <v>45931.0</v>
      </c>
      <c r="H67" s="8">
        <v>78131.0</v>
      </c>
      <c r="I67" s="8">
        <v>77499.0</v>
      </c>
      <c r="J67" s="8">
        <v>30743.0</v>
      </c>
      <c r="K67" s="9">
        <f t="shared" si="1"/>
        <v>0.3966889895</v>
      </c>
      <c r="L67" s="8">
        <v>5619.0</v>
      </c>
      <c r="M67" s="9">
        <f t="shared" si="2"/>
        <v>0.07250416134</v>
      </c>
      <c r="N67" s="8">
        <v>1410.0</v>
      </c>
      <c r="O67" s="9">
        <f t="shared" si="3"/>
        <v>0.01819378315</v>
      </c>
      <c r="P67" s="10">
        <v>65598.09</v>
      </c>
      <c r="Q67" s="11">
        <f t="shared" si="4"/>
        <v>0.8464378895</v>
      </c>
      <c r="R67" s="8">
        <v>37.0</v>
      </c>
      <c r="S67" s="9">
        <f t="shared" si="5"/>
        <v>0.0004774255152</v>
      </c>
    </row>
    <row r="68" ht="15.75" customHeight="1">
      <c r="A68" s="4" t="s">
        <v>783</v>
      </c>
      <c r="B68" s="4" t="s">
        <v>784</v>
      </c>
      <c r="C68" s="4" t="s">
        <v>776</v>
      </c>
      <c r="D68" s="4">
        <v>3.0</v>
      </c>
      <c r="E68" s="4" t="s">
        <v>66</v>
      </c>
      <c r="F68" s="4" t="s">
        <v>773</v>
      </c>
      <c r="G68" s="12">
        <v>45962.0</v>
      </c>
      <c r="H68" s="8">
        <v>93924.0</v>
      </c>
      <c r="I68" s="8">
        <v>93067.0</v>
      </c>
      <c r="J68" s="8">
        <v>40968.0</v>
      </c>
      <c r="K68" s="9">
        <f t="shared" si="1"/>
        <v>0.4401989964</v>
      </c>
      <c r="L68" s="8">
        <v>7427.0</v>
      </c>
      <c r="M68" s="9">
        <f t="shared" si="2"/>
        <v>0.07980272277</v>
      </c>
      <c r="N68" s="8">
        <v>1900.0</v>
      </c>
      <c r="O68" s="9">
        <f t="shared" si="3"/>
        <v>0.02041539966</v>
      </c>
      <c r="P68" s="10">
        <v>79187.23</v>
      </c>
      <c r="Q68" s="11">
        <f t="shared" si="4"/>
        <v>0.8508626044</v>
      </c>
      <c r="R68" s="8">
        <v>181.0</v>
      </c>
      <c r="S68" s="9">
        <f t="shared" si="5"/>
        <v>0.001944835441</v>
      </c>
    </row>
    <row r="69" ht="15.75" customHeight="1">
      <c r="A69" s="4" t="s">
        <v>783</v>
      </c>
      <c r="B69" s="4" t="s">
        <v>784</v>
      </c>
      <c r="C69" s="4" t="s">
        <v>776</v>
      </c>
      <c r="D69" s="4">
        <v>3.0</v>
      </c>
      <c r="E69" s="4" t="s">
        <v>66</v>
      </c>
      <c r="F69" s="4" t="s">
        <v>773</v>
      </c>
      <c r="G69" s="12">
        <v>45992.0</v>
      </c>
      <c r="H69" s="8">
        <v>72814.0</v>
      </c>
      <c r="I69" s="8">
        <v>72642.0</v>
      </c>
      <c r="J69" s="8">
        <v>28914.0</v>
      </c>
      <c r="K69" s="9">
        <f t="shared" si="1"/>
        <v>0.3980341951</v>
      </c>
      <c r="L69" s="8">
        <v>5157.0</v>
      </c>
      <c r="M69" s="9">
        <f t="shared" si="2"/>
        <v>0.07099198811</v>
      </c>
      <c r="N69" s="8">
        <v>1558.0</v>
      </c>
      <c r="O69" s="9">
        <f t="shared" si="3"/>
        <v>0.02144764737</v>
      </c>
      <c r="P69" s="10">
        <v>58828.26</v>
      </c>
      <c r="Q69" s="11">
        <f t="shared" si="4"/>
        <v>0.8098381102</v>
      </c>
      <c r="R69" s="8">
        <v>32.0</v>
      </c>
      <c r="S69" s="9">
        <f t="shared" si="5"/>
        <v>0.0004405165056</v>
      </c>
    </row>
    <row r="70" ht="15.75" customHeight="1">
      <c r="A70" s="4" t="s">
        <v>783</v>
      </c>
      <c r="B70" s="4" t="s">
        <v>784</v>
      </c>
      <c r="C70" s="4" t="s">
        <v>776</v>
      </c>
      <c r="D70" s="4">
        <v>3.0</v>
      </c>
      <c r="E70" s="4" t="s">
        <v>66</v>
      </c>
      <c r="F70" s="4" t="s">
        <v>773</v>
      </c>
      <c r="G70" s="12">
        <v>46023.0</v>
      </c>
      <c r="H70" s="8">
        <v>49385.0</v>
      </c>
      <c r="I70" s="8">
        <v>48783.0</v>
      </c>
      <c r="J70" s="8">
        <v>20096.0</v>
      </c>
      <c r="K70" s="9">
        <f t="shared" si="1"/>
        <v>0.4119467847</v>
      </c>
      <c r="L70" s="8">
        <v>4237.0</v>
      </c>
      <c r="M70" s="9">
        <f t="shared" si="2"/>
        <v>0.08685402702</v>
      </c>
      <c r="N70" s="8">
        <v>1072.0</v>
      </c>
      <c r="O70" s="9">
        <f t="shared" si="3"/>
        <v>0.02197486829</v>
      </c>
      <c r="P70" s="10">
        <v>44555.86</v>
      </c>
      <c r="Q70" s="11">
        <f t="shared" si="4"/>
        <v>0.9133480926</v>
      </c>
      <c r="R70" s="8">
        <v>72.0</v>
      </c>
      <c r="S70" s="9">
        <f t="shared" si="5"/>
        <v>0.00147592399</v>
      </c>
    </row>
    <row r="71" ht="15.75" customHeight="1">
      <c r="A71" s="4" t="s">
        <v>783</v>
      </c>
      <c r="B71" s="4" t="s">
        <v>784</v>
      </c>
      <c r="C71" s="4" t="s">
        <v>776</v>
      </c>
      <c r="D71" s="4">
        <v>3.0</v>
      </c>
      <c r="E71" s="4" t="s">
        <v>66</v>
      </c>
      <c r="F71" s="4" t="s">
        <v>773</v>
      </c>
      <c r="G71" s="12">
        <v>46054.0</v>
      </c>
      <c r="H71" s="8">
        <v>64292.0</v>
      </c>
      <c r="I71" s="8">
        <v>63394.0</v>
      </c>
      <c r="J71" s="8">
        <v>28226.0</v>
      </c>
      <c r="K71" s="9">
        <f t="shared" si="1"/>
        <v>0.4452471843</v>
      </c>
      <c r="L71" s="8">
        <v>4533.0</v>
      </c>
      <c r="M71" s="9">
        <f t="shared" si="2"/>
        <v>0.07150518977</v>
      </c>
      <c r="N71" s="8">
        <v>1264.0</v>
      </c>
      <c r="O71" s="9">
        <f t="shared" si="3"/>
        <v>0.01993879547</v>
      </c>
      <c r="P71" s="10">
        <v>58280.65</v>
      </c>
      <c r="Q71" s="11">
        <f t="shared" si="4"/>
        <v>0.9193401584</v>
      </c>
      <c r="R71" s="8">
        <v>77.0</v>
      </c>
      <c r="S71" s="9">
        <f t="shared" si="5"/>
        <v>0.00121462599</v>
      </c>
    </row>
    <row r="72" ht="15.75" customHeight="1">
      <c r="A72" s="4" t="s">
        <v>783</v>
      </c>
      <c r="B72" s="4" t="s">
        <v>784</v>
      </c>
      <c r="C72" s="4" t="s">
        <v>776</v>
      </c>
      <c r="D72" s="4">
        <v>3.0</v>
      </c>
      <c r="E72" s="4" t="s">
        <v>66</v>
      </c>
      <c r="F72" s="4" t="s">
        <v>773</v>
      </c>
      <c r="G72" s="12">
        <v>46082.0</v>
      </c>
      <c r="H72" s="8">
        <v>64579.0</v>
      </c>
      <c r="I72" s="8">
        <v>64362.0</v>
      </c>
      <c r="J72" s="8">
        <v>25410.0</v>
      </c>
      <c r="K72" s="9">
        <f t="shared" si="1"/>
        <v>0.3947981728</v>
      </c>
      <c r="L72" s="8">
        <v>4966.0</v>
      </c>
      <c r="M72" s="9">
        <f t="shared" si="2"/>
        <v>0.07715732886</v>
      </c>
      <c r="N72" s="8">
        <v>1139.0</v>
      </c>
      <c r="O72" s="9">
        <f t="shared" si="3"/>
        <v>0.0176967776</v>
      </c>
      <c r="P72" s="10">
        <v>69849.54</v>
      </c>
      <c r="Q72" s="11">
        <f t="shared" si="4"/>
        <v>1.085260557</v>
      </c>
      <c r="R72" s="8">
        <v>97.0</v>
      </c>
      <c r="S72" s="9">
        <f t="shared" si="5"/>
        <v>0.001507100463</v>
      </c>
    </row>
    <row r="73" ht="15.75" customHeight="1">
      <c r="A73" s="4" t="s">
        <v>783</v>
      </c>
      <c r="B73" s="4" t="s">
        <v>784</v>
      </c>
      <c r="C73" s="4" t="s">
        <v>776</v>
      </c>
      <c r="D73" s="4">
        <v>3.0</v>
      </c>
      <c r="E73" s="4" t="s">
        <v>66</v>
      </c>
      <c r="F73" s="4" t="s">
        <v>773</v>
      </c>
      <c r="G73" s="12">
        <v>46113.0</v>
      </c>
      <c r="H73" s="8">
        <v>65649.0</v>
      </c>
      <c r="I73" s="8">
        <v>65496.0</v>
      </c>
      <c r="J73" s="8">
        <v>25839.0</v>
      </c>
      <c r="K73" s="9">
        <f t="shared" si="1"/>
        <v>0.394512642</v>
      </c>
      <c r="L73" s="8">
        <v>6017.0</v>
      </c>
      <c r="M73" s="9">
        <f t="shared" si="2"/>
        <v>0.09186820569</v>
      </c>
      <c r="N73" s="8">
        <v>1267.0</v>
      </c>
      <c r="O73" s="9">
        <f t="shared" si="3"/>
        <v>0.01934469281</v>
      </c>
      <c r="P73" s="10">
        <v>66613.82</v>
      </c>
      <c r="Q73" s="11">
        <f t="shared" si="4"/>
        <v>1.017066996</v>
      </c>
      <c r="R73" s="8">
        <v>30.0</v>
      </c>
      <c r="S73" s="9">
        <f t="shared" si="5"/>
        <v>0.0004580432393</v>
      </c>
    </row>
    <row r="74" ht="15.75" customHeight="1">
      <c r="A74" s="4" t="s">
        <v>785</v>
      </c>
      <c r="B74" s="4" t="s">
        <v>786</v>
      </c>
      <c r="C74" s="4" t="s">
        <v>776</v>
      </c>
      <c r="D74" s="4">
        <v>2.0</v>
      </c>
      <c r="E74" s="4" t="s">
        <v>57</v>
      </c>
      <c r="F74" s="4" t="s">
        <v>773</v>
      </c>
      <c r="G74" s="12">
        <v>45778.0</v>
      </c>
      <c r="H74" s="8">
        <v>82094.0</v>
      </c>
      <c r="I74" s="8">
        <v>81085.0</v>
      </c>
      <c r="J74" s="8">
        <v>0.0</v>
      </c>
      <c r="K74" s="9">
        <f t="shared" si="1"/>
        <v>0</v>
      </c>
      <c r="L74" s="8">
        <v>9406.0</v>
      </c>
      <c r="M74" s="9">
        <f t="shared" si="2"/>
        <v>0.1160017266</v>
      </c>
      <c r="N74" s="8">
        <v>3841.0</v>
      </c>
      <c r="O74" s="9">
        <f t="shared" si="3"/>
        <v>0.04737004378</v>
      </c>
      <c r="P74" s="10">
        <v>110035.38</v>
      </c>
      <c r="Q74" s="11">
        <f t="shared" si="4"/>
        <v>1.35703743</v>
      </c>
      <c r="R74" s="8">
        <v>46.0</v>
      </c>
      <c r="S74" s="9">
        <f t="shared" si="5"/>
        <v>0.0005673059135</v>
      </c>
    </row>
    <row r="75" ht="15.75" customHeight="1">
      <c r="A75" s="4" t="s">
        <v>785</v>
      </c>
      <c r="B75" s="4" t="s">
        <v>786</v>
      </c>
      <c r="C75" s="4" t="s">
        <v>776</v>
      </c>
      <c r="D75" s="4">
        <v>2.0</v>
      </c>
      <c r="E75" s="4" t="s">
        <v>57</v>
      </c>
      <c r="F75" s="4" t="s">
        <v>773</v>
      </c>
      <c r="G75" s="12">
        <v>45809.0</v>
      </c>
      <c r="H75" s="8">
        <v>69023.0</v>
      </c>
      <c r="I75" s="8">
        <v>68655.0</v>
      </c>
      <c r="J75" s="8">
        <v>0.0</v>
      </c>
      <c r="K75" s="9">
        <f t="shared" si="1"/>
        <v>0</v>
      </c>
      <c r="L75" s="8">
        <v>8361.0</v>
      </c>
      <c r="M75" s="9">
        <f t="shared" si="2"/>
        <v>0.1217828272</v>
      </c>
      <c r="N75" s="8">
        <v>2331.0</v>
      </c>
      <c r="O75" s="9">
        <f t="shared" si="3"/>
        <v>0.03395237055</v>
      </c>
      <c r="P75" s="10">
        <v>81922.07</v>
      </c>
      <c r="Q75" s="11">
        <f t="shared" si="4"/>
        <v>1.19324259</v>
      </c>
      <c r="R75" s="8">
        <v>55.0</v>
      </c>
      <c r="S75" s="9">
        <f t="shared" si="5"/>
        <v>0.0008011069842</v>
      </c>
    </row>
    <row r="76" ht="15.75" customHeight="1">
      <c r="A76" s="4" t="s">
        <v>785</v>
      </c>
      <c r="B76" s="4" t="s">
        <v>786</v>
      </c>
      <c r="C76" s="4" t="s">
        <v>776</v>
      </c>
      <c r="D76" s="4">
        <v>2.0</v>
      </c>
      <c r="E76" s="4" t="s">
        <v>57</v>
      </c>
      <c r="F76" s="4" t="s">
        <v>773</v>
      </c>
      <c r="G76" s="12">
        <v>45839.0</v>
      </c>
      <c r="H76" s="8">
        <v>58637.0</v>
      </c>
      <c r="I76" s="8">
        <v>57797.0</v>
      </c>
      <c r="J76" s="8">
        <v>0.0</v>
      </c>
      <c r="K76" s="9">
        <f t="shared" si="1"/>
        <v>0</v>
      </c>
      <c r="L76" s="8">
        <v>7282.0</v>
      </c>
      <c r="M76" s="9">
        <f t="shared" si="2"/>
        <v>0.1259926986</v>
      </c>
      <c r="N76" s="8">
        <v>2749.0</v>
      </c>
      <c r="O76" s="9">
        <f t="shared" si="3"/>
        <v>0.0475630223</v>
      </c>
      <c r="P76" s="10">
        <v>63862.66</v>
      </c>
      <c r="Q76" s="11">
        <f t="shared" si="4"/>
        <v>1.104947662</v>
      </c>
      <c r="R76" s="8">
        <v>59.0</v>
      </c>
      <c r="S76" s="9">
        <f t="shared" si="5"/>
        <v>0.001020814229</v>
      </c>
    </row>
    <row r="77" ht="15.75" customHeight="1">
      <c r="A77" s="4" t="s">
        <v>785</v>
      </c>
      <c r="B77" s="4" t="s">
        <v>786</v>
      </c>
      <c r="C77" s="4" t="s">
        <v>776</v>
      </c>
      <c r="D77" s="4">
        <v>2.0</v>
      </c>
      <c r="E77" s="4" t="s">
        <v>57</v>
      </c>
      <c r="F77" s="4" t="s">
        <v>773</v>
      </c>
      <c r="G77" s="12">
        <v>45870.0</v>
      </c>
      <c r="H77" s="8">
        <v>55202.0</v>
      </c>
      <c r="I77" s="8">
        <v>54944.0</v>
      </c>
      <c r="J77" s="8">
        <v>0.0</v>
      </c>
      <c r="K77" s="9">
        <f t="shared" si="1"/>
        <v>0</v>
      </c>
      <c r="L77" s="8">
        <v>6760.0</v>
      </c>
      <c r="M77" s="9">
        <f t="shared" si="2"/>
        <v>0.1230343623</v>
      </c>
      <c r="N77" s="8">
        <v>2106.0</v>
      </c>
      <c r="O77" s="9">
        <f t="shared" si="3"/>
        <v>0.03832993593</v>
      </c>
      <c r="P77" s="10">
        <v>60851.15</v>
      </c>
      <c r="Q77" s="11">
        <f t="shared" si="4"/>
        <v>1.107512194</v>
      </c>
      <c r="R77" s="8">
        <v>106.0</v>
      </c>
      <c r="S77" s="9">
        <f t="shared" si="5"/>
        <v>0.001929237041</v>
      </c>
    </row>
    <row r="78" ht="15.75" customHeight="1">
      <c r="A78" s="4" t="s">
        <v>785</v>
      </c>
      <c r="B78" s="4" t="s">
        <v>786</v>
      </c>
      <c r="C78" s="4" t="s">
        <v>776</v>
      </c>
      <c r="D78" s="4">
        <v>2.0</v>
      </c>
      <c r="E78" s="4" t="s">
        <v>57</v>
      </c>
      <c r="F78" s="4" t="s">
        <v>773</v>
      </c>
      <c r="G78" s="12">
        <v>45901.0</v>
      </c>
      <c r="H78" s="8">
        <v>69653.0</v>
      </c>
      <c r="I78" s="8">
        <v>69233.0</v>
      </c>
      <c r="J78" s="8">
        <v>0.0</v>
      </c>
      <c r="K78" s="9">
        <f t="shared" si="1"/>
        <v>0</v>
      </c>
      <c r="L78" s="8">
        <v>8777.0</v>
      </c>
      <c r="M78" s="9">
        <f t="shared" si="2"/>
        <v>0.1267748039</v>
      </c>
      <c r="N78" s="8">
        <v>2387.0</v>
      </c>
      <c r="O78" s="9">
        <f t="shared" si="3"/>
        <v>0.03447777794</v>
      </c>
      <c r="P78" s="10">
        <v>89828.91</v>
      </c>
      <c r="Q78" s="11">
        <f t="shared" si="4"/>
        <v>1.297486892</v>
      </c>
      <c r="R78" s="8">
        <v>50.0</v>
      </c>
      <c r="S78" s="9">
        <f t="shared" si="5"/>
        <v>0.0007221989514</v>
      </c>
    </row>
    <row r="79" ht="15.75" customHeight="1">
      <c r="A79" s="4" t="s">
        <v>785</v>
      </c>
      <c r="B79" s="4" t="s">
        <v>786</v>
      </c>
      <c r="C79" s="4" t="s">
        <v>776</v>
      </c>
      <c r="D79" s="4">
        <v>2.0</v>
      </c>
      <c r="E79" s="4" t="s">
        <v>57</v>
      </c>
      <c r="F79" s="4" t="s">
        <v>773</v>
      </c>
      <c r="G79" s="12">
        <v>45931.0</v>
      </c>
      <c r="H79" s="8">
        <v>74798.0</v>
      </c>
      <c r="I79" s="8">
        <v>74343.0</v>
      </c>
      <c r="J79" s="8">
        <v>0.0</v>
      </c>
      <c r="K79" s="9">
        <f t="shared" si="1"/>
        <v>0</v>
      </c>
      <c r="L79" s="8">
        <v>8488.0</v>
      </c>
      <c r="M79" s="9">
        <f t="shared" si="2"/>
        <v>0.1141734931</v>
      </c>
      <c r="N79" s="8">
        <v>3532.0</v>
      </c>
      <c r="O79" s="9">
        <f t="shared" si="3"/>
        <v>0.0475095167</v>
      </c>
      <c r="P79" s="10">
        <v>96158.33</v>
      </c>
      <c r="Q79" s="11">
        <f t="shared" si="4"/>
        <v>1.293441615</v>
      </c>
      <c r="R79" s="8">
        <v>29.0</v>
      </c>
      <c r="S79" s="9">
        <f t="shared" si="5"/>
        <v>0.0003900838008</v>
      </c>
    </row>
    <row r="80" ht="15.75" customHeight="1">
      <c r="A80" s="4" t="s">
        <v>785</v>
      </c>
      <c r="B80" s="4" t="s">
        <v>786</v>
      </c>
      <c r="C80" s="4" t="s">
        <v>776</v>
      </c>
      <c r="D80" s="4">
        <v>2.0</v>
      </c>
      <c r="E80" s="4" t="s">
        <v>57</v>
      </c>
      <c r="F80" s="4" t="s">
        <v>773</v>
      </c>
      <c r="G80" s="12">
        <v>45962.0</v>
      </c>
      <c r="H80" s="8">
        <v>91073.0</v>
      </c>
      <c r="I80" s="8">
        <v>89889.0</v>
      </c>
      <c r="J80" s="8">
        <v>0.0</v>
      </c>
      <c r="K80" s="9">
        <f t="shared" si="1"/>
        <v>0</v>
      </c>
      <c r="L80" s="8">
        <v>10904.0</v>
      </c>
      <c r="M80" s="9">
        <f t="shared" si="2"/>
        <v>0.1213051653</v>
      </c>
      <c r="N80" s="8">
        <v>3030.0</v>
      </c>
      <c r="O80" s="9">
        <f t="shared" si="3"/>
        <v>0.03370824016</v>
      </c>
      <c r="P80" s="10">
        <v>107473.4</v>
      </c>
      <c r="Q80" s="11">
        <f t="shared" si="4"/>
        <v>1.195623491</v>
      </c>
      <c r="R80" s="8">
        <v>75.0</v>
      </c>
      <c r="S80" s="9">
        <f t="shared" si="5"/>
        <v>0.0008343623803</v>
      </c>
    </row>
    <row r="81" ht="15.75" customHeight="1">
      <c r="A81" s="4" t="s">
        <v>785</v>
      </c>
      <c r="B81" s="4" t="s">
        <v>786</v>
      </c>
      <c r="C81" s="4" t="s">
        <v>776</v>
      </c>
      <c r="D81" s="4">
        <v>2.0</v>
      </c>
      <c r="E81" s="4" t="s">
        <v>57</v>
      </c>
      <c r="F81" s="4" t="s">
        <v>773</v>
      </c>
      <c r="G81" s="12">
        <v>45992.0</v>
      </c>
      <c r="H81" s="8">
        <v>86487.0</v>
      </c>
      <c r="I81" s="8">
        <v>85914.0</v>
      </c>
      <c r="J81" s="8">
        <v>0.0</v>
      </c>
      <c r="K81" s="9">
        <f t="shared" si="1"/>
        <v>0</v>
      </c>
      <c r="L81" s="8">
        <v>9837.0</v>
      </c>
      <c r="M81" s="9">
        <f t="shared" si="2"/>
        <v>0.1144982191</v>
      </c>
      <c r="N81" s="8">
        <v>3975.0</v>
      </c>
      <c r="O81" s="9">
        <f t="shared" si="3"/>
        <v>0.04626719743</v>
      </c>
      <c r="P81" s="10">
        <v>110309.11</v>
      </c>
      <c r="Q81" s="11">
        <f t="shared" si="4"/>
        <v>1.283948018</v>
      </c>
      <c r="R81" s="8">
        <v>28.0</v>
      </c>
      <c r="S81" s="9">
        <f t="shared" si="5"/>
        <v>0.0003259073027</v>
      </c>
    </row>
    <row r="82" ht="15.75" customHeight="1">
      <c r="A82" s="4" t="s">
        <v>785</v>
      </c>
      <c r="B82" s="4" t="s">
        <v>786</v>
      </c>
      <c r="C82" s="4" t="s">
        <v>776</v>
      </c>
      <c r="D82" s="4">
        <v>2.0</v>
      </c>
      <c r="E82" s="4" t="s">
        <v>57</v>
      </c>
      <c r="F82" s="4" t="s">
        <v>773</v>
      </c>
      <c r="G82" s="12">
        <v>46023.0</v>
      </c>
      <c r="H82" s="8">
        <v>55680.0</v>
      </c>
      <c r="I82" s="8">
        <v>55369.0</v>
      </c>
      <c r="J82" s="8">
        <v>0.0</v>
      </c>
      <c r="K82" s="9">
        <f t="shared" si="1"/>
        <v>0</v>
      </c>
      <c r="L82" s="8">
        <v>6147.0</v>
      </c>
      <c r="M82" s="9">
        <f t="shared" si="2"/>
        <v>0.1110188011</v>
      </c>
      <c r="N82" s="8">
        <v>1806.0</v>
      </c>
      <c r="O82" s="9">
        <f t="shared" si="3"/>
        <v>0.03261752966</v>
      </c>
      <c r="P82" s="10">
        <v>70561.44</v>
      </c>
      <c r="Q82" s="11">
        <f t="shared" si="4"/>
        <v>1.274385306</v>
      </c>
      <c r="R82" s="8">
        <v>69.0</v>
      </c>
      <c r="S82" s="9">
        <f t="shared" si="5"/>
        <v>0.001246184688</v>
      </c>
    </row>
    <row r="83" ht="15.75" customHeight="1">
      <c r="A83" s="4" t="s">
        <v>785</v>
      </c>
      <c r="B83" s="4" t="s">
        <v>786</v>
      </c>
      <c r="C83" s="4" t="s">
        <v>776</v>
      </c>
      <c r="D83" s="4">
        <v>2.0</v>
      </c>
      <c r="E83" s="4" t="s">
        <v>57</v>
      </c>
      <c r="F83" s="4" t="s">
        <v>773</v>
      </c>
      <c r="G83" s="12">
        <v>46054.0</v>
      </c>
      <c r="H83" s="8">
        <v>75758.0</v>
      </c>
      <c r="I83" s="8">
        <v>75104.0</v>
      </c>
      <c r="J83" s="8">
        <v>0.0</v>
      </c>
      <c r="K83" s="9">
        <f t="shared" si="1"/>
        <v>0</v>
      </c>
      <c r="L83" s="8">
        <v>9192.0</v>
      </c>
      <c r="M83" s="9">
        <f t="shared" si="2"/>
        <v>0.1223902855</v>
      </c>
      <c r="N83" s="8">
        <v>3056.0</v>
      </c>
      <c r="O83" s="9">
        <f t="shared" si="3"/>
        <v>0.04069024286</v>
      </c>
      <c r="P83" s="10">
        <v>85357.58</v>
      </c>
      <c r="Q83" s="11">
        <f t="shared" si="4"/>
        <v>1.136525085</v>
      </c>
      <c r="R83" s="8">
        <v>82.0</v>
      </c>
      <c r="S83" s="9">
        <f t="shared" si="5"/>
        <v>0.001091819344</v>
      </c>
    </row>
    <row r="84" ht="15.75" customHeight="1">
      <c r="A84" s="4" t="s">
        <v>785</v>
      </c>
      <c r="B84" s="4" t="s">
        <v>786</v>
      </c>
      <c r="C84" s="4" t="s">
        <v>776</v>
      </c>
      <c r="D84" s="4">
        <v>2.0</v>
      </c>
      <c r="E84" s="4" t="s">
        <v>57</v>
      </c>
      <c r="F84" s="4" t="s">
        <v>773</v>
      </c>
      <c r="G84" s="12">
        <v>46082.0</v>
      </c>
      <c r="H84" s="8">
        <v>79275.0</v>
      </c>
      <c r="I84" s="8">
        <v>78702.0</v>
      </c>
      <c r="J84" s="8">
        <v>0.0</v>
      </c>
      <c r="K84" s="9">
        <f t="shared" si="1"/>
        <v>0</v>
      </c>
      <c r="L84" s="8">
        <v>10465.0</v>
      </c>
      <c r="M84" s="9">
        <f t="shared" si="2"/>
        <v>0.1329699372</v>
      </c>
      <c r="N84" s="8">
        <v>2720.0</v>
      </c>
      <c r="O84" s="9">
        <f t="shared" si="3"/>
        <v>0.03456074814</v>
      </c>
      <c r="P84" s="10">
        <v>95324.61</v>
      </c>
      <c r="Q84" s="11">
        <f t="shared" si="4"/>
        <v>1.211209499</v>
      </c>
      <c r="R84" s="8">
        <v>83.0</v>
      </c>
      <c r="S84" s="9">
        <f t="shared" si="5"/>
        <v>0.001054611065</v>
      </c>
    </row>
    <row r="85" ht="15.75" customHeight="1">
      <c r="A85" s="4" t="s">
        <v>785</v>
      </c>
      <c r="B85" s="4" t="s">
        <v>786</v>
      </c>
      <c r="C85" s="4" t="s">
        <v>776</v>
      </c>
      <c r="D85" s="4">
        <v>2.0</v>
      </c>
      <c r="E85" s="4" t="s">
        <v>57</v>
      </c>
      <c r="F85" s="4" t="s">
        <v>773</v>
      </c>
      <c r="G85" s="12">
        <v>46113.0</v>
      </c>
      <c r="H85" s="8">
        <v>74516.0</v>
      </c>
      <c r="I85" s="8">
        <v>73922.0</v>
      </c>
      <c r="J85" s="8">
        <v>0.0</v>
      </c>
      <c r="K85" s="9">
        <f t="shared" si="1"/>
        <v>0</v>
      </c>
      <c r="L85" s="8">
        <v>8748.0</v>
      </c>
      <c r="M85" s="9">
        <f t="shared" si="2"/>
        <v>0.118340954</v>
      </c>
      <c r="N85" s="8">
        <v>3283.0</v>
      </c>
      <c r="O85" s="9">
        <f t="shared" si="3"/>
        <v>0.04441167717</v>
      </c>
      <c r="P85" s="10">
        <v>88864.95</v>
      </c>
      <c r="Q85" s="11">
        <f t="shared" si="4"/>
        <v>1.202144828</v>
      </c>
      <c r="R85" s="8">
        <v>114.0</v>
      </c>
      <c r="S85" s="9">
        <f t="shared" si="5"/>
        <v>0.001542166067</v>
      </c>
    </row>
    <row r="86" ht="15.75" customHeight="1">
      <c r="A86" s="4" t="s">
        <v>787</v>
      </c>
      <c r="B86" s="4" t="s">
        <v>788</v>
      </c>
      <c r="C86" s="4" t="s">
        <v>776</v>
      </c>
      <c r="D86" s="4">
        <v>2.0</v>
      </c>
      <c r="E86" s="4" t="s">
        <v>66</v>
      </c>
      <c r="F86" s="4" t="s">
        <v>773</v>
      </c>
      <c r="G86" s="12">
        <v>45778.0</v>
      </c>
      <c r="H86" s="8">
        <v>10897.0</v>
      </c>
      <c r="I86" s="8">
        <v>10821.0</v>
      </c>
      <c r="J86" s="8">
        <v>6071.0</v>
      </c>
      <c r="K86" s="9">
        <f t="shared" si="1"/>
        <v>0.561038721</v>
      </c>
      <c r="L86" s="8">
        <v>2466.0</v>
      </c>
      <c r="M86" s="9">
        <f t="shared" si="2"/>
        <v>0.2278902135</v>
      </c>
      <c r="N86" s="8">
        <v>1205.0</v>
      </c>
      <c r="O86" s="9">
        <f t="shared" si="3"/>
        <v>0.1113575455</v>
      </c>
      <c r="P86" s="10">
        <v>50778.77</v>
      </c>
      <c r="Q86" s="11">
        <f t="shared" si="4"/>
        <v>4.692613437</v>
      </c>
      <c r="R86" s="8">
        <v>21.0</v>
      </c>
      <c r="S86" s="9">
        <f t="shared" si="5"/>
        <v>0.001940670918</v>
      </c>
    </row>
    <row r="87" ht="15.75" customHeight="1">
      <c r="A87" s="4" t="s">
        <v>787</v>
      </c>
      <c r="B87" s="4" t="s">
        <v>788</v>
      </c>
      <c r="C87" s="4" t="s">
        <v>776</v>
      </c>
      <c r="D87" s="4">
        <v>2.0</v>
      </c>
      <c r="E87" s="4" t="s">
        <v>66</v>
      </c>
      <c r="F87" s="4" t="s">
        <v>773</v>
      </c>
      <c r="G87" s="12">
        <v>45809.0</v>
      </c>
      <c r="H87" s="8">
        <v>8847.0</v>
      </c>
      <c r="I87" s="8">
        <v>8736.0</v>
      </c>
      <c r="J87" s="8">
        <v>5289.0</v>
      </c>
      <c r="K87" s="9">
        <f t="shared" si="1"/>
        <v>0.6054258242</v>
      </c>
      <c r="L87" s="8">
        <v>2075.0</v>
      </c>
      <c r="M87" s="9">
        <f t="shared" si="2"/>
        <v>0.2375228938</v>
      </c>
      <c r="N87" s="8">
        <v>903.0</v>
      </c>
      <c r="O87" s="9">
        <f t="shared" si="3"/>
        <v>0.1033653846</v>
      </c>
      <c r="P87" s="10">
        <v>44105.17</v>
      </c>
      <c r="Q87" s="11">
        <f t="shared" si="4"/>
        <v>5.048668727</v>
      </c>
      <c r="R87" s="8">
        <v>8.0</v>
      </c>
      <c r="S87" s="9">
        <f t="shared" si="5"/>
        <v>0.0009157509158</v>
      </c>
    </row>
    <row r="88" ht="15.75" customHeight="1">
      <c r="A88" s="4" t="s">
        <v>787</v>
      </c>
      <c r="B88" s="4" t="s">
        <v>788</v>
      </c>
      <c r="C88" s="4" t="s">
        <v>776</v>
      </c>
      <c r="D88" s="4">
        <v>2.0</v>
      </c>
      <c r="E88" s="4" t="s">
        <v>66</v>
      </c>
      <c r="F88" s="4" t="s">
        <v>773</v>
      </c>
      <c r="G88" s="12">
        <v>45839.0</v>
      </c>
      <c r="H88" s="8">
        <v>7241.0</v>
      </c>
      <c r="I88" s="8">
        <v>7141.0</v>
      </c>
      <c r="J88" s="8">
        <v>4299.0</v>
      </c>
      <c r="K88" s="9">
        <f t="shared" si="1"/>
        <v>0.6020165243</v>
      </c>
      <c r="L88" s="8">
        <v>1355.0</v>
      </c>
      <c r="M88" s="9">
        <f t="shared" si="2"/>
        <v>0.1897493348</v>
      </c>
      <c r="N88" s="8">
        <v>1006.0</v>
      </c>
      <c r="O88" s="9">
        <f t="shared" si="3"/>
        <v>0.1408766279</v>
      </c>
      <c r="P88" s="10">
        <v>34843.76</v>
      </c>
      <c r="Q88" s="11">
        <f t="shared" si="4"/>
        <v>4.879395043</v>
      </c>
      <c r="R88" s="8">
        <v>2.0</v>
      </c>
      <c r="S88" s="9">
        <f t="shared" si="5"/>
        <v>0.0002800728189</v>
      </c>
    </row>
    <row r="89" ht="15.75" customHeight="1">
      <c r="A89" s="4" t="s">
        <v>787</v>
      </c>
      <c r="B89" s="4" t="s">
        <v>788</v>
      </c>
      <c r="C89" s="4" t="s">
        <v>776</v>
      </c>
      <c r="D89" s="4">
        <v>2.0</v>
      </c>
      <c r="E89" s="4" t="s">
        <v>66</v>
      </c>
      <c r="F89" s="4" t="s">
        <v>773</v>
      </c>
      <c r="G89" s="12">
        <v>45870.0</v>
      </c>
      <c r="H89" s="8">
        <v>7123.0</v>
      </c>
      <c r="I89" s="8">
        <v>7033.0</v>
      </c>
      <c r="J89" s="8">
        <v>3620.0</v>
      </c>
      <c r="K89" s="9">
        <f t="shared" si="1"/>
        <v>0.5147163373</v>
      </c>
      <c r="L89" s="8">
        <v>1613.0</v>
      </c>
      <c r="M89" s="9">
        <f t="shared" si="2"/>
        <v>0.2293473624</v>
      </c>
      <c r="N89" s="8">
        <v>806.0</v>
      </c>
      <c r="O89" s="9">
        <f t="shared" si="3"/>
        <v>0.1146025878</v>
      </c>
      <c r="P89" s="10">
        <v>37863.24</v>
      </c>
      <c r="Q89" s="11">
        <f t="shared" si="4"/>
        <v>5.383654202</v>
      </c>
      <c r="R89" s="8">
        <v>9.0</v>
      </c>
      <c r="S89" s="9">
        <f t="shared" si="5"/>
        <v>0.001279681501</v>
      </c>
    </row>
    <row r="90" ht="15.75" customHeight="1">
      <c r="A90" s="4" t="s">
        <v>787</v>
      </c>
      <c r="B90" s="4" t="s">
        <v>788</v>
      </c>
      <c r="C90" s="4" t="s">
        <v>776</v>
      </c>
      <c r="D90" s="4">
        <v>2.0</v>
      </c>
      <c r="E90" s="4" t="s">
        <v>66</v>
      </c>
      <c r="F90" s="4" t="s">
        <v>773</v>
      </c>
      <c r="G90" s="12">
        <v>45901.0</v>
      </c>
      <c r="H90" s="8">
        <v>8730.0</v>
      </c>
      <c r="I90" s="8">
        <v>8604.0</v>
      </c>
      <c r="J90" s="8">
        <v>4655.0</v>
      </c>
      <c r="K90" s="9">
        <f t="shared" si="1"/>
        <v>0.5410274291</v>
      </c>
      <c r="L90" s="8">
        <v>2016.0</v>
      </c>
      <c r="M90" s="9">
        <f t="shared" si="2"/>
        <v>0.2343096234</v>
      </c>
      <c r="N90" s="8">
        <v>831.0</v>
      </c>
      <c r="O90" s="9">
        <f t="shared" si="3"/>
        <v>0.09658298466</v>
      </c>
      <c r="P90" s="10">
        <v>52330.19</v>
      </c>
      <c r="Q90" s="11">
        <f t="shared" si="4"/>
        <v>6.082076941</v>
      </c>
      <c r="R90" s="8">
        <v>12.0</v>
      </c>
      <c r="S90" s="9">
        <f t="shared" si="5"/>
        <v>0.001394700139</v>
      </c>
    </row>
    <row r="91" ht="15.75" customHeight="1">
      <c r="A91" s="4" t="s">
        <v>787</v>
      </c>
      <c r="B91" s="4" t="s">
        <v>788</v>
      </c>
      <c r="C91" s="4" t="s">
        <v>776</v>
      </c>
      <c r="D91" s="4">
        <v>2.0</v>
      </c>
      <c r="E91" s="4" t="s">
        <v>66</v>
      </c>
      <c r="F91" s="4" t="s">
        <v>773</v>
      </c>
      <c r="G91" s="12">
        <v>45931.0</v>
      </c>
      <c r="H91" s="8">
        <v>10551.0</v>
      </c>
      <c r="I91" s="8">
        <v>10506.0</v>
      </c>
      <c r="J91" s="8">
        <v>6046.0</v>
      </c>
      <c r="K91" s="9">
        <f t="shared" si="1"/>
        <v>0.5754806777</v>
      </c>
      <c r="L91" s="8">
        <v>2407.0</v>
      </c>
      <c r="M91" s="9">
        <f t="shared" si="2"/>
        <v>0.2291071769</v>
      </c>
      <c r="N91" s="8">
        <v>1190.0</v>
      </c>
      <c r="O91" s="9">
        <f t="shared" si="3"/>
        <v>0.1132686084</v>
      </c>
      <c r="P91" s="10">
        <v>60876.32</v>
      </c>
      <c r="Q91" s="11">
        <f t="shared" si="4"/>
        <v>5.794433657</v>
      </c>
      <c r="R91" s="8">
        <v>19.0</v>
      </c>
      <c r="S91" s="9">
        <f t="shared" si="5"/>
        <v>0.001808490386</v>
      </c>
    </row>
    <row r="92" ht="15.75" customHeight="1">
      <c r="A92" s="4" t="s">
        <v>787</v>
      </c>
      <c r="B92" s="4" t="s">
        <v>788</v>
      </c>
      <c r="C92" s="4" t="s">
        <v>776</v>
      </c>
      <c r="D92" s="4">
        <v>2.0</v>
      </c>
      <c r="E92" s="4" t="s">
        <v>66</v>
      </c>
      <c r="F92" s="4" t="s">
        <v>773</v>
      </c>
      <c r="G92" s="12">
        <v>45962.0</v>
      </c>
      <c r="H92" s="8">
        <v>13049.0</v>
      </c>
      <c r="I92" s="8">
        <v>12987.0</v>
      </c>
      <c r="J92" s="8">
        <v>6733.0</v>
      </c>
      <c r="K92" s="9">
        <f t="shared" si="1"/>
        <v>0.5184415184</v>
      </c>
      <c r="L92" s="8">
        <v>2957.0</v>
      </c>
      <c r="M92" s="9">
        <f t="shared" si="2"/>
        <v>0.2276892277</v>
      </c>
      <c r="N92" s="8">
        <v>1576.0</v>
      </c>
      <c r="O92" s="9">
        <f t="shared" si="3"/>
        <v>0.1213521214</v>
      </c>
      <c r="P92" s="10">
        <v>75059.23</v>
      </c>
      <c r="Q92" s="11">
        <f t="shared" si="4"/>
        <v>5.77956649</v>
      </c>
      <c r="R92" s="8">
        <v>22.0</v>
      </c>
      <c r="S92" s="9">
        <f t="shared" si="5"/>
        <v>0.001694001694</v>
      </c>
    </row>
    <row r="93" ht="15.75" customHeight="1">
      <c r="A93" s="4" t="s">
        <v>787</v>
      </c>
      <c r="B93" s="4" t="s">
        <v>788</v>
      </c>
      <c r="C93" s="4" t="s">
        <v>776</v>
      </c>
      <c r="D93" s="4">
        <v>2.0</v>
      </c>
      <c r="E93" s="4" t="s">
        <v>66</v>
      </c>
      <c r="F93" s="4" t="s">
        <v>773</v>
      </c>
      <c r="G93" s="12">
        <v>45992.0</v>
      </c>
      <c r="H93" s="8">
        <v>9279.0</v>
      </c>
      <c r="I93" s="8">
        <v>9165.0</v>
      </c>
      <c r="J93" s="8">
        <v>5340.0</v>
      </c>
      <c r="K93" s="9">
        <f t="shared" si="1"/>
        <v>0.5826513912</v>
      </c>
      <c r="L93" s="8">
        <v>1775.0</v>
      </c>
      <c r="M93" s="9">
        <f t="shared" si="2"/>
        <v>0.1936715767</v>
      </c>
      <c r="N93" s="8">
        <v>981.0</v>
      </c>
      <c r="O93" s="9">
        <f t="shared" si="3"/>
        <v>0.1070376432</v>
      </c>
      <c r="P93" s="10">
        <v>47788.48</v>
      </c>
      <c r="Q93" s="11">
        <f t="shared" si="4"/>
        <v>5.21423677</v>
      </c>
      <c r="R93" s="8">
        <v>5.0</v>
      </c>
      <c r="S93" s="9">
        <f t="shared" si="5"/>
        <v>0.000545553737</v>
      </c>
    </row>
    <row r="94" ht="15.75" customHeight="1">
      <c r="A94" s="4" t="s">
        <v>787</v>
      </c>
      <c r="B94" s="4" t="s">
        <v>788</v>
      </c>
      <c r="C94" s="4" t="s">
        <v>776</v>
      </c>
      <c r="D94" s="4">
        <v>2.0</v>
      </c>
      <c r="E94" s="4" t="s">
        <v>66</v>
      </c>
      <c r="F94" s="4" t="s">
        <v>773</v>
      </c>
      <c r="G94" s="12">
        <v>46023.0</v>
      </c>
      <c r="H94" s="8">
        <v>7565.0</v>
      </c>
      <c r="I94" s="8">
        <v>7507.0</v>
      </c>
      <c r="J94" s="8">
        <v>4821.0</v>
      </c>
      <c r="K94" s="9">
        <f t="shared" si="1"/>
        <v>0.6422006128</v>
      </c>
      <c r="L94" s="8">
        <v>1680.0</v>
      </c>
      <c r="M94" s="9">
        <f t="shared" si="2"/>
        <v>0.2237911283</v>
      </c>
      <c r="N94" s="8">
        <v>921.0</v>
      </c>
      <c r="O94" s="9">
        <f t="shared" si="3"/>
        <v>0.1226854935</v>
      </c>
      <c r="P94" s="10">
        <v>43530.81</v>
      </c>
      <c r="Q94" s="11">
        <f t="shared" si="4"/>
        <v>5.798695884</v>
      </c>
      <c r="R94" s="8">
        <v>12.0</v>
      </c>
      <c r="S94" s="9">
        <f t="shared" si="5"/>
        <v>0.001598508059</v>
      </c>
    </row>
    <row r="95" ht="15.75" customHeight="1">
      <c r="A95" s="4" t="s">
        <v>787</v>
      </c>
      <c r="B95" s="4" t="s">
        <v>788</v>
      </c>
      <c r="C95" s="4" t="s">
        <v>776</v>
      </c>
      <c r="D95" s="4">
        <v>2.0</v>
      </c>
      <c r="E95" s="4" t="s">
        <v>66</v>
      </c>
      <c r="F95" s="4" t="s">
        <v>773</v>
      </c>
      <c r="G95" s="12">
        <v>46054.0</v>
      </c>
      <c r="H95" s="8">
        <v>9564.0</v>
      </c>
      <c r="I95" s="8">
        <v>9504.0</v>
      </c>
      <c r="J95" s="8">
        <v>5780.0</v>
      </c>
      <c r="K95" s="9">
        <f t="shared" si="1"/>
        <v>0.6081649832</v>
      </c>
      <c r="L95" s="8">
        <v>2045.0</v>
      </c>
      <c r="M95" s="9">
        <f t="shared" si="2"/>
        <v>0.2151725589</v>
      </c>
      <c r="N95" s="8">
        <v>959.0</v>
      </c>
      <c r="O95" s="9">
        <f t="shared" si="3"/>
        <v>0.1009048822</v>
      </c>
      <c r="P95" s="10">
        <v>55824.48</v>
      </c>
      <c r="Q95" s="11">
        <f t="shared" si="4"/>
        <v>5.873787879</v>
      </c>
      <c r="R95" s="8">
        <v>11.0</v>
      </c>
      <c r="S95" s="9">
        <f t="shared" si="5"/>
        <v>0.001157407407</v>
      </c>
    </row>
    <row r="96" ht="15.75" customHeight="1">
      <c r="A96" s="4" t="s">
        <v>787</v>
      </c>
      <c r="B96" s="4" t="s">
        <v>788</v>
      </c>
      <c r="C96" s="4" t="s">
        <v>776</v>
      </c>
      <c r="D96" s="4">
        <v>2.0</v>
      </c>
      <c r="E96" s="4" t="s">
        <v>66</v>
      </c>
      <c r="F96" s="4" t="s">
        <v>773</v>
      </c>
      <c r="G96" s="12">
        <v>46082.0</v>
      </c>
      <c r="H96" s="8">
        <v>8937.0</v>
      </c>
      <c r="I96" s="8">
        <v>8879.0</v>
      </c>
      <c r="J96" s="8">
        <v>5191.0</v>
      </c>
      <c r="K96" s="9">
        <f t="shared" si="1"/>
        <v>0.5846379097</v>
      </c>
      <c r="L96" s="8">
        <v>2011.0</v>
      </c>
      <c r="M96" s="9">
        <f t="shared" si="2"/>
        <v>0.2264894695</v>
      </c>
      <c r="N96" s="8">
        <v>1250.0</v>
      </c>
      <c r="O96" s="9">
        <f t="shared" si="3"/>
        <v>0.1407816196</v>
      </c>
      <c r="P96" s="10">
        <v>53735.94</v>
      </c>
      <c r="Q96" s="11">
        <f t="shared" si="4"/>
        <v>6.052026129</v>
      </c>
      <c r="R96" s="8">
        <v>10.0</v>
      </c>
      <c r="S96" s="9">
        <f t="shared" si="5"/>
        <v>0.001126252956</v>
      </c>
    </row>
    <row r="97" ht="15.75" customHeight="1">
      <c r="A97" s="4" t="s">
        <v>787</v>
      </c>
      <c r="B97" s="4" t="s">
        <v>788</v>
      </c>
      <c r="C97" s="4" t="s">
        <v>776</v>
      </c>
      <c r="D97" s="4">
        <v>2.0</v>
      </c>
      <c r="E97" s="4" t="s">
        <v>66</v>
      </c>
      <c r="F97" s="4" t="s">
        <v>773</v>
      </c>
      <c r="G97" s="12">
        <v>46113.0</v>
      </c>
      <c r="H97" s="8">
        <v>9766.0</v>
      </c>
      <c r="I97" s="8">
        <v>9726.0</v>
      </c>
      <c r="J97" s="8">
        <v>5522.0</v>
      </c>
      <c r="K97" s="9">
        <f t="shared" si="1"/>
        <v>0.5677565289</v>
      </c>
      <c r="L97" s="8">
        <v>2225.0</v>
      </c>
      <c r="M97" s="9">
        <f t="shared" si="2"/>
        <v>0.2287682501</v>
      </c>
      <c r="N97" s="8">
        <v>1319.0</v>
      </c>
      <c r="O97" s="9">
        <f t="shared" si="3"/>
        <v>0.135615875</v>
      </c>
      <c r="P97" s="10">
        <v>49738.67</v>
      </c>
      <c r="Q97" s="11">
        <f t="shared" si="4"/>
        <v>5.113990335</v>
      </c>
      <c r="R97" s="8">
        <v>6.0</v>
      </c>
      <c r="S97" s="9">
        <f t="shared" si="5"/>
        <v>0.0006169031462</v>
      </c>
    </row>
    <row r="98" ht="15.75" customHeight="1">
      <c r="A98" s="4" t="s">
        <v>789</v>
      </c>
      <c r="B98" s="4" t="s">
        <v>790</v>
      </c>
      <c r="C98" s="4" t="s">
        <v>776</v>
      </c>
      <c r="D98" s="4">
        <v>4.0</v>
      </c>
      <c r="E98" s="4" t="s">
        <v>66</v>
      </c>
      <c r="F98" s="4" t="s">
        <v>773</v>
      </c>
      <c r="G98" s="12">
        <v>45778.0</v>
      </c>
      <c r="H98" s="8">
        <v>32640.0</v>
      </c>
      <c r="I98" s="8">
        <v>32309.0</v>
      </c>
      <c r="J98" s="8">
        <v>17003.0</v>
      </c>
      <c r="K98" s="9">
        <f t="shared" si="1"/>
        <v>0.5262620323</v>
      </c>
      <c r="L98" s="8">
        <v>3814.0</v>
      </c>
      <c r="M98" s="9">
        <f t="shared" si="2"/>
        <v>0.1180476028</v>
      </c>
      <c r="N98" s="8">
        <v>1067.0</v>
      </c>
      <c r="O98" s="9">
        <f t="shared" si="3"/>
        <v>0.03302485376</v>
      </c>
      <c r="P98" s="10">
        <v>58918.17</v>
      </c>
      <c r="Q98" s="11">
        <f t="shared" si="4"/>
        <v>1.823583831</v>
      </c>
      <c r="R98" s="8">
        <v>62.0</v>
      </c>
      <c r="S98" s="9">
        <f t="shared" si="5"/>
        <v>0.001918969946</v>
      </c>
    </row>
    <row r="99" ht="15.75" customHeight="1">
      <c r="A99" s="4" t="s">
        <v>789</v>
      </c>
      <c r="B99" s="4" t="s">
        <v>790</v>
      </c>
      <c r="C99" s="4" t="s">
        <v>776</v>
      </c>
      <c r="D99" s="4">
        <v>4.0</v>
      </c>
      <c r="E99" s="4" t="s">
        <v>66</v>
      </c>
      <c r="F99" s="4" t="s">
        <v>773</v>
      </c>
      <c r="G99" s="12">
        <v>45809.0</v>
      </c>
      <c r="H99" s="8">
        <v>22611.0</v>
      </c>
      <c r="I99" s="8">
        <v>22282.0</v>
      </c>
      <c r="J99" s="8">
        <v>10987.0</v>
      </c>
      <c r="K99" s="9">
        <f t="shared" si="1"/>
        <v>0.4930885917</v>
      </c>
      <c r="L99" s="8">
        <v>2095.0</v>
      </c>
      <c r="M99" s="9">
        <f t="shared" si="2"/>
        <v>0.0940220806</v>
      </c>
      <c r="N99" s="8">
        <v>666.0</v>
      </c>
      <c r="O99" s="9">
        <f t="shared" si="3"/>
        <v>0.02988959698</v>
      </c>
      <c r="P99" s="10">
        <v>46048.65</v>
      </c>
      <c r="Q99" s="11">
        <f t="shared" si="4"/>
        <v>2.066630015</v>
      </c>
      <c r="R99" s="8">
        <v>6.0</v>
      </c>
      <c r="S99" s="9">
        <f t="shared" si="5"/>
        <v>0.0002692756485</v>
      </c>
    </row>
    <row r="100" ht="15.75" customHeight="1">
      <c r="A100" s="4" t="s">
        <v>789</v>
      </c>
      <c r="B100" s="4" t="s">
        <v>790</v>
      </c>
      <c r="C100" s="4" t="s">
        <v>776</v>
      </c>
      <c r="D100" s="4">
        <v>4.0</v>
      </c>
      <c r="E100" s="4" t="s">
        <v>66</v>
      </c>
      <c r="F100" s="4" t="s">
        <v>773</v>
      </c>
      <c r="G100" s="12">
        <v>45839.0</v>
      </c>
      <c r="H100" s="8">
        <v>28862.0</v>
      </c>
      <c r="I100" s="8">
        <v>28509.0</v>
      </c>
      <c r="J100" s="8">
        <v>14166.0</v>
      </c>
      <c r="K100" s="9">
        <f t="shared" si="1"/>
        <v>0.4968957171</v>
      </c>
      <c r="L100" s="8">
        <v>3391.0</v>
      </c>
      <c r="M100" s="9">
        <f t="shared" si="2"/>
        <v>0.1189448946</v>
      </c>
      <c r="N100" s="8">
        <v>1174.0</v>
      </c>
      <c r="O100" s="9">
        <f t="shared" si="3"/>
        <v>0.04117997825</v>
      </c>
      <c r="P100" s="10">
        <v>57841.83</v>
      </c>
      <c r="Q100" s="11">
        <f t="shared" si="4"/>
        <v>2.02889719</v>
      </c>
      <c r="R100" s="8">
        <v>53.0</v>
      </c>
      <c r="S100" s="9">
        <f t="shared" si="5"/>
        <v>0.001859062051</v>
      </c>
    </row>
    <row r="101" ht="15.75" customHeight="1">
      <c r="A101" s="4" t="s">
        <v>789</v>
      </c>
      <c r="B101" s="4" t="s">
        <v>790</v>
      </c>
      <c r="C101" s="4" t="s">
        <v>776</v>
      </c>
      <c r="D101" s="4">
        <v>4.0</v>
      </c>
      <c r="E101" s="4" t="s">
        <v>66</v>
      </c>
      <c r="F101" s="4" t="s">
        <v>773</v>
      </c>
      <c r="G101" s="12">
        <v>45870.0</v>
      </c>
      <c r="H101" s="8">
        <v>26689.0</v>
      </c>
      <c r="I101" s="8">
        <v>26486.0</v>
      </c>
      <c r="J101" s="8">
        <v>14009.0</v>
      </c>
      <c r="K101" s="9">
        <f t="shared" si="1"/>
        <v>0.5289209394</v>
      </c>
      <c r="L101" s="8">
        <v>2558.0</v>
      </c>
      <c r="M101" s="9">
        <f t="shared" si="2"/>
        <v>0.09657932493</v>
      </c>
      <c r="N101" s="8">
        <v>912.0</v>
      </c>
      <c r="O101" s="9">
        <f t="shared" si="3"/>
        <v>0.03443328551</v>
      </c>
      <c r="P101" s="10">
        <v>43943.97</v>
      </c>
      <c r="Q101" s="11">
        <f t="shared" si="4"/>
        <v>1.659139545</v>
      </c>
      <c r="R101" s="8">
        <v>19.0</v>
      </c>
      <c r="S101" s="9">
        <f t="shared" si="5"/>
        <v>0.0007173601148</v>
      </c>
    </row>
    <row r="102" ht="15.75" customHeight="1">
      <c r="A102" s="4" t="s">
        <v>789</v>
      </c>
      <c r="B102" s="4" t="s">
        <v>790</v>
      </c>
      <c r="C102" s="4" t="s">
        <v>776</v>
      </c>
      <c r="D102" s="4">
        <v>4.0</v>
      </c>
      <c r="E102" s="4" t="s">
        <v>66</v>
      </c>
      <c r="F102" s="4" t="s">
        <v>773</v>
      </c>
      <c r="G102" s="12">
        <v>45901.0</v>
      </c>
      <c r="H102" s="8">
        <v>31272.0</v>
      </c>
      <c r="I102" s="8">
        <v>30904.0</v>
      </c>
      <c r="J102" s="8">
        <v>15129.0</v>
      </c>
      <c r="K102" s="9">
        <f t="shared" si="1"/>
        <v>0.4895482785</v>
      </c>
      <c r="L102" s="8">
        <v>3195.0</v>
      </c>
      <c r="M102" s="9">
        <f t="shared" si="2"/>
        <v>0.1033846751</v>
      </c>
      <c r="N102" s="8">
        <v>1112.0</v>
      </c>
      <c r="O102" s="9">
        <f t="shared" si="3"/>
        <v>0.0359823971</v>
      </c>
      <c r="P102" s="10">
        <v>58356.98</v>
      </c>
      <c r="Q102" s="11">
        <f t="shared" si="4"/>
        <v>1.88833096</v>
      </c>
      <c r="R102" s="8">
        <v>20.0</v>
      </c>
      <c r="S102" s="9">
        <f t="shared" si="5"/>
        <v>0.0006471654155</v>
      </c>
    </row>
    <row r="103" ht="15.75" customHeight="1">
      <c r="A103" s="4" t="s">
        <v>789</v>
      </c>
      <c r="B103" s="4" t="s">
        <v>790</v>
      </c>
      <c r="C103" s="4" t="s">
        <v>776</v>
      </c>
      <c r="D103" s="4">
        <v>4.0</v>
      </c>
      <c r="E103" s="4" t="s">
        <v>66</v>
      </c>
      <c r="F103" s="4" t="s">
        <v>773</v>
      </c>
      <c r="G103" s="12">
        <v>45931.0</v>
      </c>
      <c r="H103" s="8">
        <v>26893.0</v>
      </c>
      <c r="I103" s="8">
        <v>26603.0</v>
      </c>
      <c r="J103" s="8">
        <v>13775.0</v>
      </c>
      <c r="K103" s="9">
        <f t="shared" si="1"/>
        <v>0.5177987445</v>
      </c>
      <c r="L103" s="8">
        <v>2916.0</v>
      </c>
      <c r="M103" s="9">
        <f t="shared" si="2"/>
        <v>0.1096116979</v>
      </c>
      <c r="N103" s="8">
        <v>1079.0</v>
      </c>
      <c r="O103" s="9">
        <f t="shared" si="3"/>
        <v>0.04055933541</v>
      </c>
      <c r="P103" s="10">
        <v>52210.53</v>
      </c>
      <c r="Q103" s="11">
        <f t="shared" si="4"/>
        <v>1.962580536</v>
      </c>
      <c r="R103" s="8">
        <v>45.0</v>
      </c>
      <c r="S103" s="9">
        <f t="shared" si="5"/>
        <v>0.001691538548</v>
      </c>
    </row>
    <row r="104" ht="15.75" customHeight="1">
      <c r="A104" s="4" t="s">
        <v>789</v>
      </c>
      <c r="B104" s="4" t="s">
        <v>790</v>
      </c>
      <c r="C104" s="4" t="s">
        <v>776</v>
      </c>
      <c r="D104" s="4">
        <v>4.0</v>
      </c>
      <c r="E104" s="4" t="s">
        <v>66</v>
      </c>
      <c r="F104" s="4" t="s">
        <v>773</v>
      </c>
      <c r="G104" s="12">
        <v>45962.0</v>
      </c>
      <c r="H104" s="8">
        <v>34441.0</v>
      </c>
      <c r="I104" s="8">
        <v>34211.0</v>
      </c>
      <c r="J104" s="8">
        <v>15814.0</v>
      </c>
      <c r="K104" s="9">
        <f t="shared" si="1"/>
        <v>0.4622489842</v>
      </c>
      <c r="L104" s="8">
        <v>4111.0</v>
      </c>
      <c r="M104" s="9">
        <f t="shared" si="2"/>
        <v>0.1201660285</v>
      </c>
      <c r="N104" s="8">
        <v>1140.0</v>
      </c>
      <c r="O104" s="9">
        <f t="shared" si="3"/>
        <v>0.03332261553</v>
      </c>
      <c r="P104" s="10">
        <v>68609.05</v>
      </c>
      <c r="Q104" s="11">
        <f t="shared" si="4"/>
        <v>2.00546754</v>
      </c>
      <c r="R104" s="8">
        <v>63.0</v>
      </c>
      <c r="S104" s="9">
        <f t="shared" si="5"/>
        <v>0.001841512964</v>
      </c>
    </row>
    <row r="105" ht="15.75" customHeight="1">
      <c r="A105" s="4" t="s">
        <v>789</v>
      </c>
      <c r="B105" s="4" t="s">
        <v>790</v>
      </c>
      <c r="C105" s="4" t="s">
        <v>776</v>
      </c>
      <c r="D105" s="4">
        <v>4.0</v>
      </c>
      <c r="E105" s="4" t="s">
        <v>66</v>
      </c>
      <c r="F105" s="4" t="s">
        <v>773</v>
      </c>
      <c r="G105" s="12">
        <v>45992.0</v>
      </c>
      <c r="H105" s="8">
        <v>33261.0</v>
      </c>
      <c r="I105" s="8">
        <v>33142.0</v>
      </c>
      <c r="J105" s="8">
        <v>16962.0</v>
      </c>
      <c r="K105" s="9">
        <f t="shared" si="1"/>
        <v>0.5117977189</v>
      </c>
      <c r="L105" s="8">
        <v>4116.0</v>
      </c>
      <c r="M105" s="9">
        <f t="shared" si="2"/>
        <v>0.1241928671</v>
      </c>
      <c r="N105" s="8">
        <v>983.0</v>
      </c>
      <c r="O105" s="9">
        <f t="shared" si="3"/>
        <v>0.02966024983</v>
      </c>
      <c r="P105" s="10">
        <v>66286.2</v>
      </c>
      <c r="Q105" s="11">
        <f t="shared" si="4"/>
        <v>2.000066381</v>
      </c>
      <c r="R105" s="8">
        <v>52.0</v>
      </c>
      <c r="S105" s="9">
        <f t="shared" si="5"/>
        <v>0.001569006095</v>
      </c>
    </row>
    <row r="106" ht="15.75" customHeight="1">
      <c r="A106" s="4" t="s">
        <v>789</v>
      </c>
      <c r="B106" s="4" t="s">
        <v>790</v>
      </c>
      <c r="C106" s="4" t="s">
        <v>776</v>
      </c>
      <c r="D106" s="4">
        <v>4.0</v>
      </c>
      <c r="E106" s="4" t="s">
        <v>66</v>
      </c>
      <c r="F106" s="4" t="s">
        <v>773</v>
      </c>
      <c r="G106" s="12">
        <v>46023.0</v>
      </c>
      <c r="H106" s="8">
        <v>26295.0</v>
      </c>
      <c r="I106" s="8">
        <v>26218.0</v>
      </c>
      <c r="J106" s="8">
        <v>14071.0</v>
      </c>
      <c r="K106" s="9">
        <f t="shared" si="1"/>
        <v>0.5366923488</v>
      </c>
      <c r="L106" s="8">
        <v>2998.0</v>
      </c>
      <c r="M106" s="9">
        <f t="shared" si="2"/>
        <v>0.1143489206</v>
      </c>
      <c r="N106" s="8">
        <v>753.0</v>
      </c>
      <c r="O106" s="9">
        <f t="shared" si="3"/>
        <v>0.02872072622</v>
      </c>
      <c r="P106" s="10">
        <v>48858.1</v>
      </c>
      <c r="Q106" s="11">
        <f t="shared" si="4"/>
        <v>1.863532687</v>
      </c>
      <c r="R106" s="8">
        <v>22.0</v>
      </c>
      <c r="S106" s="9">
        <f t="shared" si="5"/>
        <v>0.0008391181631</v>
      </c>
    </row>
    <row r="107" ht="15.75" customHeight="1">
      <c r="A107" s="4" t="s">
        <v>789</v>
      </c>
      <c r="B107" s="4" t="s">
        <v>790</v>
      </c>
      <c r="C107" s="4" t="s">
        <v>776</v>
      </c>
      <c r="D107" s="4">
        <v>4.0</v>
      </c>
      <c r="E107" s="4" t="s">
        <v>66</v>
      </c>
      <c r="F107" s="4" t="s">
        <v>773</v>
      </c>
      <c r="G107" s="12">
        <v>46054.0</v>
      </c>
      <c r="H107" s="8">
        <v>31399.0</v>
      </c>
      <c r="I107" s="8">
        <v>31061.0</v>
      </c>
      <c r="J107" s="8">
        <v>16918.0</v>
      </c>
      <c r="K107" s="9">
        <f t="shared" si="1"/>
        <v>0.5446701652</v>
      </c>
      <c r="L107" s="8">
        <v>3061.0</v>
      </c>
      <c r="M107" s="9">
        <f t="shared" si="2"/>
        <v>0.09854801842</v>
      </c>
      <c r="N107" s="8">
        <v>1162.0</v>
      </c>
      <c r="O107" s="9">
        <f t="shared" si="3"/>
        <v>0.03741025724</v>
      </c>
      <c r="P107" s="10">
        <v>66036.89</v>
      </c>
      <c r="Q107" s="11">
        <f t="shared" si="4"/>
        <v>2.126038762</v>
      </c>
      <c r="R107" s="8">
        <v>60.0</v>
      </c>
      <c r="S107" s="9">
        <f t="shared" si="5"/>
        <v>0.001931682818</v>
      </c>
    </row>
    <row r="108" ht="15.75" customHeight="1">
      <c r="A108" s="4" t="s">
        <v>789</v>
      </c>
      <c r="B108" s="4" t="s">
        <v>790</v>
      </c>
      <c r="C108" s="4" t="s">
        <v>776</v>
      </c>
      <c r="D108" s="4">
        <v>4.0</v>
      </c>
      <c r="E108" s="4" t="s">
        <v>66</v>
      </c>
      <c r="F108" s="4" t="s">
        <v>773</v>
      </c>
      <c r="G108" s="12">
        <v>46082.0</v>
      </c>
      <c r="H108" s="8">
        <v>31630.0</v>
      </c>
      <c r="I108" s="8">
        <v>31392.0</v>
      </c>
      <c r="J108" s="8">
        <v>14717.0</v>
      </c>
      <c r="K108" s="9">
        <f t="shared" si="1"/>
        <v>0.4688137105</v>
      </c>
      <c r="L108" s="8">
        <v>3382.0</v>
      </c>
      <c r="M108" s="9">
        <f t="shared" si="2"/>
        <v>0.1077344546</v>
      </c>
      <c r="N108" s="8">
        <v>1224.0</v>
      </c>
      <c r="O108" s="9">
        <f t="shared" si="3"/>
        <v>0.03899082569</v>
      </c>
      <c r="P108" s="10">
        <v>51942.67</v>
      </c>
      <c r="Q108" s="11">
        <f t="shared" si="4"/>
        <v>1.654646725</v>
      </c>
      <c r="R108" s="8">
        <v>27.0</v>
      </c>
      <c r="S108" s="9">
        <f t="shared" si="5"/>
        <v>0.0008600917431</v>
      </c>
    </row>
    <row r="109" ht="15.75" customHeight="1">
      <c r="A109" s="4" t="s">
        <v>789</v>
      </c>
      <c r="B109" s="4" t="s">
        <v>790</v>
      </c>
      <c r="C109" s="4" t="s">
        <v>776</v>
      </c>
      <c r="D109" s="4">
        <v>4.0</v>
      </c>
      <c r="E109" s="4" t="s">
        <v>66</v>
      </c>
      <c r="F109" s="4" t="s">
        <v>773</v>
      </c>
      <c r="G109" s="12">
        <v>46113.0</v>
      </c>
      <c r="H109" s="8">
        <v>27797.0</v>
      </c>
      <c r="I109" s="8">
        <v>27649.0</v>
      </c>
      <c r="J109" s="8">
        <v>14543.0</v>
      </c>
      <c r="K109" s="9">
        <f t="shared" si="1"/>
        <v>0.5259864733</v>
      </c>
      <c r="L109" s="8">
        <v>2824.0</v>
      </c>
      <c r="M109" s="9">
        <f t="shared" si="2"/>
        <v>0.1021375095</v>
      </c>
      <c r="N109" s="8">
        <v>928.0</v>
      </c>
      <c r="O109" s="9">
        <f t="shared" si="3"/>
        <v>0.03356360085</v>
      </c>
      <c r="P109" s="10">
        <v>50145.4</v>
      </c>
      <c r="Q109" s="11">
        <f t="shared" si="4"/>
        <v>1.813642446</v>
      </c>
      <c r="R109" s="8">
        <v>41.0</v>
      </c>
      <c r="S109" s="9">
        <f t="shared" si="5"/>
        <v>0.001482874607</v>
      </c>
    </row>
    <row r="110" ht="15.75" customHeight="1">
      <c r="A110" s="4" t="s">
        <v>791</v>
      </c>
      <c r="B110" s="4" t="s">
        <v>792</v>
      </c>
      <c r="C110" s="4" t="s">
        <v>776</v>
      </c>
      <c r="D110" s="4">
        <v>3.0</v>
      </c>
      <c r="E110" s="4" t="s">
        <v>66</v>
      </c>
      <c r="F110" s="4" t="s">
        <v>773</v>
      </c>
      <c r="G110" s="12">
        <v>45778.0</v>
      </c>
      <c r="H110" s="8">
        <v>17365.0</v>
      </c>
      <c r="I110" s="8">
        <v>17213.0</v>
      </c>
      <c r="J110" s="8">
        <v>8142.0</v>
      </c>
      <c r="K110" s="9">
        <f t="shared" si="1"/>
        <v>0.473014582</v>
      </c>
      <c r="L110" s="8">
        <v>1500.0</v>
      </c>
      <c r="M110" s="9">
        <f t="shared" si="2"/>
        <v>0.0871434381</v>
      </c>
      <c r="N110" s="8">
        <v>318.0</v>
      </c>
      <c r="O110" s="9">
        <f t="shared" si="3"/>
        <v>0.01847440888</v>
      </c>
      <c r="P110" s="10">
        <v>19281.75</v>
      </c>
      <c r="Q110" s="11">
        <f t="shared" si="4"/>
        <v>1.120185325</v>
      </c>
      <c r="R110" s="8">
        <v>34.0</v>
      </c>
      <c r="S110" s="9">
        <f t="shared" si="5"/>
        <v>0.001975251264</v>
      </c>
    </row>
    <row r="111" ht="15.75" customHeight="1">
      <c r="A111" s="4" t="s">
        <v>791</v>
      </c>
      <c r="B111" s="4" t="s">
        <v>792</v>
      </c>
      <c r="C111" s="4" t="s">
        <v>776</v>
      </c>
      <c r="D111" s="4">
        <v>3.0</v>
      </c>
      <c r="E111" s="4" t="s">
        <v>66</v>
      </c>
      <c r="F111" s="4" t="s">
        <v>773</v>
      </c>
      <c r="G111" s="12">
        <v>45809.0</v>
      </c>
      <c r="H111" s="8">
        <v>13396.0</v>
      </c>
      <c r="I111" s="8">
        <v>13237.0</v>
      </c>
      <c r="J111" s="8">
        <v>6372.0</v>
      </c>
      <c r="K111" s="9">
        <f t="shared" si="1"/>
        <v>0.4813779557</v>
      </c>
      <c r="L111" s="8">
        <v>1166.0</v>
      </c>
      <c r="M111" s="9">
        <f t="shared" si="2"/>
        <v>0.08808642442</v>
      </c>
      <c r="N111" s="8">
        <v>255.0</v>
      </c>
      <c r="O111" s="9">
        <f t="shared" si="3"/>
        <v>0.01926418373</v>
      </c>
      <c r="P111" s="10">
        <v>14892.76</v>
      </c>
      <c r="Q111" s="11">
        <f t="shared" si="4"/>
        <v>1.125085745</v>
      </c>
      <c r="R111" s="8">
        <v>6.0</v>
      </c>
      <c r="S111" s="9">
        <f t="shared" si="5"/>
        <v>0.0004532749112</v>
      </c>
    </row>
    <row r="112" ht="15.75" customHeight="1">
      <c r="A112" s="4" t="s">
        <v>791</v>
      </c>
      <c r="B112" s="4" t="s">
        <v>792</v>
      </c>
      <c r="C112" s="4" t="s">
        <v>776</v>
      </c>
      <c r="D112" s="4">
        <v>3.0</v>
      </c>
      <c r="E112" s="4" t="s">
        <v>66</v>
      </c>
      <c r="F112" s="4" t="s">
        <v>773</v>
      </c>
      <c r="G112" s="12">
        <v>45839.0</v>
      </c>
      <c r="H112" s="8">
        <v>12273.0</v>
      </c>
      <c r="I112" s="8">
        <v>12147.0</v>
      </c>
      <c r="J112" s="8">
        <v>5734.0</v>
      </c>
      <c r="K112" s="9">
        <f t="shared" si="1"/>
        <v>0.4720507121</v>
      </c>
      <c r="L112" s="8">
        <v>1042.0</v>
      </c>
      <c r="M112" s="9">
        <f t="shared" si="2"/>
        <v>0.08578249774</v>
      </c>
      <c r="N112" s="8">
        <v>232.0</v>
      </c>
      <c r="O112" s="9">
        <f t="shared" si="3"/>
        <v>0.0190993661</v>
      </c>
      <c r="P112" s="10">
        <v>14442.72</v>
      </c>
      <c r="Q112" s="11">
        <f t="shared" si="4"/>
        <v>1.188994814</v>
      </c>
      <c r="R112" s="8">
        <v>7.0</v>
      </c>
      <c r="S112" s="9">
        <f t="shared" si="5"/>
        <v>0.0005762739771</v>
      </c>
    </row>
    <row r="113" ht="15.75" customHeight="1">
      <c r="A113" s="4" t="s">
        <v>791</v>
      </c>
      <c r="B113" s="4" t="s">
        <v>792</v>
      </c>
      <c r="C113" s="4" t="s">
        <v>776</v>
      </c>
      <c r="D113" s="4">
        <v>3.0</v>
      </c>
      <c r="E113" s="4" t="s">
        <v>66</v>
      </c>
      <c r="F113" s="4" t="s">
        <v>773</v>
      </c>
      <c r="G113" s="12">
        <v>45870.0</v>
      </c>
      <c r="H113" s="8">
        <v>12700.0</v>
      </c>
      <c r="I113" s="8">
        <v>12645.0</v>
      </c>
      <c r="J113" s="8">
        <v>6917.0</v>
      </c>
      <c r="K113" s="9">
        <f t="shared" si="1"/>
        <v>0.5470146303</v>
      </c>
      <c r="L113" s="8">
        <v>1180.0</v>
      </c>
      <c r="M113" s="9">
        <f t="shared" si="2"/>
        <v>0.09331751681</v>
      </c>
      <c r="N113" s="8">
        <v>222.0</v>
      </c>
      <c r="O113" s="9">
        <f t="shared" si="3"/>
        <v>0.01755634638</v>
      </c>
      <c r="P113" s="10">
        <v>15679.68</v>
      </c>
      <c r="Q113" s="11">
        <f t="shared" si="4"/>
        <v>1.23999051</v>
      </c>
      <c r="R113" s="8">
        <v>8.0</v>
      </c>
      <c r="S113" s="9">
        <f t="shared" si="5"/>
        <v>0.0006326611309</v>
      </c>
    </row>
    <row r="114" ht="15.75" customHeight="1">
      <c r="A114" s="4" t="s">
        <v>791</v>
      </c>
      <c r="B114" s="4" t="s">
        <v>792</v>
      </c>
      <c r="C114" s="4" t="s">
        <v>776</v>
      </c>
      <c r="D114" s="4">
        <v>3.0</v>
      </c>
      <c r="E114" s="4" t="s">
        <v>66</v>
      </c>
      <c r="F114" s="4" t="s">
        <v>773</v>
      </c>
      <c r="G114" s="12">
        <v>45901.0</v>
      </c>
      <c r="H114" s="8">
        <v>14778.0</v>
      </c>
      <c r="I114" s="8">
        <v>14586.0</v>
      </c>
      <c r="J114" s="8">
        <v>7846.0</v>
      </c>
      <c r="K114" s="9">
        <f t="shared" si="1"/>
        <v>0.5379130673</v>
      </c>
      <c r="L114" s="8">
        <v>1149.0</v>
      </c>
      <c r="M114" s="9">
        <f t="shared" si="2"/>
        <v>0.07877416701</v>
      </c>
      <c r="N114" s="8">
        <v>287.0</v>
      </c>
      <c r="O114" s="9">
        <f t="shared" si="3"/>
        <v>0.01967640203</v>
      </c>
      <c r="P114" s="10">
        <v>14807.79</v>
      </c>
      <c r="Q114" s="11">
        <f t="shared" si="4"/>
        <v>1.015205677</v>
      </c>
      <c r="R114" s="8">
        <v>19.0</v>
      </c>
      <c r="S114" s="9">
        <f t="shared" si="5"/>
        <v>0.00130261895</v>
      </c>
    </row>
    <row r="115" ht="15.75" customHeight="1">
      <c r="A115" s="4" t="s">
        <v>791</v>
      </c>
      <c r="B115" s="4" t="s">
        <v>792</v>
      </c>
      <c r="C115" s="4" t="s">
        <v>776</v>
      </c>
      <c r="D115" s="4">
        <v>3.0</v>
      </c>
      <c r="E115" s="4" t="s">
        <v>66</v>
      </c>
      <c r="F115" s="4" t="s">
        <v>773</v>
      </c>
      <c r="G115" s="12">
        <v>45931.0</v>
      </c>
      <c r="H115" s="8">
        <v>13772.0</v>
      </c>
      <c r="I115" s="8">
        <v>13714.0</v>
      </c>
      <c r="J115" s="8">
        <v>6637.0</v>
      </c>
      <c r="K115" s="9">
        <f t="shared" si="1"/>
        <v>0.4839579991</v>
      </c>
      <c r="L115" s="8">
        <v>1176.0</v>
      </c>
      <c r="M115" s="9">
        <f t="shared" si="2"/>
        <v>0.0857517865</v>
      </c>
      <c r="N115" s="8">
        <v>276.0</v>
      </c>
      <c r="O115" s="9">
        <f t="shared" si="3"/>
        <v>0.02012541928</v>
      </c>
      <c r="P115" s="10">
        <v>14203.44</v>
      </c>
      <c r="Q115" s="11">
        <f t="shared" si="4"/>
        <v>1.035689077</v>
      </c>
      <c r="R115" s="8">
        <v>15.0</v>
      </c>
      <c r="S115" s="9">
        <f t="shared" si="5"/>
        <v>0.001093772787</v>
      </c>
    </row>
    <row r="116" ht="15.75" customHeight="1">
      <c r="A116" s="4" t="s">
        <v>791</v>
      </c>
      <c r="B116" s="4" t="s">
        <v>792</v>
      </c>
      <c r="C116" s="4" t="s">
        <v>776</v>
      </c>
      <c r="D116" s="4">
        <v>3.0</v>
      </c>
      <c r="E116" s="4" t="s">
        <v>66</v>
      </c>
      <c r="F116" s="4" t="s">
        <v>773</v>
      </c>
      <c r="G116" s="12">
        <v>45962.0</v>
      </c>
      <c r="H116" s="8">
        <v>18611.0</v>
      </c>
      <c r="I116" s="8">
        <v>18510.0</v>
      </c>
      <c r="J116" s="8">
        <v>8787.0</v>
      </c>
      <c r="K116" s="9">
        <f t="shared" si="1"/>
        <v>0.4747163695</v>
      </c>
      <c r="L116" s="8">
        <v>1689.0</v>
      </c>
      <c r="M116" s="9">
        <f t="shared" si="2"/>
        <v>0.09124797407</v>
      </c>
      <c r="N116" s="8">
        <v>366.0</v>
      </c>
      <c r="O116" s="9">
        <f t="shared" si="3"/>
        <v>0.01977309562</v>
      </c>
      <c r="P116" s="10">
        <v>20659.09</v>
      </c>
      <c r="Q116" s="11">
        <f t="shared" si="4"/>
        <v>1.116104268</v>
      </c>
      <c r="R116" s="8">
        <v>25.0</v>
      </c>
      <c r="S116" s="9">
        <f t="shared" si="5"/>
        <v>0.001350621286</v>
      </c>
    </row>
    <row r="117" ht="15.75" customHeight="1">
      <c r="A117" s="4" t="s">
        <v>791</v>
      </c>
      <c r="B117" s="4" t="s">
        <v>792</v>
      </c>
      <c r="C117" s="4" t="s">
        <v>776</v>
      </c>
      <c r="D117" s="4">
        <v>3.0</v>
      </c>
      <c r="E117" s="4" t="s">
        <v>66</v>
      </c>
      <c r="F117" s="4" t="s">
        <v>773</v>
      </c>
      <c r="G117" s="12">
        <v>45992.0</v>
      </c>
      <c r="H117" s="8">
        <v>20084.0</v>
      </c>
      <c r="I117" s="8">
        <v>19964.0</v>
      </c>
      <c r="J117" s="8">
        <v>10592.0</v>
      </c>
      <c r="K117" s="9">
        <f t="shared" si="1"/>
        <v>0.530554999</v>
      </c>
      <c r="L117" s="8">
        <v>1730.0</v>
      </c>
      <c r="M117" s="9">
        <f t="shared" si="2"/>
        <v>0.08665598077</v>
      </c>
      <c r="N117" s="8">
        <v>417.0</v>
      </c>
      <c r="O117" s="9">
        <f t="shared" si="3"/>
        <v>0.02088759768</v>
      </c>
      <c r="P117" s="10">
        <v>22136.96</v>
      </c>
      <c r="Q117" s="11">
        <f t="shared" si="4"/>
        <v>1.108843919</v>
      </c>
      <c r="R117" s="8">
        <v>14.0</v>
      </c>
      <c r="S117" s="9">
        <f t="shared" si="5"/>
        <v>0.0007012622721</v>
      </c>
    </row>
    <row r="118" ht="15.75" customHeight="1">
      <c r="A118" s="4" t="s">
        <v>791</v>
      </c>
      <c r="B118" s="4" t="s">
        <v>792</v>
      </c>
      <c r="C118" s="4" t="s">
        <v>776</v>
      </c>
      <c r="D118" s="4">
        <v>3.0</v>
      </c>
      <c r="E118" s="4" t="s">
        <v>66</v>
      </c>
      <c r="F118" s="4" t="s">
        <v>773</v>
      </c>
      <c r="G118" s="12">
        <v>46023.0</v>
      </c>
      <c r="H118" s="8">
        <v>10329.0</v>
      </c>
      <c r="I118" s="8">
        <v>10201.0</v>
      </c>
      <c r="J118" s="8">
        <v>5447.0</v>
      </c>
      <c r="K118" s="9">
        <f t="shared" si="1"/>
        <v>0.5339672581</v>
      </c>
      <c r="L118" s="8">
        <v>855.0</v>
      </c>
      <c r="M118" s="9">
        <f t="shared" si="2"/>
        <v>0.08381531222</v>
      </c>
      <c r="N118" s="8">
        <v>181.0</v>
      </c>
      <c r="O118" s="9">
        <f t="shared" si="3"/>
        <v>0.01774335849</v>
      </c>
      <c r="P118" s="10">
        <v>12719.71</v>
      </c>
      <c r="Q118" s="11">
        <f t="shared" si="4"/>
        <v>1.246908146</v>
      </c>
      <c r="R118" s="8">
        <v>4.0</v>
      </c>
      <c r="S118" s="9">
        <f t="shared" si="5"/>
        <v>0.0003921184198</v>
      </c>
    </row>
    <row r="119" ht="15.75" customHeight="1">
      <c r="A119" s="4" t="s">
        <v>791</v>
      </c>
      <c r="B119" s="4" t="s">
        <v>792</v>
      </c>
      <c r="C119" s="4" t="s">
        <v>776</v>
      </c>
      <c r="D119" s="4">
        <v>3.0</v>
      </c>
      <c r="E119" s="4" t="s">
        <v>66</v>
      </c>
      <c r="F119" s="4" t="s">
        <v>773</v>
      </c>
      <c r="G119" s="12">
        <v>46054.0</v>
      </c>
      <c r="H119" s="8">
        <v>16140.0</v>
      </c>
      <c r="I119" s="8">
        <v>16037.0</v>
      </c>
      <c r="J119" s="8">
        <v>8989.0</v>
      </c>
      <c r="K119" s="9">
        <f t="shared" si="1"/>
        <v>0.560516306</v>
      </c>
      <c r="L119" s="8">
        <v>1382.0</v>
      </c>
      <c r="M119" s="9">
        <f t="shared" si="2"/>
        <v>0.08617571865</v>
      </c>
      <c r="N119" s="8">
        <v>243.0</v>
      </c>
      <c r="O119" s="9">
        <f t="shared" si="3"/>
        <v>0.01515245994</v>
      </c>
      <c r="P119" s="10">
        <v>16542.54</v>
      </c>
      <c r="Q119" s="11">
        <f t="shared" si="4"/>
        <v>1.031523352</v>
      </c>
      <c r="R119" s="8">
        <v>28.0</v>
      </c>
      <c r="S119" s="9">
        <f t="shared" si="5"/>
        <v>0.001745962462</v>
      </c>
    </row>
    <row r="120" ht="15.75" customHeight="1">
      <c r="A120" s="4" t="s">
        <v>791</v>
      </c>
      <c r="B120" s="4" t="s">
        <v>792</v>
      </c>
      <c r="C120" s="4" t="s">
        <v>776</v>
      </c>
      <c r="D120" s="4">
        <v>3.0</v>
      </c>
      <c r="E120" s="4" t="s">
        <v>66</v>
      </c>
      <c r="F120" s="4" t="s">
        <v>773</v>
      </c>
      <c r="G120" s="12">
        <v>46082.0</v>
      </c>
      <c r="H120" s="8">
        <v>14199.0</v>
      </c>
      <c r="I120" s="8">
        <v>14166.0</v>
      </c>
      <c r="J120" s="8">
        <v>7239.0</v>
      </c>
      <c r="K120" s="9">
        <f t="shared" si="1"/>
        <v>0.5110122829</v>
      </c>
      <c r="L120" s="8">
        <v>1355.0</v>
      </c>
      <c r="M120" s="9">
        <f t="shared" si="2"/>
        <v>0.09565156007</v>
      </c>
      <c r="N120" s="8">
        <v>296.0</v>
      </c>
      <c r="O120" s="9">
        <f t="shared" si="3"/>
        <v>0.02089510095</v>
      </c>
      <c r="P120" s="10">
        <v>15510.9</v>
      </c>
      <c r="Q120" s="11">
        <f t="shared" si="4"/>
        <v>1.094938585</v>
      </c>
      <c r="R120" s="8">
        <v>18.0</v>
      </c>
      <c r="S120" s="9">
        <f t="shared" si="5"/>
        <v>0.00127064803</v>
      </c>
    </row>
    <row r="121" ht="15.75" customHeight="1">
      <c r="A121" s="4" t="s">
        <v>791</v>
      </c>
      <c r="B121" s="4" t="s">
        <v>792</v>
      </c>
      <c r="C121" s="4" t="s">
        <v>776</v>
      </c>
      <c r="D121" s="4">
        <v>3.0</v>
      </c>
      <c r="E121" s="4" t="s">
        <v>66</v>
      </c>
      <c r="F121" s="4" t="s">
        <v>773</v>
      </c>
      <c r="G121" s="12">
        <v>46113.0</v>
      </c>
      <c r="H121" s="8">
        <v>12269.0</v>
      </c>
      <c r="I121" s="8">
        <v>12116.0</v>
      </c>
      <c r="J121" s="8">
        <v>6871.0</v>
      </c>
      <c r="K121" s="9">
        <f t="shared" si="1"/>
        <v>0.5671013536</v>
      </c>
      <c r="L121" s="8">
        <v>1110.0</v>
      </c>
      <c r="M121" s="9">
        <f t="shared" si="2"/>
        <v>0.09161439419</v>
      </c>
      <c r="N121" s="8">
        <v>236.0</v>
      </c>
      <c r="O121" s="9">
        <f t="shared" si="3"/>
        <v>0.0194783757</v>
      </c>
      <c r="P121" s="10">
        <v>11487.4</v>
      </c>
      <c r="Q121" s="11">
        <f t="shared" si="4"/>
        <v>0.9481181908</v>
      </c>
      <c r="R121" s="8">
        <v>22.0</v>
      </c>
      <c r="S121" s="9">
        <f t="shared" si="5"/>
        <v>0.001815780786</v>
      </c>
    </row>
    <row r="122" ht="15.75" customHeight="1">
      <c r="A122" s="4" t="s">
        <v>793</v>
      </c>
      <c r="B122" s="4" t="s">
        <v>794</v>
      </c>
      <c r="C122" s="4" t="s">
        <v>776</v>
      </c>
      <c r="D122" s="4">
        <v>3.0</v>
      </c>
      <c r="E122" s="4" t="s">
        <v>66</v>
      </c>
      <c r="F122" s="4" t="s">
        <v>773</v>
      </c>
      <c r="G122" s="12">
        <v>45778.0</v>
      </c>
      <c r="H122" s="8">
        <v>15157.0</v>
      </c>
      <c r="I122" s="8">
        <v>15026.0</v>
      </c>
      <c r="J122" s="8">
        <v>8112.0</v>
      </c>
      <c r="K122" s="9">
        <f t="shared" si="1"/>
        <v>0.5398642353</v>
      </c>
      <c r="L122" s="8">
        <v>1156.0</v>
      </c>
      <c r="M122" s="9">
        <f t="shared" si="2"/>
        <v>0.07693331559</v>
      </c>
      <c r="N122" s="8">
        <v>290.0</v>
      </c>
      <c r="O122" s="9">
        <f t="shared" si="3"/>
        <v>0.01929988021</v>
      </c>
      <c r="P122" s="10">
        <v>15811.48</v>
      </c>
      <c r="Q122" s="11">
        <f t="shared" si="4"/>
        <v>1.052274724</v>
      </c>
      <c r="R122" s="8">
        <v>12.0</v>
      </c>
      <c r="S122" s="9">
        <f t="shared" si="5"/>
        <v>0.0007986157327</v>
      </c>
    </row>
    <row r="123" ht="15.75" customHeight="1">
      <c r="A123" s="4" t="s">
        <v>793</v>
      </c>
      <c r="B123" s="4" t="s">
        <v>794</v>
      </c>
      <c r="C123" s="4" t="s">
        <v>776</v>
      </c>
      <c r="D123" s="4">
        <v>3.0</v>
      </c>
      <c r="E123" s="4" t="s">
        <v>66</v>
      </c>
      <c r="F123" s="4" t="s">
        <v>773</v>
      </c>
      <c r="G123" s="12">
        <v>45809.0</v>
      </c>
      <c r="H123" s="8">
        <v>15279.0</v>
      </c>
      <c r="I123" s="8">
        <v>15244.0</v>
      </c>
      <c r="J123" s="8">
        <v>7356.0</v>
      </c>
      <c r="K123" s="9">
        <f t="shared" si="1"/>
        <v>0.4825505117</v>
      </c>
      <c r="L123" s="8">
        <v>1191.0</v>
      </c>
      <c r="M123" s="9">
        <f t="shared" si="2"/>
        <v>0.07812909997</v>
      </c>
      <c r="N123" s="8">
        <v>247.0</v>
      </c>
      <c r="O123" s="9">
        <f t="shared" si="3"/>
        <v>0.0162030963</v>
      </c>
      <c r="P123" s="10">
        <v>16200.81</v>
      </c>
      <c r="Q123" s="11">
        <f t="shared" si="4"/>
        <v>1.062766334</v>
      </c>
      <c r="R123" s="8">
        <v>30.0</v>
      </c>
      <c r="S123" s="9">
        <f t="shared" si="5"/>
        <v>0.001967987405</v>
      </c>
    </row>
    <row r="124" ht="15.75" customHeight="1">
      <c r="A124" s="4" t="s">
        <v>793</v>
      </c>
      <c r="B124" s="4" t="s">
        <v>794</v>
      </c>
      <c r="C124" s="4" t="s">
        <v>776</v>
      </c>
      <c r="D124" s="4">
        <v>3.0</v>
      </c>
      <c r="E124" s="4" t="s">
        <v>66</v>
      </c>
      <c r="F124" s="4" t="s">
        <v>773</v>
      </c>
      <c r="G124" s="12">
        <v>45839.0</v>
      </c>
      <c r="H124" s="8">
        <v>14453.0</v>
      </c>
      <c r="I124" s="8">
        <v>14413.0</v>
      </c>
      <c r="J124" s="8">
        <v>8142.0</v>
      </c>
      <c r="K124" s="9">
        <f t="shared" si="1"/>
        <v>0.5649066815</v>
      </c>
      <c r="L124" s="8">
        <v>1190.0</v>
      </c>
      <c r="M124" s="9">
        <f t="shared" si="2"/>
        <v>0.08256435163</v>
      </c>
      <c r="N124" s="8">
        <v>243.0</v>
      </c>
      <c r="O124" s="9">
        <f t="shared" si="3"/>
        <v>0.01685977937</v>
      </c>
      <c r="P124" s="10">
        <v>15344.65</v>
      </c>
      <c r="Q124" s="11">
        <f t="shared" si="4"/>
        <v>1.064639562</v>
      </c>
      <c r="R124" s="8">
        <v>7.0</v>
      </c>
      <c r="S124" s="9">
        <f t="shared" si="5"/>
        <v>0.0004856726566</v>
      </c>
    </row>
    <row r="125" ht="15.75" customHeight="1">
      <c r="A125" s="4" t="s">
        <v>793</v>
      </c>
      <c r="B125" s="4" t="s">
        <v>794</v>
      </c>
      <c r="C125" s="4" t="s">
        <v>776</v>
      </c>
      <c r="D125" s="4">
        <v>3.0</v>
      </c>
      <c r="E125" s="4" t="s">
        <v>66</v>
      </c>
      <c r="F125" s="4" t="s">
        <v>773</v>
      </c>
      <c r="G125" s="12">
        <v>45870.0</v>
      </c>
      <c r="H125" s="8">
        <v>14217.0</v>
      </c>
      <c r="I125" s="8">
        <v>14099.0</v>
      </c>
      <c r="J125" s="8">
        <v>7497.0</v>
      </c>
      <c r="K125" s="9">
        <f t="shared" si="1"/>
        <v>0.5317398397</v>
      </c>
      <c r="L125" s="8">
        <v>1410.0</v>
      </c>
      <c r="M125" s="9">
        <f t="shared" si="2"/>
        <v>0.1000070927</v>
      </c>
      <c r="N125" s="8">
        <v>272.0</v>
      </c>
      <c r="O125" s="9">
        <f t="shared" si="3"/>
        <v>0.01929214838</v>
      </c>
      <c r="P125" s="10">
        <v>15124.28</v>
      </c>
      <c r="Q125" s="11">
        <f t="shared" si="4"/>
        <v>1.072720051</v>
      </c>
      <c r="R125" s="8">
        <v>17.0</v>
      </c>
      <c r="S125" s="9">
        <f t="shared" si="5"/>
        <v>0.001205759274</v>
      </c>
    </row>
    <row r="126" ht="15.75" customHeight="1">
      <c r="A126" s="4" t="s">
        <v>793</v>
      </c>
      <c r="B126" s="4" t="s">
        <v>794</v>
      </c>
      <c r="C126" s="4" t="s">
        <v>776</v>
      </c>
      <c r="D126" s="4">
        <v>3.0</v>
      </c>
      <c r="E126" s="4" t="s">
        <v>66</v>
      </c>
      <c r="F126" s="4" t="s">
        <v>773</v>
      </c>
      <c r="G126" s="12">
        <v>45901.0</v>
      </c>
      <c r="H126" s="8">
        <v>13691.0</v>
      </c>
      <c r="I126" s="8">
        <v>13541.0</v>
      </c>
      <c r="J126" s="8">
        <v>7080.0</v>
      </c>
      <c r="K126" s="9">
        <f t="shared" si="1"/>
        <v>0.5228565099</v>
      </c>
      <c r="L126" s="8">
        <v>1200.0</v>
      </c>
      <c r="M126" s="9">
        <f t="shared" si="2"/>
        <v>0.08861974743</v>
      </c>
      <c r="N126" s="8">
        <v>207.0</v>
      </c>
      <c r="O126" s="9">
        <f t="shared" si="3"/>
        <v>0.01528690643</v>
      </c>
      <c r="P126" s="10">
        <v>15576.43</v>
      </c>
      <c r="Q126" s="11">
        <f t="shared" si="4"/>
        <v>1.150316077</v>
      </c>
      <c r="R126" s="8">
        <v>17.0</v>
      </c>
      <c r="S126" s="9">
        <f t="shared" si="5"/>
        <v>0.001255446422</v>
      </c>
    </row>
    <row r="127" ht="15.75" customHeight="1">
      <c r="A127" s="4" t="s">
        <v>793</v>
      </c>
      <c r="B127" s="4" t="s">
        <v>794</v>
      </c>
      <c r="C127" s="4" t="s">
        <v>776</v>
      </c>
      <c r="D127" s="4">
        <v>3.0</v>
      </c>
      <c r="E127" s="4" t="s">
        <v>66</v>
      </c>
      <c r="F127" s="4" t="s">
        <v>773</v>
      </c>
      <c r="G127" s="12">
        <v>45931.0</v>
      </c>
      <c r="H127" s="8">
        <v>16250.0</v>
      </c>
      <c r="I127" s="8">
        <v>16048.0</v>
      </c>
      <c r="J127" s="8">
        <v>7473.0</v>
      </c>
      <c r="K127" s="9">
        <f t="shared" si="1"/>
        <v>0.4656655035</v>
      </c>
      <c r="L127" s="8">
        <v>1526.0</v>
      </c>
      <c r="M127" s="9">
        <f t="shared" si="2"/>
        <v>0.09508973081</v>
      </c>
      <c r="N127" s="8">
        <v>334.0</v>
      </c>
      <c r="O127" s="9">
        <f t="shared" si="3"/>
        <v>0.02081256231</v>
      </c>
      <c r="P127" s="10">
        <v>19821.78</v>
      </c>
      <c r="Q127" s="11">
        <f t="shared" si="4"/>
        <v>1.235155783</v>
      </c>
      <c r="R127" s="8">
        <v>16.0</v>
      </c>
      <c r="S127" s="9">
        <f t="shared" si="5"/>
        <v>0.0009970089731</v>
      </c>
    </row>
    <row r="128" ht="15.75" customHeight="1">
      <c r="A128" s="4" t="s">
        <v>793</v>
      </c>
      <c r="B128" s="4" t="s">
        <v>794</v>
      </c>
      <c r="C128" s="4" t="s">
        <v>776</v>
      </c>
      <c r="D128" s="4">
        <v>3.0</v>
      </c>
      <c r="E128" s="4" t="s">
        <v>66</v>
      </c>
      <c r="F128" s="4" t="s">
        <v>773</v>
      </c>
      <c r="G128" s="12">
        <v>45962.0</v>
      </c>
      <c r="H128" s="8">
        <v>22004.0</v>
      </c>
      <c r="I128" s="8">
        <v>21894.0</v>
      </c>
      <c r="J128" s="8">
        <v>11584.0</v>
      </c>
      <c r="K128" s="9">
        <f t="shared" si="1"/>
        <v>0.5290947291</v>
      </c>
      <c r="L128" s="8">
        <v>2008.0</v>
      </c>
      <c r="M128" s="9">
        <f t="shared" si="2"/>
        <v>0.09171462501</v>
      </c>
      <c r="N128" s="8">
        <v>340.0</v>
      </c>
      <c r="O128" s="9">
        <f t="shared" si="3"/>
        <v>0.01552936878</v>
      </c>
      <c r="P128" s="10">
        <v>20960.85</v>
      </c>
      <c r="Q128" s="11">
        <f t="shared" si="4"/>
        <v>0.9573787339</v>
      </c>
      <c r="R128" s="8">
        <v>26.0</v>
      </c>
      <c r="S128" s="9">
        <f t="shared" si="5"/>
        <v>0.001187539965</v>
      </c>
    </row>
    <row r="129" ht="15.75" customHeight="1">
      <c r="A129" s="4" t="s">
        <v>793</v>
      </c>
      <c r="B129" s="4" t="s">
        <v>794</v>
      </c>
      <c r="C129" s="4" t="s">
        <v>776</v>
      </c>
      <c r="D129" s="4">
        <v>3.0</v>
      </c>
      <c r="E129" s="4" t="s">
        <v>66</v>
      </c>
      <c r="F129" s="4" t="s">
        <v>773</v>
      </c>
      <c r="G129" s="12">
        <v>45992.0</v>
      </c>
      <c r="H129" s="8">
        <v>18652.0</v>
      </c>
      <c r="I129" s="8">
        <v>18416.0</v>
      </c>
      <c r="J129" s="8">
        <v>10157.0</v>
      </c>
      <c r="K129" s="9">
        <f t="shared" si="1"/>
        <v>0.5515312772</v>
      </c>
      <c r="L129" s="8">
        <v>1481.0</v>
      </c>
      <c r="M129" s="9">
        <f t="shared" si="2"/>
        <v>0.0804192007</v>
      </c>
      <c r="N129" s="8">
        <v>269.0</v>
      </c>
      <c r="O129" s="9">
        <f t="shared" si="3"/>
        <v>0.0146068636</v>
      </c>
      <c r="P129" s="10">
        <v>19155.71</v>
      </c>
      <c r="Q129" s="11">
        <f t="shared" si="4"/>
        <v>1.040166703</v>
      </c>
      <c r="R129" s="8">
        <v>35.0</v>
      </c>
      <c r="S129" s="9">
        <f t="shared" si="5"/>
        <v>0.001900521286</v>
      </c>
    </row>
    <row r="130" ht="15.75" customHeight="1">
      <c r="A130" s="4" t="s">
        <v>793</v>
      </c>
      <c r="B130" s="4" t="s">
        <v>794</v>
      </c>
      <c r="C130" s="4" t="s">
        <v>776</v>
      </c>
      <c r="D130" s="4">
        <v>3.0</v>
      </c>
      <c r="E130" s="4" t="s">
        <v>66</v>
      </c>
      <c r="F130" s="4" t="s">
        <v>773</v>
      </c>
      <c r="G130" s="12">
        <v>46023.0</v>
      </c>
      <c r="H130" s="8">
        <v>13546.0</v>
      </c>
      <c r="I130" s="8">
        <v>13396.0</v>
      </c>
      <c r="J130" s="8">
        <v>7234.0</v>
      </c>
      <c r="K130" s="9">
        <f t="shared" si="1"/>
        <v>0.5400119439</v>
      </c>
      <c r="L130" s="8">
        <v>1321.0</v>
      </c>
      <c r="M130" s="9">
        <f t="shared" si="2"/>
        <v>0.09861152583</v>
      </c>
      <c r="N130" s="8">
        <v>254.0</v>
      </c>
      <c r="O130" s="9">
        <f t="shared" si="3"/>
        <v>0.01896088385</v>
      </c>
      <c r="P130" s="10">
        <v>15789.22</v>
      </c>
      <c r="Q130" s="11">
        <f t="shared" si="4"/>
        <v>1.178651836</v>
      </c>
      <c r="R130" s="8">
        <v>7.0</v>
      </c>
      <c r="S130" s="9">
        <f t="shared" si="5"/>
        <v>0.000522544043</v>
      </c>
    </row>
    <row r="131" ht="15.75" customHeight="1">
      <c r="A131" s="4" t="s">
        <v>793</v>
      </c>
      <c r="B131" s="4" t="s">
        <v>794</v>
      </c>
      <c r="C131" s="4" t="s">
        <v>776</v>
      </c>
      <c r="D131" s="4">
        <v>3.0</v>
      </c>
      <c r="E131" s="4" t="s">
        <v>66</v>
      </c>
      <c r="F131" s="4" t="s">
        <v>773</v>
      </c>
      <c r="G131" s="12">
        <v>46054.0</v>
      </c>
      <c r="H131" s="8">
        <v>13958.0</v>
      </c>
      <c r="I131" s="8">
        <v>13772.0</v>
      </c>
      <c r="J131" s="8">
        <v>6225.0</v>
      </c>
      <c r="K131" s="9">
        <f t="shared" si="1"/>
        <v>0.4520040662</v>
      </c>
      <c r="L131" s="8">
        <v>1420.0</v>
      </c>
      <c r="M131" s="9">
        <f t="shared" si="2"/>
        <v>0.1031077549</v>
      </c>
      <c r="N131" s="8">
        <v>259.0</v>
      </c>
      <c r="O131" s="9">
        <f t="shared" si="3"/>
        <v>0.0188062736</v>
      </c>
      <c r="P131" s="10">
        <v>15629.15</v>
      </c>
      <c r="Q131" s="11">
        <f t="shared" si="4"/>
        <v>1.134849695</v>
      </c>
      <c r="R131" s="8">
        <v>18.0</v>
      </c>
      <c r="S131" s="9">
        <f t="shared" si="5"/>
        <v>0.00130699971</v>
      </c>
    </row>
    <row r="132" ht="15.75" customHeight="1">
      <c r="A132" s="4" t="s">
        <v>793</v>
      </c>
      <c r="B132" s="4" t="s">
        <v>794</v>
      </c>
      <c r="C132" s="4" t="s">
        <v>776</v>
      </c>
      <c r="D132" s="4">
        <v>3.0</v>
      </c>
      <c r="E132" s="4" t="s">
        <v>66</v>
      </c>
      <c r="F132" s="4" t="s">
        <v>773</v>
      </c>
      <c r="G132" s="12">
        <v>46082.0</v>
      </c>
      <c r="H132" s="8">
        <v>15124.0</v>
      </c>
      <c r="I132" s="8">
        <v>14942.0</v>
      </c>
      <c r="J132" s="8">
        <v>6753.0</v>
      </c>
      <c r="K132" s="9">
        <f t="shared" si="1"/>
        <v>0.4519475305</v>
      </c>
      <c r="L132" s="8">
        <v>1175.0</v>
      </c>
      <c r="M132" s="9">
        <f t="shared" si="2"/>
        <v>0.07863739794</v>
      </c>
      <c r="N132" s="8">
        <v>299.0</v>
      </c>
      <c r="O132" s="9">
        <f t="shared" si="3"/>
        <v>0.02001070807</v>
      </c>
      <c r="P132" s="10">
        <v>14631.93</v>
      </c>
      <c r="Q132" s="11">
        <f t="shared" si="4"/>
        <v>0.9792484273</v>
      </c>
      <c r="R132" s="8">
        <v>25.0</v>
      </c>
      <c r="S132" s="9">
        <f t="shared" si="5"/>
        <v>0.001673136126</v>
      </c>
    </row>
    <row r="133" ht="15.75" customHeight="1">
      <c r="A133" s="4" t="s">
        <v>793</v>
      </c>
      <c r="B133" s="4" t="s">
        <v>794</v>
      </c>
      <c r="C133" s="4" t="s">
        <v>776</v>
      </c>
      <c r="D133" s="4">
        <v>3.0</v>
      </c>
      <c r="E133" s="4" t="s">
        <v>66</v>
      </c>
      <c r="F133" s="4" t="s">
        <v>773</v>
      </c>
      <c r="G133" s="12">
        <v>46113.0</v>
      </c>
      <c r="H133" s="8">
        <v>13868.0</v>
      </c>
      <c r="I133" s="8">
        <v>13777.0</v>
      </c>
      <c r="J133" s="8">
        <v>6493.0</v>
      </c>
      <c r="K133" s="9">
        <f t="shared" si="1"/>
        <v>0.4712927343</v>
      </c>
      <c r="L133" s="8">
        <v>1198.0</v>
      </c>
      <c r="M133" s="9">
        <f t="shared" si="2"/>
        <v>0.08695652174</v>
      </c>
      <c r="N133" s="8">
        <v>245.0</v>
      </c>
      <c r="O133" s="9">
        <f t="shared" si="3"/>
        <v>0.01778326196</v>
      </c>
      <c r="P133" s="10">
        <v>13626.14</v>
      </c>
      <c r="Q133" s="11">
        <f t="shared" si="4"/>
        <v>0.9890498657</v>
      </c>
      <c r="R133" s="8">
        <v>9.0</v>
      </c>
      <c r="S133" s="9">
        <f t="shared" si="5"/>
        <v>0.0006532626842</v>
      </c>
    </row>
    <row r="134" ht="15.75" customHeight="1">
      <c r="A134" s="4" t="s">
        <v>795</v>
      </c>
      <c r="B134" s="4" t="s">
        <v>796</v>
      </c>
      <c r="C134" s="4" t="s">
        <v>776</v>
      </c>
      <c r="D134" s="4">
        <v>3.0</v>
      </c>
      <c r="E134" s="4" t="s">
        <v>66</v>
      </c>
      <c r="F134" s="4" t="s">
        <v>773</v>
      </c>
      <c r="G134" s="12">
        <v>45778.0</v>
      </c>
      <c r="H134" s="8">
        <v>15658.0</v>
      </c>
      <c r="I134" s="8">
        <v>15620.0</v>
      </c>
      <c r="J134" s="8">
        <v>8779.0</v>
      </c>
      <c r="K134" s="9">
        <f t="shared" si="1"/>
        <v>0.5620358515</v>
      </c>
      <c r="L134" s="8">
        <v>1595.0</v>
      </c>
      <c r="M134" s="9">
        <f t="shared" si="2"/>
        <v>0.1021126761</v>
      </c>
      <c r="N134" s="8">
        <v>249.0</v>
      </c>
      <c r="O134" s="9">
        <f t="shared" si="3"/>
        <v>0.01594110115</v>
      </c>
      <c r="P134" s="10">
        <v>18065.18</v>
      </c>
      <c r="Q134" s="11">
        <f t="shared" si="4"/>
        <v>1.156541613</v>
      </c>
      <c r="R134" s="8">
        <v>10.0</v>
      </c>
      <c r="S134" s="9">
        <f t="shared" si="5"/>
        <v>0.0006402048656</v>
      </c>
    </row>
    <row r="135" ht="15.75" customHeight="1">
      <c r="A135" s="4" t="s">
        <v>795</v>
      </c>
      <c r="B135" s="4" t="s">
        <v>796</v>
      </c>
      <c r="C135" s="4" t="s">
        <v>776</v>
      </c>
      <c r="D135" s="4">
        <v>3.0</v>
      </c>
      <c r="E135" s="4" t="s">
        <v>66</v>
      </c>
      <c r="F135" s="4" t="s">
        <v>773</v>
      </c>
      <c r="G135" s="12">
        <v>45809.0</v>
      </c>
      <c r="H135" s="8">
        <v>12121.0</v>
      </c>
      <c r="I135" s="8">
        <v>11967.0</v>
      </c>
      <c r="J135" s="8">
        <v>6769.0</v>
      </c>
      <c r="K135" s="9">
        <f t="shared" si="1"/>
        <v>0.5656388401</v>
      </c>
      <c r="L135" s="8">
        <v>1057.0</v>
      </c>
      <c r="M135" s="9">
        <f t="shared" si="2"/>
        <v>0.08832623047</v>
      </c>
      <c r="N135" s="8">
        <v>225.0</v>
      </c>
      <c r="O135" s="9">
        <f t="shared" si="3"/>
        <v>0.01880170469</v>
      </c>
      <c r="P135" s="10">
        <v>13905.59</v>
      </c>
      <c r="Q135" s="11">
        <f t="shared" si="4"/>
        <v>1.161994652</v>
      </c>
      <c r="R135" s="8">
        <v>21.0</v>
      </c>
      <c r="S135" s="9">
        <f t="shared" si="5"/>
        <v>0.001754825771</v>
      </c>
    </row>
    <row r="136" ht="15.75" customHeight="1">
      <c r="A136" s="4" t="s">
        <v>795</v>
      </c>
      <c r="B136" s="4" t="s">
        <v>796</v>
      </c>
      <c r="C136" s="4" t="s">
        <v>776</v>
      </c>
      <c r="D136" s="4">
        <v>3.0</v>
      </c>
      <c r="E136" s="4" t="s">
        <v>66</v>
      </c>
      <c r="F136" s="4" t="s">
        <v>773</v>
      </c>
      <c r="G136" s="12">
        <v>45839.0</v>
      </c>
      <c r="H136" s="8">
        <v>14065.0</v>
      </c>
      <c r="I136" s="8">
        <v>13932.0</v>
      </c>
      <c r="J136" s="8">
        <v>7576.0</v>
      </c>
      <c r="K136" s="9">
        <f t="shared" si="1"/>
        <v>0.5437840942</v>
      </c>
      <c r="L136" s="8">
        <v>1294.0</v>
      </c>
      <c r="M136" s="9">
        <f t="shared" si="2"/>
        <v>0.09287970141</v>
      </c>
      <c r="N136" s="8">
        <v>283.0</v>
      </c>
      <c r="O136" s="9">
        <f t="shared" si="3"/>
        <v>0.02031294861</v>
      </c>
      <c r="P136" s="10">
        <v>16337.59</v>
      </c>
      <c r="Q136" s="11">
        <f t="shared" si="4"/>
        <v>1.172666523</v>
      </c>
      <c r="R136" s="8">
        <v>13.0</v>
      </c>
      <c r="S136" s="9">
        <f t="shared" si="5"/>
        <v>0.0009331036463</v>
      </c>
    </row>
    <row r="137" ht="15.75" customHeight="1">
      <c r="A137" s="4" t="s">
        <v>795</v>
      </c>
      <c r="B137" s="4" t="s">
        <v>796</v>
      </c>
      <c r="C137" s="4" t="s">
        <v>776</v>
      </c>
      <c r="D137" s="4">
        <v>3.0</v>
      </c>
      <c r="E137" s="4" t="s">
        <v>66</v>
      </c>
      <c r="F137" s="4" t="s">
        <v>773</v>
      </c>
      <c r="G137" s="12">
        <v>45870.0</v>
      </c>
      <c r="H137" s="8">
        <v>15052.0</v>
      </c>
      <c r="I137" s="8">
        <v>14938.0</v>
      </c>
      <c r="J137" s="8">
        <v>7684.0</v>
      </c>
      <c r="K137" s="9">
        <f t="shared" si="1"/>
        <v>0.5143928237</v>
      </c>
      <c r="L137" s="8">
        <v>1401.0</v>
      </c>
      <c r="M137" s="9">
        <f t="shared" si="2"/>
        <v>0.09378765564</v>
      </c>
      <c r="N137" s="8">
        <v>290.0</v>
      </c>
      <c r="O137" s="9">
        <f t="shared" si="3"/>
        <v>0.01941357611</v>
      </c>
      <c r="P137" s="10">
        <v>14156.88</v>
      </c>
      <c r="Q137" s="11">
        <f t="shared" si="4"/>
        <v>0.947709198</v>
      </c>
      <c r="R137" s="8">
        <v>7.0</v>
      </c>
      <c r="S137" s="9">
        <f t="shared" si="5"/>
        <v>0.0004686035614</v>
      </c>
    </row>
    <row r="138" ht="15.75" customHeight="1">
      <c r="A138" s="4" t="s">
        <v>795</v>
      </c>
      <c r="B138" s="4" t="s">
        <v>796</v>
      </c>
      <c r="C138" s="4" t="s">
        <v>776</v>
      </c>
      <c r="D138" s="4">
        <v>3.0</v>
      </c>
      <c r="E138" s="4" t="s">
        <v>66</v>
      </c>
      <c r="F138" s="4" t="s">
        <v>773</v>
      </c>
      <c r="G138" s="12">
        <v>45901.0</v>
      </c>
      <c r="H138" s="8">
        <v>13818.0</v>
      </c>
      <c r="I138" s="8">
        <v>13768.0</v>
      </c>
      <c r="J138" s="8">
        <v>7658.0</v>
      </c>
      <c r="K138" s="9">
        <f t="shared" si="1"/>
        <v>0.5562173155</v>
      </c>
      <c r="L138" s="8">
        <v>1144.0</v>
      </c>
      <c r="M138" s="9">
        <f t="shared" si="2"/>
        <v>0.08309122603</v>
      </c>
      <c r="N138" s="8">
        <v>251.0</v>
      </c>
      <c r="O138" s="9">
        <f t="shared" si="3"/>
        <v>0.01823067984</v>
      </c>
      <c r="P138" s="10">
        <v>17343.06</v>
      </c>
      <c r="Q138" s="11">
        <f t="shared" si="4"/>
        <v>1.259664439</v>
      </c>
      <c r="R138" s="8">
        <v>5.0</v>
      </c>
      <c r="S138" s="9">
        <f t="shared" si="5"/>
        <v>0.0003631609529</v>
      </c>
    </row>
    <row r="139" ht="15.75" customHeight="1">
      <c r="A139" s="4" t="s">
        <v>795</v>
      </c>
      <c r="B139" s="4" t="s">
        <v>796</v>
      </c>
      <c r="C139" s="4" t="s">
        <v>776</v>
      </c>
      <c r="D139" s="4">
        <v>3.0</v>
      </c>
      <c r="E139" s="4" t="s">
        <v>66</v>
      </c>
      <c r="F139" s="4" t="s">
        <v>773</v>
      </c>
      <c r="G139" s="12">
        <v>45931.0</v>
      </c>
      <c r="H139" s="8">
        <v>14879.0</v>
      </c>
      <c r="I139" s="8">
        <v>14803.0</v>
      </c>
      <c r="J139" s="8">
        <v>8387.0</v>
      </c>
      <c r="K139" s="9">
        <f t="shared" si="1"/>
        <v>0.566574343</v>
      </c>
      <c r="L139" s="8">
        <v>1208.0</v>
      </c>
      <c r="M139" s="9">
        <f t="shared" si="2"/>
        <v>0.08160508005</v>
      </c>
      <c r="N139" s="8">
        <v>260.0</v>
      </c>
      <c r="O139" s="9">
        <f t="shared" si="3"/>
        <v>0.0175640073</v>
      </c>
      <c r="P139" s="10">
        <v>18161.08</v>
      </c>
      <c r="Q139" s="11">
        <f t="shared" si="4"/>
        <v>1.226851314</v>
      </c>
      <c r="R139" s="8">
        <v>23.0</v>
      </c>
      <c r="S139" s="9">
        <f t="shared" si="5"/>
        <v>0.001553739107</v>
      </c>
    </row>
    <row r="140" ht="15.75" customHeight="1">
      <c r="A140" s="4" t="s">
        <v>795</v>
      </c>
      <c r="B140" s="4" t="s">
        <v>796</v>
      </c>
      <c r="C140" s="4" t="s">
        <v>776</v>
      </c>
      <c r="D140" s="4">
        <v>3.0</v>
      </c>
      <c r="E140" s="4" t="s">
        <v>66</v>
      </c>
      <c r="F140" s="4" t="s">
        <v>773</v>
      </c>
      <c r="G140" s="12">
        <v>45962.0</v>
      </c>
      <c r="H140" s="8">
        <v>18341.0</v>
      </c>
      <c r="I140" s="8">
        <v>18105.0</v>
      </c>
      <c r="J140" s="8">
        <v>8777.0</v>
      </c>
      <c r="K140" s="9">
        <f t="shared" si="1"/>
        <v>0.4847832091</v>
      </c>
      <c r="L140" s="8">
        <v>1834.0</v>
      </c>
      <c r="M140" s="9">
        <f t="shared" si="2"/>
        <v>0.101297984</v>
      </c>
      <c r="N140" s="8">
        <v>350.0</v>
      </c>
      <c r="O140" s="9">
        <f t="shared" si="3"/>
        <v>0.01933167633</v>
      </c>
      <c r="P140" s="10">
        <v>22327.32</v>
      </c>
      <c r="Q140" s="11">
        <f t="shared" si="4"/>
        <v>1.233212925</v>
      </c>
      <c r="R140" s="8">
        <v>19.0</v>
      </c>
      <c r="S140" s="9">
        <f t="shared" si="5"/>
        <v>0.001049433858</v>
      </c>
    </row>
    <row r="141" ht="15.75" customHeight="1">
      <c r="A141" s="4" t="s">
        <v>795</v>
      </c>
      <c r="B141" s="4" t="s">
        <v>796</v>
      </c>
      <c r="C141" s="4" t="s">
        <v>776</v>
      </c>
      <c r="D141" s="4">
        <v>3.0</v>
      </c>
      <c r="E141" s="4" t="s">
        <v>66</v>
      </c>
      <c r="F141" s="4" t="s">
        <v>773</v>
      </c>
      <c r="G141" s="12">
        <v>45992.0</v>
      </c>
      <c r="H141" s="8">
        <v>18267.0</v>
      </c>
      <c r="I141" s="8">
        <v>18014.0</v>
      </c>
      <c r="J141" s="8">
        <v>9188.0</v>
      </c>
      <c r="K141" s="9">
        <f t="shared" si="1"/>
        <v>0.5100477406</v>
      </c>
      <c r="L141" s="8">
        <v>1465.0</v>
      </c>
      <c r="M141" s="9">
        <f t="shared" si="2"/>
        <v>0.08132563562</v>
      </c>
      <c r="N141" s="8">
        <v>335.0</v>
      </c>
      <c r="O141" s="9">
        <f t="shared" si="3"/>
        <v>0.01859664705</v>
      </c>
      <c r="P141" s="10">
        <v>22159.53</v>
      </c>
      <c r="Q141" s="11">
        <f t="shared" si="4"/>
        <v>1.230128234</v>
      </c>
      <c r="R141" s="8">
        <v>22.0</v>
      </c>
      <c r="S141" s="9">
        <f t="shared" si="5"/>
        <v>0.001221272344</v>
      </c>
    </row>
    <row r="142" ht="15.75" customHeight="1">
      <c r="A142" s="4" t="s">
        <v>795</v>
      </c>
      <c r="B142" s="4" t="s">
        <v>796</v>
      </c>
      <c r="C142" s="4" t="s">
        <v>776</v>
      </c>
      <c r="D142" s="4">
        <v>3.0</v>
      </c>
      <c r="E142" s="4" t="s">
        <v>66</v>
      </c>
      <c r="F142" s="4" t="s">
        <v>773</v>
      </c>
      <c r="G142" s="12">
        <v>46023.0</v>
      </c>
      <c r="H142" s="8">
        <v>11518.0</v>
      </c>
      <c r="I142" s="8">
        <v>11393.0</v>
      </c>
      <c r="J142" s="8">
        <v>5147.0</v>
      </c>
      <c r="K142" s="9">
        <f t="shared" si="1"/>
        <v>0.4517686299</v>
      </c>
      <c r="L142" s="8">
        <v>1011.0</v>
      </c>
      <c r="M142" s="9">
        <f t="shared" si="2"/>
        <v>0.0887386992</v>
      </c>
      <c r="N142" s="8">
        <v>237.0</v>
      </c>
      <c r="O142" s="9">
        <f t="shared" si="3"/>
        <v>0.02080224699</v>
      </c>
      <c r="P142" s="10">
        <v>14020.37</v>
      </c>
      <c r="Q142" s="11">
        <f t="shared" si="4"/>
        <v>1.230612657</v>
      </c>
      <c r="R142" s="8">
        <v>20.0</v>
      </c>
      <c r="S142" s="9">
        <f t="shared" si="5"/>
        <v>0.001755463881</v>
      </c>
    </row>
    <row r="143" ht="15.75" customHeight="1">
      <c r="A143" s="4" t="s">
        <v>795</v>
      </c>
      <c r="B143" s="4" t="s">
        <v>796</v>
      </c>
      <c r="C143" s="4" t="s">
        <v>776</v>
      </c>
      <c r="D143" s="4">
        <v>3.0</v>
      </c>
      <c r="E143" s="4" t="s">
        <v>66</v>
      </c>
      <c r="F143" s="4" t="s">
        <v>773</v>
      </c>
      <c r="G143" s="12">
        <v>46054.0</v>
      </c>
      <c r="H143" s="8">
        <v>13506.0</v>
      </c>
      <c r="I143" s="8">
        <v>13360.0</v>
      </c>
      <c r="J143" s="8">
        <v>7056.0</v>
      </c>
      <c r="K143" s="9">
        <f t="shared" si="1"/>
        <v>0.5281437126</v>
      </c>
      <c r="L143" s="8">
        <v>1278.0</v>
      </c>
      <c r="M143" s="9">
        <f t="shared" si="2"/>
        <v>0.09565868263</v>
      </c>
      <c r="N143" s="8">
        <v>208.0</v>
      </c>
      <c r="O143" s="9">
        <f t="shared" si="3"/>
        <v>0.01556886228</v>
      </c>
      <c r="P143" s="10">
        <v>15724.41</v>
      </c>
      <c r="Q143" s="11">
        <f t="shared" si="4"/>
        <v>1.176976796</v>
      </c>
      <c r="R143" s="8">
        <v>6.0</v>
      </c>
      <c r="S143" s="9">
        <f t="shared" si="5"/>
        <v>0.0004491017964</v>
      </c>
    </row>
    <row r="144" ht="15.75" customHeight="1">
      <c r="A144" s="4" t="s">
        <v>795</v>
      </c>
      <c r="B144" s="4" t="s">
        <v>796</v>
      </c>
      <c r="C144" s="4" t="s">
        <v>776</v>
      </c>
      <c r="D144" s="4">
        <v>3.0</v>
      </c>
      <c r="E144" s="4" t="s">
        <v>66</v>
      </c>
      <c r="F144" s="4" t="s">
        <v>773</v>
      </c>
      <c r="G144" s="12">
        <v>46082.0</v>
      </c>
      <c r="H144" s="8">
        <v>15609.0</v>
      </c>
      <c r="I144" s="8">
        <v>15503.0</v>
      </c>
      <c r="J144" s="8">
        <v>7119.0</v>
      </c>
      <c r="K144" s="9">
        <f t="shared" si="1"/>
        <v>0.4592014449</v>
      </c>
      <c r="L144" s="8">
        <v>1482.0</v>
      </c>
      <c r="M144" s="9">
        <f t="shared" si="2"/>
        <v>0.09559440108</v>
      </c>
      <c r="N144" s="8">
        <v>304.0</v>
      </c>
      <c r="O144" s="9">
        <f t="shared" si="3"/>
        <v>0.01960910791</v>
      </c>
      <c r="P144" s="10">
        <v>19484.37</v>
      </c>
      <c r="Q144" s="11">
        <f t="shared" si="4"/>
        <v>1.256812875</v>
      </c>
      <c r="R144" s="8">
        <v>20.0</v>
      </c>
      <c r="S144" s="9">
        <f t="shared" si="5"/>
        <v>0.001290072889</v>
      </c>
    </row>
    <row r="145" ht="15.75" customHeight="1">
      <c r="A145" s="4" t="s">
        <v>795</v>
      </c>
      <c r="B145" s="4" t="s">
        <v>796</v>
      </c>
      <c r="C145" s="4" t="s">
        <v>776</v>
      </c>
      <c r="D145" s="4">
        <v>3.0</v>
      </c>
      <c r="E145" s="4" t="s">
        <v>66</v>
      </c>
      <c r="F145" s="4" t="s">
        <v>773</v>
      </c>
      <c r="G145" s="12">
        <v>46113.0</v>
      </c>
      <c r="H145" s="8">
        <v>12571.0</v>
      </c>
      <c r="I145" s="8">
        <v>12472.0</v>
      </c>
      <c r="J145" s="8">
        <v>5664.0</v>
      </c>
      <c r="K145" s="9">
        <f t="shared" si="1"/>
        <v>0.4541372675</v>
      </c>
      <c r="L145" s="8">
        <v>1011.0</v>
      </c>
      <c r="M145" s="9">
        <f t="shared" si="2"/>
        <v>0.08106157793</v>
      </c>
      <c r="N145" s="8">
        <v>209.0</v>
      </c>
      <c r="O145" s="9">
        <f t="shared" si="3"/>
        <v>0.01675753688</v>
      </c>
      <c r="P145" s="10">
        <v>15247.4</v>
      </c>
      <c r="Q145" s="11">
        <f t="shared" si="4"/>
        <v>1.222530468</v>
      </c>
      <c r="R145" s="8">
        <v>22.0</v>
      </c>
      <c r="S145" s="9">
        <f t="shared" si="5"/>
        <v>0.001763951251</v>
      </c>
    </row>
    <row r="146" ht="15.75" customHeight="1">
      <c r="A146" s="4" t="s">
        <v>797</v>
      </c>
      <c r="B146" s="4" t="s">
        <v>798</v>
      </c>
      <c r="C146" s="4" t="s">
        <v>776</v>
      </c>
      <c r="D146" s="4">
        <v>3.0</v>
      </c>
      <c r="E146" s="4" t="s">
        <v>66</v>
      </c>
      <c r="F146" s="4" t="s">
        <v>773</v>
      </c>
      <c r="G146" s="12">
        <v>45778.0</v>
      </c>
      <c r="H146" s="8">
        <v>14468.0</v>
      </c>
      <c r="I146" s="8">
        <v>14278.0</v>
      </c>
      <c r="J146" s="8">
        <v>7752.0</v>
      </c>
      <c r="K146" s="9">
        <f t="shared" si="1"/>
        <v>0.5429331839</v>
      </c>
      <c r="L146" s="8">
        <v>1112.0</v>
      </c>
      <c r="M146" s="9">
        <f t="shared" si="2"/>
        <v>0.07788205631</v>
      </c>
      <c r="N146" s="8">
        <v>237.0</v>
      </c>
      <c r="O146" s="9">
        <f t="shared" si="3"/>
        <v>0.01659896344</v>
      </c>
      <c r="P146" s="10">
        <v>16790.26</v>
      </c>
      <c r="Q146" s="11">
        <f t="shared" si="4"/>
        <v>1.175953215</v>
      </c>
      <c r="R146" s="8">
        <v>27.0</v>
      </c>
      <c r="S146" s="9">
        <f t="shared" si="5"/>
        <v>0.001891021151</v>
      </c>
    </row>
    <row r="147" ht="15.75" customHeight="1">
      <c r="A147" s="4" t="s">
        <v>797</v>
      </c>
      <c r="B147" s="4" t="s">
        <v>798</v>
      </c>
      <c r="C147" s="4" t="s">
        <v>776</v>
      </c>
      <c r="D147" s="4">
        <v>3.0</v>
      </c>
      <c r="E147" s="4" t="s">
        <v>66</v>
      </c>
      <c r="F147" s="4" t="s">
        <v>773</v>
      </c>
      <c r="G147" s="12">
        <v>45809.0</v>
      </c>
      <c r="H147" s="8">
        <v>12457.0</v>
      </c>
      <c r="I147" s="8">
        <v>12299.0</v>
      </c>
      <c r="J147" s="8">
        <v>6872.0</v>
      </c>
      <c r="K147" s="9">
        <f t="shared" si="1"/>
        <v>0.5587446134</v>
      </c>
      <c r="L147" s="8">
        <v>1259.0</v>
      </c>
      <c r="M147" s="9">
        <f t="shared" si="2"/>
        <v>0.102366046</v>
      </c>
      <c r="N147" s="8">
        <v>177.0</v>
      </c>
      <c r="O147" s="9">
        <f t="shared" si="3"/>
        <v>0.01439141394</v>
      </c>
      <c r="P147" s="10">
        <v>14606.05</v>
      </c>
      <c r="Q147" s="11">
        <f t="shared" si="4"/>
        <v>1.187580291</v>
      </c>
      <c r="R147" s="8">
        <v>3.0</v>
      </c>
      <c r="S147" s="9">
        <f t="shared" si="5"/>
        <v>0.0002439222701</v>
      </c>
    </row>
    <row r="148" ht="15.75" customHeight="1">
      <c r="A148" s="4" t="s">
        <v>797</v>
      </c>
      <c r="B148" s="4" t="s">
        <v>798</v>
      </c>
      <c r="C148" s="4" t="s">
        <v>776</v>
      </c>
      <c r="D148" s="4">
        <v>3.0</v>
      </c>
      <c r="E148" s="4" t="s">
        <v>66</v>
      </c>
      <c r="F148" s="4" t="s">
        <v>773</v>
      </c>
      <c r="G148" s="12">
        <v>45839.0</v>
      </c>
      <c r="H148" s="8">
        <v>12591.0</v>
      </c>
      <c r="I148" s="8">
        <v>12483.0</v>
      </c>
      <c r="J148" s="8">
        <v>6836.0</v>
      </c>
      <c r="K148" s="9">
        <f t="shared" si="1"/>
        <v>0.5476247697</v>
      </c>
      <c r="L148" s="8">
        <v>1159.0</v>
      </c>
      <c r="M148" s="9">
        <f t="shared" si="2"/>
        <v>0.09284627093</v>
      </c>
      <c r="N148" s="8">
        <v>224.0</v>
      </c>
      <c r="O148" s="9">
        <f t="shared" si="3"/>
        <v>0.01794440439</v>
      </c>
      <c r="P148" s="10">
        <v>12564.99</v>
      </c>
      <c r="Q148" s="11">
        <f t="shared" si="4"/>
        <v>1.006568133</v>
      </c>
      <c r="R148" s="8">
        <v>17.0</v>
      </c>
      <c r="S148" s="9">
        <f t="shared" si="5"/>
        <v>0.001361852119</v>
      </c>
    </row>
    <row r="149" ht="15.75" customHeight="1">
      <c r="A149" s="4" t="s">
        <v>797</v>
      </c>
      <c r="B149" s="4" t="s">
        <v>798</v>
      </c>
      <c r="C149" s="4" t="s">
        <v>776</v>
      </c>
      <c r="D149" s="4">
        <v>3.0</v>
      </c>
      <c r="E149" s="4" t="s">
        <v>66</v>
      </c>
      <c r="F149" s="4" t="s">
        <v>773</v>
      </c>
      <c r="G149" s="12">
        <v>45870.0</v>
      </c>
      <c r="H149" s="8">
        <v>13115.0</v>
      </c>
      <c r="I149" s="8">
        <v>12993.0</v>
      </c>
      <c r="J149" s="8">
        <v>6787.0</v>
      </c>
      <c r="K149" s="9">
        <f t="shared" si="1"/>
        <v>0.5223581929</v>
      </c>
      <c r="L149" s="8">
        <v>996.0</v>
      </c>
      <c r="M149" s="9">
        <f t="shared" si="2"/>
        <v>0.07665666128</v>
      </c>
      <c r="N149" s="8">
        <v>269.0</v>
      </c>
      <c r="O149" s="9">
        <f t="shared" si="3"/>
        <v>0.02070345571</v>
      </c>
      <c r="P149" s="10">
        <v>13340.92</v>
      </c>
      <c r="Q149" s="11">
        <f t="shared" si="4"/>
        <v>1.026777496</v>
      </c>
      <c r="R149" s="8">
        <v>17.0</v>
      </c>
      <c r="S149" s="9">
        <f t="shared" si="5"/>
        <v>0.001308396829</v>
      </c>
    </row>
    <row r="150" ht="15.75" customHeight="1">
      <c r="A150" s="4" t="s">
        <v>797</v>
      </c>
      <c r="B150" s="4" t="s">
        <v>798</v>
      </c>
      <c r="C150" s="4" t="s">
        <v>776</v>
      </c>
      <c r="D150" s="4">
        <v>3.0</v>
      </c>
      <c r="E150" s="4" t="s">
        <v>66</v>
      </c>
      <c r="F150" s="4" t="s">
        <v>773</v>
      </c>
      <c r="G150" s="12">
        <v>45901.0</v>
      </c>
      <c r="H150" s="8">
        <v>15344.0</v>
      </c>
      <c r="I150" s="8">
        <v>15155.0</v>
      </c>
      <c r="J150" s="8">
        <v>7144.0</v>
      </c>
      <c r="K150" s="9">
        <f t="shared" si="1"/>
        <v>0.471395579</v>
      </c>
      <c r="L150" s="8">
        <v>1181.0</v>
      </c>
      <c r="M150" s="9">
        <f t="shared" si="2"/>
        <v>0.07792807654</v>
      </c>
      <c r="N150" s="8">
        <v>256.0</v>
      </c>
      <c r="O150" s="9">
        <f t="shared" si="3"/>
        <v>0.01689211481</v>
      </c>
      <c r="P150" s="10">
        <v>14896.96</v>
      </c>
      <c r="Q150" s="11">
        <f t="shared" si="4"/>
        <v>0.9829732761</v>
      </c>
      <c r="R150" s="8">
        <v>5.0</v>
      </c>
      <c r="S150" s="9">
        <f t="shared" si="5"/>
        <v>0.0003299241175</v>
      </c>
    </row>
    <row r="151" ht="15.75" customHeight="1">
      <c r="A151" s="4" t="s">
        <v>797</v>
      </c>
      <c r="B151" s="4" t="s">
        <v>798</v>
      </c>
      <c r="C151" s="4" t="s">
        <v>776</v>
      </c>
      <c r="D151" s="4">
        <v>3.0</v>
      </c>
      <c r="E151" s="4" t="s">
        <v>66</v>
      </c>
      <c r="F151" s="4" t="s">
        <v>773</v>
      </c>
      <c r="G151" s="12">
        <v>45931.0</v>
      </c>
      <c r="H151" s="8">
        <v>15760.0</v>
      </c>
      <c r="I151" s="8">
        <v>15647.0</v>
      </c>
      <c r="J151" s="8">
        <v>7656.0</v>
      </c>
      <c r="K151" s="9">
        <f t="shared" si="1"/>
        <v>0.4892950725</v>
      </c>
      <c r="L151" s="8">
        <v>1234.0</v>
      </c>
      <c r="M151" s="9">
        <f t="shared" si="2"/>
        <v>0.07886495814</v>
      </c>
      <c r="N151" s="8">
        <v>237.0</v>
      </c>
      <c r="O151" s="9">
        <f t="shared" si="3"/>
        <v>0.01514667348</v>
      </c>
      <c r="P151" s="10">
        <v>19761.11</v>
      </c>
      <c r="Q151" s="11">
        <f t="shared" si="4"/>
        <v>1.262932831</v>
      </c>
      <c r="R151" s="8">
        <v>8.0</v>
      </c>
      <c r="S151" s="9">
        <f t="shared" si="5"/>
        <v>0.0005112801176</v>
      </c>
    </row>
    <row r="152" ht="15.75" customHeight="1">
      <c r="A152" s="4" t="s">
        <v>797</v>
      </c>
      <c r="B152" s="4" t="s">
        <v>798</v>
      </c>
      <c r="C152" s="4" t="s">
        <v>776</v>
      </c>
      <c r="D152" s="4">
        <v>3.0</v>
      </c>
      <c r="E152" s="4" t="s">
        <v>66</v>
      </c>
      <c r="F152" s="4" t="s">
        <v>773</v>
      </c>
      <c r="G152" s="12">
        <v>45962.0</v>
      </c>
      <c r="H152" s="8">
        <v>18332.0</v>
      </c>
      <c r="I152" s="8">
        <v>18214.0</v>
      </c>
      <c r="J152" s="8">
        <v>9734.0</v>
      </c>
      <c r="K152" s="9">
        <f t="shared" si="1"/>
        <v>0.5344240694</v>
      </c>
      <c r="L152" s="8">
        <v>1674.0</v>
      </c>
      <c r="M152" s="9">
        <f t="shared" si="2"/>
        <v>0.09190732404</v>
      </c>
      <c r="N152" s="8">
        <v>336.0</v>
      </c>
      <c r="O152" s="9">
        <f t="shared" si="3"/>
        <v>0.01844734819</v>
      </c>
      <c r="P152" s="10">
        <v>22838.11</v>
      </c>
      <c r="Q152" s="11">
        <f t="shared" si="4"/>
        <v>1.253876688</v>
      </c>
      <c r="R152" s="8">
        <v>28.0</v>
      </c>
      <c r="S152" s="9">
        <f t="shared" si="5"/>
        <v>0.001537279016</v>
      </c>
    </row>
    <row r="153" ht="15.75" customHeight="1">
      <c r="A153" s="4" t="s">
        <v>797</v>
      </c>
      <c r="B153" s="4" t="s">
        <v>798</v>
      </c>
      <c r="C153" s="4" t="s">
        <v>776</v>
      </c>
      <c r="D153" s="4">
        <v>3.0</v>
      </c>
      <c r="E153" s="4" t="s">
        <v>66</v>
      </c>
      <c r="F153" s="4" t="s">
        <v>773</v>
      </c>
      <c r="G153" s="12">
        <v>45992.0</v>
      </c>
      <c r="H153" s="8">
        <v>16765.0</v>
      </c>
      <c r="I153" s="8">
        <v>16521.0</v>
      </c>
      <c r="J153" s="8">
        <v>8968.0</v>
      </c>
      <c r="K153" s="9">
        <f t="shared" si="1"/>
        <v>0.5428242842</v>
      </c>
      <c r="L153" s="8">
        <v>1407.0</v>
      </c>
      <c r="M153" s="9">
        <f t="shared" si="2"/>
        <v>0.0851643363</v>
      </c>
      <c r="N153" s="8">
        <v>344.0</v>
      </c>
      <c r="O153" s="9">
        <f t="shared" si="3"/>
        <v>0.02082198414</v>
      </c>
      <c r="P153" s="10">
        <v>19919.16</v>
      </c>
      <c r="Q153" s="11">
        <f t="shared" si="4"/>
        <v>1.205687307</v>
      </c>
      <c r="R153" s="8">
        <v>26.0</v>
      </c>
      <c r="S153" s="9">
        <f t="shared" si="5"/>
        <v>0.001573754615</v>
      </c>
    </row>
    <row r="154" ht="15.75" customHeight="1">
      <c r="A154" s="4" t="s">
        <v>797</v>
      </c>
      <c r="B154" s="4" t="s">
        <v>798</v>
      </c>
      <c r="C154" s="4" t="s">
        <v>776</v>
      </c>
      <c r="D154" s="4">
        <v>3.0</v>
      </c>
      <c r="E154" s="4" t="s">
        <v>66</v>
      </c>
      <c r="F154" s="4" t="s">
        <v>773</v>
      </c>
      <c r="G154" s="12">
        <v>46023.0</v>
      </c>
      <c r="H154" s="8">
        <v>13125.0</v>
      </c>
      <c r="I154" s="8">
        <v>12939.0</v>
      </c>
      <c r="J154" s="8">
        <v>6552.0</v>
      </c>
      <c r="K154" s="9">
        <f t="shared" si="1"/>
        <v>0.5063760723</v>
      </c>
      <c r="L154" s="8">
        <v>1032.0</v>
      </c>
      <c r="M154" s="9">
        <f t="shared" si="2"/>
        <v>0.07975886854</v>
      </c>
      <c r="N154" s="8">
        <v>266.0</v>
      </c>
      <c r="O154" s="9">
        <f t="shared" si="3"/>
        <v>0.02055800294</v>
      </c>
      <c r="P154" s="10">
        <v>13503.64</v>
      </c>
      <c r="Q154" s="11">
        <f t="shared" si="4"/>
        <v>1.043638612</v>
      </c>
      <c r="R154" s="8">
        <v>12.0</v>
      </c>
      <c r="S154" s="9">
        <f t="shared" si="5"/>
        <v>0.0009274287039</v>
      </c>
    </row>
    <row r="155" ht="15.75" customHeight="1">
      <c r="A155" s="4" t="s">
        <v>797</v>
      </c>
      <c r="B155" s="4" t="s">
        <v>798</v>
      </c>
      <c r="C155" s="4" t="s">
        <v>776</v>
      </c>
      <c r="D155" s="4">
        <v>3.0</v>
      </c>
      <c r="E155" s="4" t="s">
        <v>66</v>
      </c>
      <c r="F155" s="4" t="s">
        <v>773</v>
      </c>
      <c r="G155" s="12">
        <v>46054.0</v>
      </c>
      <c r="H155" s="8">
        <v>14059.0</v>
      </c>
      <c r="I155" s="8">
        <v>13886.0</v>
      </c>
      <c r="J155" s="8">
        <v>6330.0</v>
      </c>
      <c r="K155" s="9">
        <f t="shared" si="1"/>
        <v>0.4558548178</v>
      </c>
      <c r="L155" s="8">
        <v>1276.0</v>
      </c>
      <c r="M155" s="9">
        <f t="shared" si="2"/>
        <v>0.09189111335</v>
      </c>
      <c r="N155" s="8">
        <v>297.0</v>
      </c>
      <c r="O155" s="9">
        <f t="shared" si="3"/>
        <v>0.0213884488</v>
      </c>
      <c r="P155" s="10">
        <v>15407.24</v>
      </c>
      <c r="Q155" s="11">
        <f t="shared" si="4"/>
        <v>1.109552067</v>
      </c>
      <c r="R155" s="8">
        <v>6.0</v>
      </c>
      <c r="S155" s="9">
        <f t="shared" si="5"/>
        <v>0.0004320898747</v>
      </c>
    </row>
    <row r="156" ht="15.75" customHeight="1">
      <c r="A156" s="4" t="s">
        <v>797</v>
      </c>
      <c r="B156" s="4" t="s">
        <v>798</v>
      </c>
      <c r="C156" s="4" t="s">
        <v>776</v>
      </c>
      <c r="D156" s="4">
        <v>3.0</v>
      </c>
      <c r="E156" s="4" t="s">
        <v>66</v>
      </c>
      <c r="F156" s="4" t="s">
        <v>773</v>
      </c>
      <c r="G156" s="12">
        <v>46082.0</v>
      </c>
      <c r="H156" s="8">
        <v>15688.0</v>
      </c>
      <c r="I156" s="8">
        <v>15576.0</v>
      </c>
      <c r="J156" s="8">
        <v>8493.0</v>
      </c>
      <c r="K156" s="9">
        <f t="shared" si="1"/>
        <v>0.5452619414</v>
      </c>
      <c r="L156" s="8">
        <v>1488.0</v>
      </c>
      <c r="M156" s="9">
        <f t="shared" si="2"/>
        <v>0.09553158706</v>
      </c>
      <c r="N156" s="8">
        <v>272.0</v>
      </c>
      <c r="O156" s="9">
        <f t="shared" si="3"/>
        <v>0.01746276323</v>
      </c>
      <c r="P156" s="10">
        <v>18921.31</v>
      </c>
      <c r="Q156" s="11">
        <f t="shared" si="4"/>
        <v>1.214773369</v>
      </c>
      <c r="R156" s="8">
        <v>11.0</v>
      </c>
      <c r="S156" s="9">
        <f t="shared" si="5"/>
        <v>0.0007062146893</v>
      </c>
    </row>
    <row r="157" ht="15.75" customHeight="1">
      <c r="A157" s="4" t="s">
        <v>797</v>
      </c>
      <c r="B157" s="4" t="s">
        <v>798</v>
      </c>
      <c r="C157" s="4" t="s">
        <v>776</v>
      </c>
      <c r="D157" s="4">
        <v>3.0</v>
      </c>
      <c r="E157" s="4" t="s">
        <v>66</v>
      </c>
      <c r="F157" s="4" t="s">
        <v>773</v>
      </c>
      <c r="G157" s="12">
        <v>46113.0</v>
      </c>
      <c r="H157" s="8">
        <v>14315.0</v>
      </c>
      <c r="I157" s="8">
        <v>14216.0</v>
      </c>
      <c r="J157" s="8">
        <v>7993.0</v>
      </c>
      <c r="K157" s="9">
        <f t="shared" si="1"/>
        <v>0.5622537985</v>
      </c>
      <c r="L157" s="8">
        <v>1323.0</v>
      </c>
      <c r="M157" s="9">
        <f t="shared" si="2"/>
        <v>0.09306415307</v>
      </c>
      <c r="N157" s="8">
        <v>255.0</v>
      </c>
      <c r="O157" s="9">
        <f t="shared" si="3"/>
        <v>0.01793753517</v>
      </c>
      <c r="P157" s="10">
        <v>16712.77</v>
      </c>
      <c r="Q157" s="11">
        <f t="shared" si="4"/>
        <v>1.175630979</v>
      </c>
      <c r="R157" s="8">
        <v>16.0</v>
      </c>
      <c r="S157" s="9">
        <f t="shared" si="5"/>
        <v>0.001125492403</v>
      </c>
    </row>
    <row r="158" ht="15.75" customHeight="1">
      <c r="A158" s="4" t="s">
        <v>799</v>
      </c>
      <c r="B158" s="4" t="s">
        <v>800</v>
      </c>
      <c r="C158" s="4" t="s">
        <v>801</v>
      </c>
      <c r="D158" s="4">
        <v>2.0</v>
      </c>
      <c r="E158" s="4" t="s">
        <v>66</v>
      </c>
      <c r="F158" s="4" t="s">
        <v>773</v>
      </c>
      <c r="G158" s="12">
        <v>45778.0</v>
      </c>
      <c r="H158" s="8">
        <v>4020.0</v>
      </c>
      <c r="I158" s="8">
        <v>4005.0</v>
      </c>
      <c r="J158" s="8">
        <v>1836.0</v>
      </c>
      <c r="K158" s="9">
        <f t="shared" si="1"/>
        <v>0.4584269663</v>
      </c>
      <c r="L158" s="8">
        <v>487.0</v>
      </c>
      <c r="M158" s="9">
        <f t="shared" si="2"/>
        <v>0.1215980025</v>
      </c>
      <c r="N158" s="8">
        <v>140.0</v>
      </c>
      <c r="O158" s="9">
        <f t="shared" si="3"/>
        <v>0.03495630462</v>
      </c>
      <c r="P158" s="10">
        <v>8156.43</v>
      </c>
      <c r="Q158" s="11">
        <f t="shared" si="4"/>
        <v>2.036561798</v>
      </c>
      <c r="R158" s="8">
        <v>4.0</v>
      </c>
      <c r="S158" s="9">
        <f t="shared" si="5"/>
        <v>0.0009987515605</v>
      </c>
    </row>
    <row r="159" ht="15.75" customHeight="1">
      <c r="A159" s="4" t="s">
        <v>799</v>
      </c>
      <c r="B159" s="4" t="s">
        <v>800</v>
      </c>
      <c r="C159" s="4" t="s">
        <v>801</v>
      </c>
      <c r="D159" s="4">
        <v>2.0</v>
      </c>
      <c r="E159" s="4" t="s">
        <v>66</v>
      </c>
      <c r="F159" s="4" t="s">
        <v>773</v>
      </c>
      <c r="G159" s="12">
        <v>45809.0</v>
      </c>
      <c r="H159" s="8">
        <v>3310.0</v>
      </c>
      <c r="I159" s="8">
        <v>3292.0</v>
      </c>
      <c r="J159" s="8">
        <v>1499.0</v>
      </c>
      <c r="K159" s="9">
        <f t="shared" si="1"/>
        <v>0.455346294</v>
      </c>
      <c r="L159" s="8">
        <v>442.0</v>
      </c>
      <c r="M159" s="9">
        <f t="shared" si="2"/>
        <v>0.1342648846</v>
      </c>
      <c r="N159" s="8">
        <v>127.0</v>
      </c>
      <c r="O159" s="9">
        <f t="shared" si="3"/>
        <v>0.03857837181</v>
      </c>
      <c r="P159" s="10">
        <v>6539.19</v>
      </c>
      <c r="Q159" s="11">
        <f t="shared" si="4"/>
        <v>1.986388214</v>
      </c>
      <c r="R159" s="8">
        <v>2.0</v>
      </c>
      <c r="S159" s="9">
        <f t="shared" si="5"/>
        <v>0.0006075334143</v>
      </c>
    </row>
    <row r="160" ht="15.75" customHeight="1">
      <c r="A160" s="4" t="s">
        <v>799</v>
      </c>
      <c r="B160" s="4" t="s">
        <v>800</v>
      </c>
      <c r="C160" s="4" t="s">
        <v>801</v>
      </c>
      <c r="D160" s="4">
        <v>2.0</v>
      </c>
      <c r="E160" s="4" t="s">
        <v>66</v>
      </c>
      <c r="F160" s="4" t="s">
        <v>773</v>
      </c>
      <c r="G160" s="12">
        <v>45839.0</v>
      </c>
      <c r="H160" s="8">
        <v>3144.0</v>
      </c>
      <c r="I160" s="8">
        <v>3105.0</v>
      </c>
      <c r="J160" s="8">
        <v>1572.0</v>
      </c>
      <c r="K160" s="9">
        <f t="shared" si="1"/>
        <v>0.5062801932</v>
      </c>
      <c r="L160" s="8">
        <v>426.0</v>
      </c>
      <c r="M160" s="9">
        <f t="shared" si="2"/>
        <v>0.1371980676</v>
      </c>
      <c r="N160" s="8">
        <v>111.0</v>
      </c>
      <c r="O160" s="9">
        <f t="shared" si="3"/>
        <v>0.03574879227</v>
      </c>
      <c r="P160" s="10">
        <v>6215.61</v>
      </c>
      <c r="Q160" s="11">
        <f t="shared" si="4"/>
        <v>2.001806763</v>
      </c>
      <c r="R160" s="8">
        <v>2.0</v>
      </c>
      <c r="S160" s="9">
        <f t="shared" si="5"/>
        <v>0.0006441223833</v>
      </c>
    </row>
    <row r="161" ht="15.75" customHeight="1">
      <c r="A161" s="4" t="s">
        <v>799</v>
      </c>
      <c r="B161" s="4" t="s">
        <v>800</v>
      </c>
      <c r="C161" s="4" t="s">
        <v>801</v>
      </c>
      <c r="D161" s="4">
        <v>2.0</v>
      </c>
      <c r="E161" s="4" t="s">
        <v>66</v>
      </c>
      <c r="F161" s="4" t="s">
        <v>773</v>
      </c>
      <c r="G161" s="12">
        <v>45870.0</v>
      </c>
      <c r="H161" s="8">
        <v>3085.0</v>
      </c>
      <c r="I161" s="8">
        <v>3069.0</v>
      </c>
      <c r="J161" s="8">
        <v>1364.0</v>
      </c>
      <c r="K161" s="9">
        <f t="shared" si="1"/>
        <v>0.4444444444</v>
      </c>
      <c r="L161" s="8">
        <v>379.0</v>
      </c>
      <c r="M161" s="9">
        <f t="shared" si="2"/>
        <v>0.1234929945</v>
      </c>
      <c r="N161" s="8">
        <v>117.0</v>
      </c>
      <c r="O161" s="9">
        <f t="shared" si="3"/>
        <v>0.03812316716</v>
      </c>
      <c r="P161" s="10">
        <v>7204.65</v>
      </c>
      <c r="Q161" s="11">
        <f t="shared" si="4"/>
        <v>2.347556207</v>
      </c>
      <c r="R161" s="8">
        <v>5.0</v>
      </c>
      <c r="S161" s="9">
        <f t="shared" si="5"/>
        <v>0.001629195178</v>
      </c>
    </row>
    <row r="162" ht="15.75" customHeight="1">
      <c r="A162" s="4" t="s">
        <v>799</v>
      </c>
      <c r="B162" s="4" t="s">
        <v>800</v>
      </c>
      <c r="C162" s="4" t="s">
        <v>801</v>
      </c>
      <c r="D162" s="4">
        <v>2.0</v>
      </c>
      <c r="E162" s="4" t="s">
        <v>66</v>
      </c>
      <c r="F162" s="4" t="s">
        <v>773</v>
      </c>
      <c r="G162" s="12">
        <v>45901.0</v>
      </c>
      <c r="H162" s="8">
        <v>3518.0</v>
      </c>
      <c r="I162" s="8">
        <v>3474.0</v>
      </c>
      <c r="J162" s="8">
        <v>1838.0</v>
      </c>
      <c r="K162" s="9">
        <f t="shared" si="1"/>
        <v>0.5290731146</v>
      </c>
      <c r="L162" s="8">
        <v>508.0</v>
      </c>
      <c r="M162" s="9">
        <f t="shared" si="2"/>
        <v>0.1462291307</v>
      </c>
      <c r="N162" s="8">
        <v>137.0</v>
      </c>
      <c r="O162" s="9">
        <f t="shared" si="3"/>
        <v>0.03943580887</v>
      </c>
      <c r="P162" s="10">
        <v>7929.08</v>
      </c>
      <c r="Q162" s="11">
        <f t="shared" si="4"/>
        <v>2.282406448</v>
      </c>
      <c r="R162" s="8">
        <v>1.0</v>
      </c>
      <c r="S162" s="9">
        <f t="shared" si="5"/>
        <v>0.0002878526195</v>
      </c>
    </row>
    <row r="163" ht="15.75" customHeight="1">
      <c r="A163" s="4" t="s">
        <v>799</v>
      </c>
      <c r="B163" s="4" t="s">
        <v>800</v>
      </c>
      <c r="C163" s="4" t="s">
        <v>801</v>
      </c>
      <c r="D163" s="4">
        <v>2.0</v>
      </c>
      <c r="E163" s="4" t="s">
        <v>66</v>
      </c>
      <c r="F163" s="4" t="s">
        <v>773</v>
      </c>
      <c r="G163" s="12">
        <v>45931.0</v>
      </c>
      <c r="H163" s="8">
        <v>3135.0</v>
      </c>
      <c r="I163" s="8">
        <v>3094.0</v>
      </c>
      <c r="J163" s="8">
        <v>1501.0</v>
      </c>
      <c r="K163" s="9">
        <f t="shared" si="1"/>
        <v>0.4851325145</v>
      </c>
      <c r="L163" s="8">
        <v>446.0</v>
      </c>
      <c r="M163" s="9">
        <f t="shared" si="2"/>
        <v>0.1441499677</v>
      </c>
      <c r="N163" s="8">
        <v>143.0</v>
      </c>
      <c r="O163" s="9">
        <f t="shared" si="3"/>
        <v>0.04621848739</v>
      </c>
      <c r="P163" s="10">
        <v>7036.08</v>
      </c>
      <c r="Q163" s="11">
        <f t="shared" si="4"/>
        <v>2.274104719</v>
      </c>
      <c r="R163" s="8">
        <v>5.0</v>
      </c>
      <c r="S163" s="9">
        <f t="shared" si="5"/>
        <v>0.001616031028</v>
      </c>
    </row>
    <row r="164" ht="15.75" customHeight="1">
      <c r="A164" s="4" t="s">
        <v>799</v>
      </c>
      <c r="B164" s="4" t="s">
        <v>800</v>
      </c>
      <c r="C164" s="4" t="s">
        <v>801</v>
      </c>
      <c r="D164" s="4">
        <v>2.0</v>
      </c>
      <c r="E164" s="4" t="s">
        <v>66</v>
      </c>
      <c r="F164" s="4" t="s">
        <v>773</v>
      </c>
      <c r="G164" s="12">
        <v>45962.0</v>
      </c>
      <c r="H164" s="8">
        <v>5054.0</v>
      </c>
      <c r="I164" s="8">
        <v>4981.0</v>
      </c>
      <c r="J164" s="8">
        <v>2453.0</v>
      </c>
      <c r="K164" s="9">
        <f t="shared" si="1"/>
        <v>0.4924713913</v>
      </c>
      <c r="L164" s="8">
        <v>660.0</v>
      </c>
      <c r="M164" s="9">
        <f t="shared" si="2"/>
        <v>0.1325035134</v>
      </c>
      <c r="N164" s="8">
        <v>213.0</v>
      </c>
      <c r="O164" s="9">
        <f t="shared" si="3"/>
        <v>0.04276249749</v>
      </c>
      <c r="P164" s="10">
        <v>11645.94</v>
      </c>
      <c r="Q164" s="11">
        <f t="shared" si="4"/>
        <v>2.338072676</v>
      </c>
      <c r="R164" s="8">
        <v>1.0</v>
      </c>
      <c r="S164" s="9">
        <f t="shared" si="5"/>
        <v>0.000200762899</v>
      </c>
    </row>
    <row r="165" ht="15.75" customHeight="1">
      <c r="A165" s="4" t="s">
        <v>799</v>
      </c>
      <c r="B165" s="4" t="s">
        <v>800</v>
      </c>
      <c r="C165" s="4" t="s">
        <v>801</v>
      </c>
      <c r="D165" s="4">
        <v>2.0</v>
      </c>
      <c r="E165" s="4" t="s">
        <v>66</v>
      </c>
      <c r="F165" s="4" t="s">
        <v>773</v>
      </c>
      <c r="G165" s="12">
        <v>45992.0</v>
      </c>
      <c r="H165" s="8">
        <v>4092.0</v>
      </c>
      <c r="I165" s="8">
        <v>4048.0</v>
      </c>
      <c r="J165" s="8">
        <v>2181.0</v>
      </c>
      <c r="K165" s="9">
        <f t="shared" si="1"/>
        <v>0.538784585</v>
      </c>
      <c r="L165" s="8">
        <v>572.0</v>
      </c>
      <c r="M165" s="9">
        <f t="shared" si="2"/>
        <v>0.1413043478</v>
      </c>
      <c r="N165" s="8">
        <v>133.0</v>
      </c>
      <c r="O165" s="9">
        <f t="shared" si="3"/>
        <v>0.03285573123</v>
      </c>
      <c r="P165" s="10">
        <v>8330.87</v>
      </c>
      <c r="Q165" s="11">
        <f t="shared" si="4"/>
        <v>2.058021245</v>
      </c>
      <c r="R165" s="8">
        <v>7.0</v>
      </c>
      <c r="S165" s="9">
        <f t="shared" si="5"/>
        <v>0.001729249012</v>
      </c>
    </row>
    <row r="166" ht="15.75" customHeight="1">
      <c r="A166" s="4" t="s">
        <v>799</v>
      </c>
      <c r="B166" s="4" t="s">
        <v>800</v>
      </c>
      <c r="C166" s="4" t="s">
        <v>801</v>
      </c>
      <c r="D166" s="4">
        <v>2.0</v>
      </c>
      <c r="E166" s="4" t="s">
        <v>66</v>
      </c>
      <c r="F166" s="4" t="s">
        <v>773</v>
      </c>
      <c r="G166" s="12">
        <v>46023.0</v>
      </c>
      <c r="H166" s="8">
        <v>2588.0</v>
      </c>
      <c r="I166" s="8">
        <v>2561.0</v>
      </c>
      <c r="J166" s="8">
        <v>1265.0</v>
      </c>
      <c r="K166" s="9">
        <f t="shared" si="1"/>
        <v>0.4939476767</v>
      </c>
      <c r="L166" s="8">
        <v>299.0</v>
      </c>
      <c r="M166" s="9">
        <f t="shared" si="2"/>
        <v>0.116751269</v>
      </c>
      <c r="N166" s="8">
        <v>106.0</v>
      </c>
      <c r="O166" s="9">
        <f t="shared" si="3"/>
        <v>0.041390082</v>
      </c>
      <c r="P166" s="10">
        <v>5337.87</v>
      </c>
      <c r="Q166" s="11">
        <f t="shared" si="4"/>
        <v>2.084291292</v>
      </c>
      <c r="R166" s="8">
        <v>1.0</v>
      </c>
      <c r="S166" s="9">
        <f t="shared" si="5"/>
        <v>0.0003904724717</v>
      </c>
    </row>
    <row r="167" ht="15.75" customHeight="1">
      <c r="A167" s="4" t="s">
        <v>799</v>
      </c>
      <c r="B167" s="4" t="s">
        <v>800</v>
      </c>
      <c r="C167" s="4" t="s">
        <v>801</v>
      </c>
      <c r="D167" s="4">
        <v>2.0</v>
      </c>
      <c r="E167" s="4" t="s">
        <v>66</v>
      </c>
      <c r="F167" s="4" t="s">
        <v>773</v>
      </c>
      <c r="G167" s="12">
        <v>46054.0</v>
      </c>
      <c r="H167" s="8">
        <v>3818.0</v>
      </c>
      <c r="I167" s="8">
        <v>3776.0</v>
      </c>
      <c r="J167" s="8">
        <v>2009.0</v>
      </c>
      <c r="K167" s="9">
        <f t="shared" si="1"/>
        <v>0.5320444915</v>
      </c>
      <c r="L167" s="8">
        <v>521.0</v>
      </c>
      <c r="M167" s="9">
        <f t="shared" si="2"/>
        <v>0.1379766949</v>
      </c>
      <c r="N167" s="8">
        <v>137.0</v>
      </c>
      <c r="O167" s="9">
        <f t="shared" si="3"/>
        <v>0.03628177966</v>
      </c>
      <c r="P167" s="10">
        <v>7608.23</v>
      </c>
      <c r="Q167" s="11">
        <f t="shared" si="4"/>
        <v>2.014891419</v>
      </c>
      <c r="R167" s="8">
        <v>6.0</v>
      </c>
      <c r="S167" s="9">
        <f t="shared" si="5"/>
        <v>0.001588983051</v>
      </c>
    </row>
    <row r="168" ht="15.75" customHeight="1">
      <c r="A168" s="4" t="s">
        <v>799</v>
      </c>
      <c r="B168" s="4" t="s">
        <v>800</v>
      </c>
      <c r="C168" s="4" t="s">
        <v>801</v>
      </c>
      <c r="D168" s="4">
        <v>2.0</v>
      </c>
      <c r="E168" s="4" t="s">
        <v>66</v>
      </c>
      <c r="F168" s="4" t="s">
        <v>773</v>
      </c>
      <c r="G168" s="12">
        <v>46082.0</v>
      </c>
      <c r="H168" s="8">
        <v>3230.0</v>
      </c>
      <c r="I168" s="8">
        <v>3216.0</v>
      </c>
      <c r="J168" s="8">
        <v>1501.0</v>
      </c>
      <c r="K168" s="9">
        <f t="shared" si="1"/>
        <v>0.4667288557</v>
      </c>
      <c r="L168" s="8">
        <v>421.0</v>
      </c>
      <c r="M168" s="9">
        <f t="shared" si="2"/>
        <v>0.1309079602</v>
      </c>
      <c r="N168" s="8">
        <v>111.0</v>
      </c>
      <c r="O168" s="9">
        <f t="shared" si="3"/>
        <v>0.03451492537</v>
      </c>
      <c r="P168" s="10">
        <v>7117.68</v>
      </c>
      <c r="Q168" s="11">
        <f t="shared" si="4"/>
        <v>2.213208955</v>
      </c>
      <c r="R168" s="8">
        <v>1.0</v>
      </c>
      <c r="S168" s="9">
        <f t="shared" si="5"/>
        <v>0.0003109452736</v>
      </c>
    </row>
    <row r="169" ht="15.75" customHeight="1">
      <c r="A169" s="4" t="s">
        <v>799</v>
      </c>
      <c r="B169" s="4" t="s">
        <v>800</v>
      </c>
      <c r="C169" s="4" t="s">
        <v>801</v>
      </c>
      <c r="D169" s="4">
        <v>2.0</v>
      </c>
      <c r="E169" s="4" t="s">
        <v>66</v>
      </c>
      <c r="F169" s="4" t="s">
        <v>773</v>
      </c>
      <c r="G169" s="12">
        <v>46113.0</v>
      </c>
      <c r="H169" s="8">
        <v>2914.0</v>
      </c>
      <c r="I169" s="8">
        <v>2873.0</v>
      </c>
      <c r="J169" s="8">
        <v>1409.0</v>
      </c>
      <c r="K169" s="9">
        <f t="shared" si="1"/>
        <v>0.4904281239</v>
      </c>
      <c r="L169" s="8">
        <v>406.0</v>
      </c>
      <c r="M169" s="9">
        <f t="shared" si="2"/>
        <v>0.1413156979</v>
      </c>
      <c r="N169" s="8">
        <v>133.0</v>
      </c>
      <c r="O169" s="9">
        <f t="shared" si="3"/>
        <v>0.04629307344</v>
      </c>
      <c r="P169" s="10">
        <v>5922.15</v>
      </c>
      <c r="Q169" s="11">
        <f t="shared" si="4"/>
        <v>2.061312217</v>
      </c>
      <c r="R169" s="8">
        <v>2.0</v>
      </c>
      <c r="S169" s="9">
        <f t="shared" si="5"/>
        <v>0.0006961364427</v>
      </c>
    </row>
    <row r="170" ht="15.75" customHeight="1">
      <c r="A170" s="4" t="s">
        <v>802</v>
      </c>
      <c r="B170" s="4" t="s">
        <v>803</v>
      </c>
      <c r="C170" s="4" t="s">
        <v>776</v>
      </c>
      <c r="D170" s="4">
        <v>3.0</v>
      </c>
      <c r="E170" s="4" t="s">
        <v>66</v>
      </c>
      <c r="F170" s="4" t="s">
        <v>773</v>
      </c>
      <c r="G170" s="12">
        <v>45778.0</v>
      </c>
      <c r="H170" s="8">
        <v>20597.0</v>
      </c>
      <c r="I170" s="8">
        <v>20522.0</v>
      </c>
      <c r="J170" s="8">
        <v>8618.0</v>
      </c>
      <c r="K170" s="9">
        <f t="shared" si="1"/>
        <v>0.419939577</v>
      </c>
      <c r="L170" s="8">
        <v>1167.0</v>
      </c>
      <c r="M170" s="9">
        <f t="shared" si="2"/>
        <v>0.05686580255</v>
      </c>
      <c r="N170" s="8">
        <v>272.0</v>
      </c>
      <c r="O170" s="9">
        <f t="shared" si="3"/>
        <v>0.0132540688</v>
      </c>
      <c r="P170" s="10">
        <v>10829.16</v>
      </c>
      <c r="Q170" s="11">
        <f t="shared" si="4"/>
        <v>0.5276854108</v>
      </c>
      <c r="R170" s="8">
        <v>40.0</v>
      </c>
      <c r="S170" s="9">
        <f t="shared" si="5"/>
        <v>0.001949127765</v>
      </c>
    </row>
    <row r="171" ht="15.75" customHeight="1">
      <c r="A171" s="4" t="s">
        <v>802</v>
      </c>
      <c r="B171" s="4" t="s">
        <v>803</v>
      </c>
      <c r="C171" s="4" t="s">
        <v>776</v>
      </c>
      <c r="D171" s="4">
        <v>3.0</v>
      </c>
      <c r="E171" s="4" t="s">
        <v>66</v>
      </c>
      <c r="F171" s="4" t="s">
        <v>773</v>
      </c>
      <c r="G171" s="12">
        <v>45809.0</v>
      </c>
      <c r="H171" s="8">
        <v>17182.0</v>
      </c>
      <c r="I171" s="8">
        <v>17146.0</v>
      </c>
      <c r="J171" s="8">
        <v>7010.0</v>
      </c>
      <c r="K171" s="9">
        <f t="shared" si="1"/>
        <v>0.4088417124</v>
      </c>
      <c r="L171" s="8">
        <v>885.0</v>
      </c>
      <c r="M171" s="9">
        <f t="shared" si="2"/>
        <v>0.05161553715</v>
      </c>
      <c r="N171" s="8">
        <v>196.0</v>
      </c>
      <c r="O171" s="9">
        <f t="shared" si="3"/>
        <v>0.01143123761</v>
      </c>
      <c r="P171" s="10">
        <v>11413.51</v>
      </c>
      <c r="Q171" s="11">
        <f t="shared" si="4"/>
        <v>0.6656660446</v>
      </c>
      <c r="R171" s="8">
        <v>8.0</v>
      </c>
      <c r="S171" s="9">
        <f t="shared" si="5"/>
        <v>0.0004665811268</v>
      </c>
    </row>
    <row r="172" ht="15.75" customHeight="1">
      <c r="A172" s="4" t="s">
        <v>802</v>
      </c>
      <c r="B172" s="4" t="s">
        <v>803</v>
      </c>
      <c r="C172" s="4" t="s">
        <v>776</v>
      </c>
      <c r="D172" s="4">
        <v>3.0</v>
      </c>
      <c r="E172" s="4" t="s">
        <v>66</v>
      </c>
      <c r="F172" s="4" t="s">
        <v>773</v>
      </c>
      <c r="G172" s="12">
        <v>45839.0</v>
      </c>
      <c r="H172" s="8">
        <v>15281.0</v>
      </c>
      <c r="I172" s="8">
        <v>15060.0</v>
      </c>
      <c r="J172" s="8">
        <v>7180.0</v>
      </c>
      <c r="K172" s="9">
        <f t="shared" si="1"/>
        <v>0.4767596282</v>
      </c>
      <c r="L172" s="8">
        <v>1004.0</v>
      </c>
      <c r="M172" s="9">
        <f t="shared" si="2"/>
        <v>0.06666666667</v>
      </c>
      <c r="N172" s="8">
        <v>168.0</v>
      </c>
      <c r="O172" s="9">
        <f t="shared" si="3"/>
        <v>0.01115537849</v>
      </c>
      <c r="P172" s="10">
        <v>10091.01</v>
      </c>
      <c r="Q172" s="11">
        <f t="shared" si="4"/>
        <v>0.6700537849</v>
      </c>
      <c r="R172" s="8">
        <v>7.0</v>
      </c>
      <c r="S172" s="9">
        <f t="shared" si="5"/>
        <v>0.0004648074369</v>
      </c>
    </row>
    <row r="173" ht="15.75" customHeight="1">
      <c r="A173" s="4" t="s">
        <v>802</v>
      </c>
      <c r="B173" s="4" t="s">
        <v>803</v>
      </c>
      <c r="C173" s="4" t="s">
        <v>776</v>
      </c>
      <c r="D173" s="4">
        <v>3.0</v>
      </c>
      <c r="E173" s="4" t="s">
        <v>66</v>
      </c>
      <c r="F173" s="4" t="s">
        <v>773</v>
      </c>
      <c r="G173" s="12">
        <v>45870.0</v>
      </c>
      <c r="H173" s="8">
        <v>18465.0</v>
      </c>
      <c r="I173" s="8">
        <v>18366.0</v>
      </c>
      <c r="J173" s="8">
        <v>7154.0</v>
      </c>
      <c r="K173" s="9">
        <f t="shared" si="1"/>
        <v>0.3895241207</v>
      </c>
      <c r="L173" s="8">
        <v>1187.0</v>
      </c>
      <c r="M173" s="9">
        <f t="shared" si="2"/>
        <v>0.06463029511</v>
      </c>
      <c r="N173" s="8">
        <v>232.0</v>
      </c>
      <c r="O173" s="9">
        <f t="shared" si="3"/>
        <v>0.01263203746</v>
      </c>
      <c r="P173" s="10">
        <v>10060.38</v>
      </c>
      <c r="Q173" s="11">
        <f t="shared" si="4"/>
        <v>0.5477719699</v>
      </c>
      <c r="R173" s="8">
        <v>11.0</v>
      </c>
      <c r="S173" s="9">
        <f t="shared" si="5"/>
        <v>0.0005989328106</v>
      </c>
    </row>
    <row r="174" ht="15.75" customHeight="1">
      <c r="A174" s="4" t="s">
        <v>802</v>
      </c>
      <c r="B174" s="4" t="s">
        <v>803</v>
      </c>
      <c r="C174" s="4" t="s">
        <v>776</v>
      </c>
      <c r="D174" s="4">
        <v>3.0</v>
      </c>
      <c r="E174" s="4" t="s">
        <v>66</v>
      </c>
      <c r="F174" s="4" t="s">
        <v>773</v>
      </c>
      <c r="G174" s="12">
        <v>45901.0</v>
      </c>
      <c r="H174" s="8">
        <v>16847.0</v>
      </c>
      <c r="I174" s="8">
        <v>16710.0</v>
      </c>
      <c r="J174" s="8">
        <v>7833.0</v>
      </c>
      <c r="K174" s="9">
        <f t="shared" si="1"/>
        <v>0.4687612208</v>
      </c>
      <c r="L174" s="8">
        <v>1054.0</v>
      </c>
      <c r="M174" s="9">
        <f t="shared" si="2"/>
        <v>0.06307600239</v>
      </c>
      <c r="N174" s="8">
        <v>182.0</v>
      </c>
      <c r="O174" s="9">
        <f t="shared" si="3"/>
        <v>0.01089168163</v>
      </c>
      <c r="P174" s="10">
        <v>8995.82</v>
      </c>
      <c r="Q174" s="11">
        <f t="shared" si="4"/>
        <v>0.5383494913</v>
      </c>
      <c r="R174" s="8">
        <v>8.0</v>
      </c>
      <c r="S174" s="9">
        <f t="shared" si="5"/>
        <v>0.0004787552364</v>
      </c>
    </row>
    <row r="175" ht="15.75" customHeight="1">
      <c r="A175" s="4" t="s">
        <v>802</v>
      </c>
      <c r="B175" s="4" t="s">
        <v>803</v>
      </c>
      <c r="C175" s="4" t="s">
        <v>776</v>
      </c>
      <c r="D175" s="4">
        <v>3.0</v>
      </c>
      <c r="E175" s="4" t="s">
        <v>66</v>
      </c>
      <c r="F175" s="4" t="s">
        <v>773</v>
      </c>
      <c r="G175" s="12">
        <v>45931.0</v>
      </c>
      <c r="H175" s="8">
        <v>22522.0</v>
      </c>
      <c r="I175" s="8">
        <v>22348.0</v>
      </c>
      <c r="J175" s="8">
        <v>8894.0</v>
      </c>
      <c r="K175" s="9">
        <f t="shared" si="1"/>
        <v>0.3979774476</v>
      </c>
      <c r="L175" s="8">
        <v>1357.0</v>
      </c>
      <c r="M175" s="9">
        <f t="shared" si="2"/>
        <v>0.06072131734</v>
      </c>
      <c r="N175" s="8">
        <v>273.0</v>
      </c>
      <c r="O175" s="9">
        <f t="shared" si="3"/>
        <v>0.01221585824</v>
      </c>
      <c r="P175" s="10">
        <v>12487.83</v>
      </c>
      <c r="Q175" s="11">
        <f t="shared" si="4"/>
        <v>0.5587896009</v>
      </c>
      <c r="R175" s="8">
        <v>42.0</v>
      </c>
      <c r="S175" s="9">
        <f t="shared" si="5"/>
        <v>0.001879362807</v>
      </c>
    </row>
    <row r="176" ht="15.75" customHeight="1">
      <c r="A176" s="4" t="s">
        <v>802</v>
      </c>
      <c r="B176" s="4" t="s">
        <v>803</v>
      </c>
      <c r="C176" s="4" t="s">
        <v>776</v>
      </c>
      <c r="D176" s="4">
        <v>3.0</v>
      </c>
      <c r="E176" s="4" t="s">
        <v>66</v>
      </c>
      <c r="F176" s="4" t="s">
        <v>773</v>
      </c>
      <c r="G176" s="12">
        <v>45962.0</v>
      </c>
      <c r="H176" s="8">
        <v>27498.0</v>
      </c>
      <c r="I176" s="8">
        <v>27290.0</v>
      </c>
      <c r="J176" s="8">
        <v>11060.0</v>
      </c>
      <c r="K176" s="9">
        <f t="shared" si="1"/>
        <v>0.4052766581</v>
      </c>
      <c r="L176" s="8">
        <v>1544.0</v>
      </c>
      <c r="M176" s="9">
        <f t="shared" si="2"/>
        <v>0.05657750092</v>
      </c>
      <c r="N176" s="8">
        <v>378.0</v>
      </c>
      <c r="O176" s="9">
        <f t="shared" si="3"/>
        <v>0.01385122756</v>
      </c>
      <c r="P176" s="10">
        <v>16573.32</v>
      </c>
      <c r="Q176" s="11">
        <f t="shared" si="4"/>
        <v>0.6073037743</v>
      </c>
      <c r="R176" s="8">
        <v>10.0</v>
      </c>
      <c r="S176" s="9">
        <f t="shared" si="5"/>
        <v>0.0003664345914</v>
      </c>
    </row>
    <row r="177" ht="15.75" customHeight="1">
      <c r="A177" s="4" t="s">
        <v>802</v>
      </c>
      <c r="B177" s="4" t="s">
        <v>803</v>
      </c>
      <c r="C177" s="4" t="s">
        <v>776</v>
      </c>
      <c r="D177" s="4">
        <v>3.0</v>
      </c>
      <c r="E177" s="4" t="s">
        <v>66</v>
      </c>
      <c r="F177" s="4" t="s">
        <v>773</v>
      </c>
      <c r="G177" s="12">
        <v>45992.0</v>
      </c>
      <c r="H177" s="8">
        <v>19320.0</v>
      </c>
      <c r="I177" s="8">
        <v>19257.0</v>
      </c>
      <c r="J177" s="8">
        <v>7558.0</v>
      </c>
      <c r="K177" s="9">
        <f t="shared" si="1"/>
        <v>0.3924806564</v>
      </c>
      <c r="L177" s="8">
        <v>1115.0</v>
      </c>
      <c r="M177" s="9">
        <f t="shared" si="2"/>
        <v>0.057901023</v>
      </c>
      <c r="N177" s="8">
        <v>192.0</v>
      </c>
      <c r="O177" s="9">
        <f t="shared" si="3"/>
        <v>0.009970400374</v>
      </c>
      <c r="P177" s="10">
        <v>11179.56</v>
      </c>
      <c r="Q177" s="11">
        <f t="shared" si="4"/>
        <v>0.5805452563</v>
      </c>
      <c r="R177" s="8">
        <v>28.0</v>
      </c>
      <c r="S177" s="9">
        <f t="shared" si="5"/>
        <v>0.001454016721</v>
      </c>
    </row>
    <row r="178" ht="15.75" customHeight="1">
      <c r="A178" s="4" t="s">
        <v>802</v>
      </c>
      <c r="B178" s="4" t="s">
        <v>803</v>
      </c>
      <c r="C178" s="4" t="s">
        <v>776</v>
      </c>
      <c r="D178" s="4">
        <v>3.0</v>
      </c>
      <c r="E178" s="4" t="s">
        <v>66</v>
      </c>
      <c r="F178" s="4" t="s">
        <v>773</v>
      </c>
      <c r="G178" s="12">
        <v>46023.0</v>
      </c>
      <c r="H178" s="8">
        <v>17095.0</v>
      </c>
      <c r="I178" s="8">
        <v>16978.0</v>
      </c>
      <c r="J178" s="8">
        <v>7811.0</v>
      </c>
      <c r="K178" s="9">
        <f t="shared" si="1"/>
        <v>0.4600659677</v>
      </c>
      <c r="L178" s="8">
        <v>1002.0</v>
      </c>
      <c r="M178" s="9">
        <f t="shared" si="2"/>
        <v>0.05901755213</v>
      </c>
      <c r="N178" s="8">
        <v>191.0</v>
      </c>
      <c r="O178" s="9">
        <f t="shared" si="3"/>
        <v>0.01124985275</v>
      </c>
      <c r="P178" s="10">
        <v>9674.4</v>
      </c>
      <c r="Q178" s="11">
        <f t="shared" si="4"/>
        <v>0.5698197668</v>
      </c>
      <c r="R178" s="8">
        <v>10.0</v>
      </c>
      <c r="S178" s="9">
        <f t="shared" si="5"/>
        <v>0.0005889975262</v>
      </c>
    </row>
    <row r="179" ht="15.75" customHeight="1">
      <c r="A179" s="4" t="s">
        <v>802</v>
      </c>
      <c r="B179" s="4" t="s">
        <v>803</v>
      </c>
      <c r="C179" s="4" t="s">
        <v>776</v>
      </c>
      <c r="D179" s="4">
        <v>3.0</v>
      </c>
      <c r="E179" s="4" t="s">
        <v>66</v>
      </c>
      <c r="F179" s="4" t="s">
        <v>773</v>
      </c>
      <c r="G179" s="12">
        <v>46054.0</v>
      </c>
      <c r="H179" s="8">
        <v>21334.0</v>
      </c>
      <c r="I179" s="8">
        <v>21238.0</v>
      </c>
      <c r="J179" s="8">
        <v>8399.0</v>
      </c>
      <c r="K179" s="9">
        <f t="shared" si="1"/>
        <v>0.3954703833</v>
      </c>
      <c r="L179" s="8">
        <v>1435.0</v>
      </c>
      <c r="M179" s="9">
        <f t="shared" si="2"/>
        <v>0.06756756757</v>
      </c>
      <c r="N179" s="8">
        <v>281.0</v>
      </c>
      <c r="O179" s="9">
        <f t="shared" si="3"/>
        <v>0.01323100104</v>
      </c>
      <c r="P179" s="10">
        <v>13001.95</v>
      </c>
      <c r="Q179" s="11">
        <f t="shared" si="4"/>
        <v>0.6122021848</v>
      </c>
      <c r="R179" s="8">
        <v>9.0</v>
      </c>
      <c r="S179" s="9">
        <f t="shared" si="5"/>
        <v>0.0004237687165</v>
      </c>
    </row>
    <row r="180" ht="15.75" customHeight="1">
      <c r="A180" s="4" t="s">
        <v>802</v>
      </c>
      <c r="B180" s="4" t="s">
        <v>803</v>
      </c>
      <c r="C180" s="4" t="s">
        <v>776</v>
      </c>
      <c r="D180" s="4">
        <v>3.0</v>
      </c>
      <c r="E180" s="4" t="s">
        <v>66</v>
      </c>
      <c r="F180" s="4" t="s">
        <v>773</v>
      </c>
      <c r="G180" s="12">
        <v>46082.0</v>
      </c>
      <c r="H180" s="8">
        <v>20614.0</v>
      </c>
      <c r="I180" s="8">
        <v>20492.0</v>
      </c>
      <c r="J180" s="8">
        <v>8144.0</v>
      </c>
      <c r="K180" s="9">
        <f t="shared" si="1"/>
        <v>0.3974233847</v>
      </c>
      <c r="L180" s="8">
        <v>1159.0</v>
      </c>
      <c r="M180" s="9">
        <f t="shared" si="2"/>
        <v>0.05655865704</v>
      </c>
      <c r="N180" s="8">
        <v>260.0</v>
      </c>
      <c r="O180" s="9">
        <f t="shared" si="3"/>
        <v>0.0126878782</v>
      </c>
      <c r="P180" s="10">
        <v>13278.18</v>
      </c>
      <c r="Q180" s="11">
        <f t="shared" si="4"/>
        <v>0.6479689635</v>
      </c>
      <c r="R180" s="8">
        <v>22.0</v>
      </c>
      <c r="S180" s="9">
        <f t="shared" si="5"/>
        <v>0.001073589694</v>
      </c>
    </row>
    <row r="181" ht="15.75" customHeight="1">
      <c r="A181" s="4" t="s">
        <v>802</v>
      </c>
      <c r="B181" s="4" t="s">
        <v>803</v>
      </c>
      <c r="C181" s="4" t="s">
        <v>776</v>
      </c>
      <c r="D181" s="4">
        <v>3.0</v>
      </c>
      <c r="E181" s="4" t="s">
        <v>66</v>
      </c>
      <c r="F181" s="4" t="s">
        <v>773</v>
      </c>
      <c r="G181" s="12">
        <v>46113.0</v>
      </c>
      <c r="H181" s="8">
        <v>20416.0</v>
      </c>
      <c r="I181" s="8">
        <v>20147.0</v>
      </c>
      <c r="J181" s="8">
        <v>9706.0</v>
      </c>
      <c r="K181" s="9">
        <f t="shared" si="1"/>
        <v>0.4817590708</v>
      </c>
      <c r="L181" s="8">
        <v>1121.0</v>
      </c>
      <c r="M181" s="9">
        <f t="shared" si="2"/>
        <v>0.05564103837</v>
      </c>
      <c r="N181" s="8">
        <v>228.0</v>
      </c>
      <c r="O181" s="9">
        <f t="shared" si="3"/>
        <v>0.01131682136</v>
      </c>
      <c r="P181" s="10">
        <v>10939.89</v>
      </c>
      <c r="Q181" s="11">
        <f t="shared" si="4"/>
        <v>0.5430034248</v>
      </c>
      <c r="R181" s="8">
        <v>37.0</v>
      </c>
      <c r="S181" s="9">
        <f t="shared" si="5"/>
        <v>0.001836501712</v>
      </c>
    </row>
    <row r="182" ht="15.75" customHeight="1">
      <c r="A182" s="4" t="s">
        <v>804</v>
      </c>
      <c r="B182" s="4" t="s">
        <v>805</v>
      </c>
      <c r="C182" s="4" t="s">
        <v>776</v>
      </c>
      <c r="D182" s="4">
        <v>2.0</v>
      </c>
      <c r="E182" s="4" t="s">
        <v>66</v>
      </c>
      <c r="F182" s="4" t="s">
        <v>773</v>
      </c>
      <c r="G182" s="12">
        <v>45778.0</v>
      </c>
      <c r="H182" s="8">
        <v>60030.0</v>
      </c>
      <c r="I182" s="8">
        <v>59801.0</v>
      </c>
      <c r="J182" s="8">
        <v>35517.0</v>
      </c>
      <c r="K182" s="9">
        <f t="shared" si="1"/>
        <v>0.5939198341</v>
      </c>
      <c r="L182" s="8">
        <v>4170.0</v>
      </c>
      <c r="M182" s="9">
        <f t="shared" si="2"/>
        <v>0.0697312754</v>
      </c>
      <c r="N182" s="8">
        <v>98.0</v>
      </c>
      <c r="O182" s="9">
        <f t="shared" si="3"/>
        <v>0.001638768582</v>
      </c>
      <c r="P182" s="10">
        <v>7928.41</v>
      </c>
      <c r="Q182" s="11">
        <f t="shared" si="4"/>
        <v>0.13257989</v>
      </c>
      <c r="R182" s="8">
        <v>66.0</v>
      </c>
      <c r="S182" s="9">
        <f t="shared" si="5"/>
        <v>0.001103660474</v>
      </c>
    </row>
    <row r="183" ht="15.75" customHeight="1">
      <c r="A183" s="4" t="s">
        <v>804</v>
      </c>
      <c r="B183" s="4" t="s">
        <v>805</v>
      </c>
      <c r="C183" s="4" t="s">
        <v>776</v>
      </c>
      <c r="D183" s="4">
        <v>2.0</v>
      </c>
      <c r="E183" s="4" t="s">
        <v>66</v>
      </c>
      <c r="F183" s="4" t="s">
        <v>773</v>
      </c>
      <c r="G183" s="12">
        <v>45809.0</v>
      </c>
      <c r="H183" s="8">
        <v>57669.0</v>
      </c>
      <c r="I183" s="8">
        <v>57015.0</v>
      </c>
      <c r="J183" s="8">
        <v>34064.0</v>
      </c>
      <c r="K183" s="9">
        <f t="shared" si="1"/>
        <v>0.5974568096</v>
      </c>
      <c r="L183" s="8">
        <v>4080.0</v>
      </c>
      <c r="M183" s="9">
        <f t="shared" si="2"/>
        <v>0.07156011576</v>
      </c>
      <c r="N183" s="8">
        <v>114.0</v>
      </c>
      <c r="O183" s="9">
        <f t="shared" si="3"/>
        <v>0.001999473823</v>
      </c>
      <c r="P183" s="10">
        <v>8310.27</v>
      </c>
      <c r="Q183" s="11">
        <f t="shared" si="4"/>
        <v>0.1457558537</v>
      </c>
      <c r="R183" s="8">
        <v>86.0</v>
      </c>
      <c r="S183" s="9">
        <f t="shared" si="5"/>
        <v>0.001508374989</v>
      </c>
    </row>
    <row r="184" ht="15.75" customHeight="1">
      <c r="A184" s="4" t="s">
        <v>804</v>
      </c>
      <c r="B184" s="4" t="s">
        <v>805</v>
      </c>
      <c r="C184" s="4" t="s">
        <v>776</v>
      </c>
      <c r="D184" s="4">
        <v>2.0</v>
      </c>
      <c r="E184" s="4" t="s">
        <v>66</v>
      </c>
      <c r="F184" s="4" t="s">
        <v>773</v>
      </c>
      <c r="G184" s="12">
        <v>45839.0</v>
      </c>
      <c r="H184" s="8">
        <v>43663.0</v>
      </c>
      <c r="I184" s="8">
        <v>43323.0</v>
      </c>
      <c r="J184" s="8">
        <v>24094.0</v>
      </c>
      <c r="K184" s="9">
        <f t="shared" si="1"/>
        <v>0.5561480045</v>
      </c>
      <c r="L184" s="8">
        <v>2852.0</v>
      </c>
      <c r="M184" s="9">
        <f t="shared" si="2"/>
        <v>0.0658310828</v>
      </c>
      <c r="N184" s="8">
        <v>85.0</v>
      </c>
      <c r="O184" s="9">
        <f t="shared" si="3"/>
        <v>0.001962006325</v>
      </c>
      <c r="P184" s="10">
        <v>6674.95</v>
      </c>
      <c r="Q184" s="11">
        <f t="shared" si="4"/>
        <v>0.1540740484</v>
      </c>
      <c r="R184" s="8">
        <v>30.0</v>
      </c>
      <c r="S184" s="9">
        <f t="shared" si="5"/>
        <v>0.0006924728204</v>
      </c>
    </row>
    <row r="185" ht="15.75" customHeight="1">
      <c r="A185" s="4" t="s">
        <v>804</v>
      </c>
      <c r="B185" s="4" t="s">
        <v>805</v>
      </c>
      <c r="C185" s="4" t="s">
        <v>776</v>
      </c>
      <c r="D185" s="4">
        <v>2.0</v>
      </c>
      <c r="E185" s="4" t="s">
        <v>66</v>
      </c>
      <c r="F185" s="4" t="s">
        <v>773</v>
      </c>
      <c r="G185" s="12">
        <v>45870.0</v>
      </c>
      <c r="H185" s="8">
        <v>48232.0</v>
      </c>
      <c r="I185" s="8">
        <v>47608.0</v>
      </c>
      <c r="J185" s="8">
        <v>29392.0</v>
      </c>
      <c r="K185" s="9">
        <f t="shared" si="1"/>
        <v>0.6173752311</v>
      </c>
      <c r="L185" s="8">
        <v>2898.0</v>
      </c>
      <c r="M185" s="9">
        <f t="shared" si="2"/>
        <v>0.06087212233</v>
      </c>
      <c r="N185" s="8">
        <v>84.0</v>
      </c>
      <c r="O185" s="9">
        <f t="shared" si="3"/>
        <v>0.001764409343</v>
      </c>
      <c r="P185" s="10">
        <v>7556.95</v>
      </c>
      <c r="Q185" s="11">
        <f t="shared" si="4"/>
        <v>0.158732776</v>
      </c>
      <c r="R185" s="8">
        <v>49.0</v>
      </c>
      <c r="S185" s="9">
        <f t="shared" si="5"/>
        <v>0.001029238783</v>
      </c>
    </row>
    <row r="186" ht="15.75" customHeight="1">
      <c r="A186" s="4" t="s">
        <v>804</v>
      </c>
      <c r="B186" s="4" t="s">
        <v>805</v>
      </c>
      <c r="C186" s="4" t="s">
        <v>776</v>
      </c>
      <c r="D186" s="4">
        <v>2.0</v>
      </c>
      <c r="E186" s="4" t="s">
        <v>66</v>
      </c>
      <c r="F186" s="4" t="s">
        <v>773</v>
      </c>
      <c r="G186" s="12">
        <v>45901.0</v>
      </c>
      <c r="H186" s="8">
        <v>62923.0</v>
      </c>
      <c r="I186" s="8">
        <v>62443.0</v>
      </c>
      <c r="J186" s="8">
        <v>37248.0</v>
      </c>
      <c r="K186" s="9">
        <f t="shared" si="1"/>
        <v>0.596512019</v>
      </c>
      <c r="L186" s="8">
        <v>4625.0</v>
      </c>
      <c r="M186" s="9">
        <f t="shared" si="2"/>
        <v>0.07406754961</v>
      </c>
      <c r="N186" s="8">
        <v>108.0</v>
      </c>
      <c r="O186" s="9">
        <f t="shared" si="3"/>
        <v>0.001729577375</v>
      </c>
      <c r="P186" s="10">
        <v>9843.03</v>
      </c>
      <c r="Q186" s="11">
        <f t="shared" si="4"/>
        <v>0.1576322406</v>
      </c>
      <c r="R186" s="8">
        <v>97.0</v>
      </c>
      <c r="S186" s="9">
        <f t="shared" si="5"/>
        <v>0.001553416716</v>
      </c>
    </row>
    <row r="187" ht="15.75" customHeight="1">
      <c r="A187" s="4" t="s">
        <v>804</v>
      </c>
      <c r="B187" s="4" t="s">
        <v>805</v>
      </c>
      <c r="C187" s="4" t="s">
        <v>776</v>
      </c>
      <c r="D187" s="4">
        <v>2.0</v>
      </c>
      <c r="E187" s="4" t="s">
        <v>66</v>
      </c>
      <c r="F187" s="4" t="s">
        <v>773</v>
      </c>
      <c r="G187" s="12">
        <v>45931.0</v>
      </c>
      <c r="H187" s="8">
        <v>64346.0</v>
      </c>
      <c r="I187" s="8">
        <v>64080.0</v>
      </c>
      <c r="J187" s="8">
        <v>36052.0</v>
      </c>
      <c r="K187" s="9">
        <f t="shared" si="1"/>
        <v>0.5626092385</v>
      </c>
      <c r="L187" s="8">
        <v>4614.0</v>
      </c>
      <c r="M187" s="9">
        <f t="shared" si="2"/>
        <v>0.07200374532</v>
      </c>
      <c r="N187" s="8">
        <v>119.0</v>
      </c>
      <c r="O187" s="9">
        <f t="shared" si="3"/>
        <v>0.001857053683</v>
      </c>
      <c r="P187" s="10">
        <v>8451.79</v>
      </c>
      <c r="Q187" s="11">
        <f t="shared" si="4"/>
        <v>0.1318943508</v>
      </c>
      <c r="R187" s="8">
        <v>67.0</v>
      </c>
      <c r="S187" s="9">
        <f t="shared" si="5"/>
        <v>0.00104556804</v>
      </c>
    </row>
    <row r="188" ht="15.75" customHeight="1">
      <c r="A188" s="4" t="s">
        <v>804</v>
      </c>
      <c r="B188" s="4" t="s">
        <v>805</v>
      </c>
      <c r="C188" s="4" t="s">
        <v>776</v>
      </c>
      <c r="D188" s="4">
        <v>2.0</v>
      </c>
      <c r="E188" s="4" t="s">
        <v>66</v>
      </c>
      <c r="F188" s="4" t="s">
        <v>773</v>
      </c>
      <c r="G188" s="12">
        <v>45962.0</v>
      </c>
      <c r="H188" s="8">
        <v>72565.0</v>
      </c>
      <c r="I188" s="8">
        <v>71859.0</v>
      </c>
      <c r="J188" s="8">
        <v>45603.0</v>
      </c>
      <c r="K188" s="9">
        <f t="shared" si="1"/>
        <v>0.6346177932</v>
      </c>
      <c r="L188" s="8">
        <v>5310.0</v>
      </c>
      <c r="M188" s="9">
        <f t="shared" si="2"/>
        <v>0.07389471047</v>
      </c>
      <c r="N188" s="8">
        <v>149.0</v>
      </c>
      <c r="O188" s="9">
        <f t="shared" si="3"/>
        <v>0.002073505059</v>
      </c>
      <c r="P188" s="10">
        <v>11813.19</v>
      </c>
      <c r="Q188" s="11">
        <f t="shared" si="4"/>
        <v>0.1643940216</v>
      </c>
      <c r="R188" s="8">
        <v>61.0</v>
      </c>
      <c r="S188" s="9">
        <f t="shared" si="5"/>
        <v>0.0008488846213</v>
      </c>
    </row>
    <row r="189" ht="15.75" customHeight="1">
      <c r="A189" s="4" t="s">
        <v>804</v>
      </c>
      <c r="B189" s="4" t="s">
        <v>805</v>
      </c>
      <c r="C189" s="4" t="s">
        <v>776</v>
      </c>
      <c r="D189" s="4">
        <v>2.0</v>
      </c>
      <c r="E189" s="4" t="s">
        <v>66</v>
      </c>
      <c r="F189" s="4" t="s">
        <v>773</v>
      </c>
      <c r="G189" s="12">
        <v>45992.0</v>
      </c>
      <c r="H189" s="8">
        <v>71740.0</v>
      </c>
      <c r="I189" s="8">
        <v>70721.0</v>
      </c>
      <c r="J189" s="8">
        <v>40875.0</v>
      </c>
      <c r="K189" s="9">
        <f t="shared" si="1"/>
        <v>0.5779754246</v>
      </c>
      <c r="L189" s="8">
        <v>4414.0</v>
      </c>
      <c r="M189" s="9">
        <f t="shared" si="2"/>
        <v>0.06241427582</v>
      </c>
      <c r="N189" s="8">
        <v>146.0</v>
      </c>
      <c r="O189" s="9">
        <f t="shared" si="3"/>
        <v>0.002064450446</v>
      </c>
      <c r="P189" s="10">
        <v>11419.64</v>
      </c>
      <c r="Q189" s="11">
        <f t="shared" si="4"/>
        <v>0.1614745267</v>
      </c>
      <c r="R189" s="8">
        <v>118.0</v>
      </c>
      <c r="S189" s="9">
        <f t="shared" si="5"/>
        <v>0.001668528443</v>
      </c>
    </row>
    <row r="190" ht="15.75" customHeight="1">
      <c r="A190" s="4" t="s">
        <v>804</v>
      </c>
      <c r="B190" s="4" t="s">
        <v>805</v>
      </c>
      <c r="C190" s="4" t="s">
        <v>776</v>
      </c>
      <c r="D190" s="4">
        <v>2.0</v>
      </c>
      <c r="E190" s="4" t="s">
        <v>66</v>
      </c>
      <c r="F190" s="4" t="s">
        <v>773</v>
      </c>
      <c r="G190" s="12">
        <v>46023.0</v>
      </c>
      <c r="H190" s="8">
        <v>50355.0</v>
      </c>
      <c r="I190" s="8">
        <v>50032.0</v>
      </c>
      <c r="J190" s="8">
        <v>30669.0</v>
      </c>
      <c r="K190" s="9">
        <f t="shared" si="1"/>
        <v>0.6129876879</v>
      </c>
      <c r="L190" s="8">
        <v>3283.0</v>
      </c>
      <c r="M190" s="9">
        <f t="shared" si="2"/>
        <v>0.06561800448</v>
      </c>
      <c r="N190" s="8">
        <v>104.0</v>
      </c>
      <c r="O190" s="9">
        <f t="shared" si="3"/>
        <v>0.002078669651</v>
      </c>
      <c r="P190" s="10">
        <v>7385.83</v>
      </c>
      <c r="Q190" s="11">
        <f t="shared" si="4"/>
        <v>0.1476221218</v>
      </c>
      <c r="R190" s="8">
        <v>32.0</v>
      </c>
      <c r="S190" s="9">
        <f t="shared" si="5"/>
        <v>0.000639590662</v>
      </c>
    </row>
    <row r="191" ht="15.75" customHeight="1">
      <c r="A191" s="4" t="s">
        <v>804</v>
      </c>
      <c r="B191" s="4" t="s">
        <v>805</v>
      </c>
      <c r="C191" s="4" t="s">
        <v>776</v>
      </c>
      <c r="D191" s="4">
        <v>2.0</v>
      </c>
      <c r="E191" s="4" t="s">
        <v>66</v>
      </c>
      <c r="F191" s="4" t="s">
        <v>773</v>
      </c>
      <c r="G191" s="12">
        <v>46054.0</v>
      </c>
      <c r="H191" s="8">
        <v>67350.0</v>
      </c>
      <c r="I191" s="8">
        <v>66602.0</v>
      </c>
      <c r="J191" s="8">
        <v>44210.0</v>
      </c>
      <c r="K191" s="9">
        <f t="shared" si="1"/>
        <v>0.6637938801</v>
      </c>
      <c r="L191" s="8">
        <v>4913.0</v>
      </c>
      <c r="M191" s="9">
        <f t="shared" si="2"/>
        <v>0.07376655356</v>
      </c>
      <c r="N191" s="8">
        <v>155.0</v>
      </c>
      <c r="O191" s="9">
        <f t="shared" si="3"/>
        <v>0.00232725744</v>
      </c>
      <c r="P191" s="10">
        <v>11299.06</v>
      </c>
      <c r="Q191" s="11">
        <f t="shared" si="4"/>
        <v>0.1696504609</v>
      </c>
      <c r="R191" s="8">
        <v>101.0</v>
      </c>
      <c r="S191" s="9">
        <f t="shared" si="5"/>
        <v>0.001516470977</v>
      </c>
    </row>
    <row r="192" ht="15.75" customHeight="1">
      <c r="A192" s="4" t="s">
        <v>804</v>
      </c>
      <c r="B192" s="4" t="s">
        <v>805</v>
      </c>
      <c r="C192" s="4" t="s">
        <v>776</v>
      </c>
      <c r="D192" s="4">
        <v>2.0</v>
      </c>
      <c r="E192" s="4" t="s">
        <v>66</v>
      </c>
      <c r="F192" s="4" t="s">
        <v>773</v>
      </c>
      <c r="G192" s="12">
        <v>46082.0</v>
      </c>
      <c r="H192" s="8">
        <v>64941.0</v>
      </c>
      <c r="I192" s="8">
        <v>64802.0</v>
      </c>
      <c r="J192" s="8">
        <v>40974.0</v>
      </c>
      <c r="K192" s="9">
        <f t="shared" si="1"/>
        <v>0.6322952995</v>
      </c>
      <c r="L192" s="8">
        <v>4687.0</v>
      </c>
      <c r="M192" s="9">
        <f t="shared" si="2"/>
        <v>0.07232801457</v>
      </c>
      <c r="N192" s="8">
        <v>130.0</v>
      </c>
      <c r="O192" s="9">
        <f t="shared" si="3"/>
        <v>0.002006110923</v>
      </c>
      <c r="P192" s="10">
        <v>10734.04</v>
      </c>
      <c r="Q192" s="11">
        <f t="shared" si="4"/>
        <v>0.165643653</v>
      </c>
      <c r="R192" s="8">
        <v>113.0</v>
      </c>
      <c r="S192" s="9">
        <f t="shared" si="5"/>
        <v>0.00174377334</v>
      </c>
    </row>
    <row r="193" ht="15.75" customHeight="1">
      <c r="A193" s="4" t="s">
        <v>804</v>
      </c>
      <c r="B193" s="4" t="s">
        <v>805</v>
      </c>
      <c r="C193" s="4" t="s">
        <v>776</v>
      </c>
      <c r="D193" s="4">
        <v>2.0</v>
      </c>
      <c r="E193" s="4" t="s">
        <v>66</v>
      </c>
      <c r="F193" s="4" t="s">
        <v>773</v>
      </c>
      <c r="G193" s="12">
        <v>46113.0</v>
      </c>
      <c r="H193" s="8">
        <v>47779.0</v>
      </c>
      <c r="I193" s="8">
        <v>47621.0</v>
      </c>
      <c r="J193" s="8">
        <v>32840.0</v>
      </c>
      <c r="K193" s="9">
        <f t="shared" si="1"/>
        <v>0.6896117259</v>
      </c>
      <c r="L193" s="8">
        <v>2834.0</v>
      </c>
      <c r="M193" s="9">
        <f t="shared" si="2"/>
        <v>0.05951156003</v>
      </c>
      <c r="N193" s="8">
        <v>97.0</v>
      </c>
      <c r="O193" s="9">
        <f t="shared" si="3"/>
        <v>0.002036916486</v>
      </c>
      <c r="P193" s="10">
        <v>8168.97</v>
      </c>
      <c r="Q193" s="11">
        <f t="shared" si="4"/>
        <v>0.1715413368</v>
      </c>
      <c r="R193" s="8">
        <v>23.0</v>
      </c>
      <c r="S193" s="9">
        <f t="shared" si="5"/>
        <v>0.0004829801978</v>
      </c>
    </row>
    <row r="194" ht="15.75" customHeight="1">
      <c r="A194" s="4" t="s">
        <v>806</v>
      </c>
      <c r="B194" s="4" t="s">
        <v>807</v>
      </c>
      <c r="C194" s="4" t="s">
        <v>776</v>
      </c>
      <c r="D194" s="4">
        <v>1.0</v>
      </c>
      <c r="E194" s="4" t="s">
        <v>66</v>
      </c>
      <c r="F194" s="4" t="s">
        <v>773</v>
      </c>
      <c r="G194" s="12">
        <v>45778.0</v>
      </c>
      <c r="H194" s="8">
        <v>59117.0</v>
      </c>
      <c r="I194" s="8">
        <v>58254.0</v>
      </c>
      <c r="J194" s="8">
        <v>35525.0</v>
      </c>
      <c r="K194" s="9">
        <f t="shared" si="1"/>
        <v>0.6098293679</v>
      </c>
      <c r="L194" s="8">
        <v>4188.0</v>
      </c>
      <c r="M194" s="9">
        <f t="shared" si="2"/>
        <v>0.07189205891</v>
      </c>
      <c r="N194" s="8">
        <v>122.0</v>
      </c>
      <c r="O194" s="9">
        <f t="shared" si="3"/>
        <v>0.002094276788</v>
      </c>
      <c r="P194" s="10">
        <v>9293.25</v>
      </c>
      <c r="Q194" s="11">
        <f t="shared" si="4"/>
        <v>0.1595298177</v>
      </c>
      <c r="R194" s="8">
        <v>57.0</v>
      </c>
      <c r="S194" s="9">
        <f t="shared" si="5"/>
        <v>0.0009784735812</v>
      </c>
    </row>
    <row r="195" ht="15.75" customHeight="1">
      <c r="A195" s="4" t="s">
        <v>806</v>
      </c>
      <c r="B195" s="4" t="s">
        <v>807</v>
      </c>
      <c r="C195" s="4" t="s">
        <v>776</v>
      </c>
      <c r="D195" s="4">
        <v>1.0</v>
      </c>
      <c r="E195" s="4" t="s">
        <v>66</v>
      </c>
      <c r="F195" s="4" t="s">
        <v>773</v>
      </c>
      <c r="G195" s="12">
        <v>45809.0</v>
      </c>
      <c r="H195" s="8">
        <v>51234.0</v>
      </c>
      <c r="I195" s="8">
        <v>50606.0</v>
      </c>
      <c r="J195" s="8">
        <v>28916.0</v>
      </c>
      <c r="K195" s="9">
        <f t="shared" si="1"/>
        <v>0.5713946963</v>
      </c>
      <c r="L195" s="8">
        <v>3158.0</v>
      </c>
      <c r="M195" s="9">
        <f t="shared" si="2"/>
        <v>0.06240366755</v>
      </c>
      <c r="N195" s="8">
        <v>103.0</v>
      </c>
      <c r="O195" s="9">
        <f t="shared" si="3"/>
        <v>0.002035331779</v>
      </c>
      <c r="P195" s="10">
        <v>8372.75</v>
      </c>
      <c r="Q195" s="11">
        <f t="shared" si="4"/>
        <v>0.165449749</v>
      </c>
      <c r="R195" s="8">
        <v>46.0</v>
      </c>
      <c r="S195" s="9">
        <f t="shared" si="5"/>
        <v>0.0009089831245</v>
      </c>
    </row>
    <row r="196" ht="15.75" customHeight="1">
      <c r="A196" s="4" t="s">
        <v>806</v>
      </c>
      <c r="B196" s="4" t="s">
        <v>807</v>
      </c>
      <c r="C196" s="4" t="s">
        <v>776</v>
      </c>
      <c r="D196" s="4">
        <v>1.0</v>
      </c>
      <c r="E196" s="4" t="s">
        <v>66</v>
      </c>
      <c r="F196" s="4" t="s">
        <v>773</v>
      </c>
      <c r="G196" s="12">
        <v>45839.0</v>
      </c>
      <c r="H196" s="8">
        <v>48270.0</v>
      </c>
      <c r="I196" s="8">
        <v>47726.0</v>
      </c>
      <c r="J196" s="8">
        <v>32237.0</v>
      </c>
      <c r="K196" s="9">
        <f t="shared" si="1"/>
        <v>0.675459917</v>
      </c>
      <c r="L196" s="8">
        <v>2965.0</v>
      </c>
      <c r="M196" s="9">
        <f t="shared" si="2"/>
        <v>0.0621254662</v>
      </c>
      <c r="N196" s="8">
        <v>76.0</v>
      </c>
      <c r="O196" s="9">
        <f t="shared" si="3"/>
        <v>0.001592423417</v>
      </c>
      <c r="P196" s="10">
        <v>7477.59</v>
      </c>
      <c r="Q196" s="11">
        <f t="shared" si="4"/>
        <v>0.1566774924</v>
      </c>
      <c r="R196" s="8">
        <v>26.0</v>
      </c>
      <c r="S196" s="9">
        <f t="shared" si="5"/>
        <v>0.0005447764321</v>
      </c>
    </row>
    <row r="197" ht="15.75" customHeight="1">
      <c r="A197" s="4" t="s">
        <v>806</v>
      </c>
      <c r="B197" s="4" t="s">
        <v>807</v>
      </c>
      <c r="C197" s="4" t="s">
        <v>776</v>
      </c>
      <c r="D197" s="4">
        <v>1.0</v>
      </c>
      <c r="E197" s="4" t="s">
        <v>66</v>
      </c>
      <c r="F197" s="4" t="s">
        <v>773</v>
      </c>
      <c r="G197" s="12">
        <v>45870.0</v>
      </c>
      <c r="H197" s="8">
        <v>58283.0</v>
      </c>
      <c r="I197" s="8">
        <v>57907.0</v>
      </c>
      <c r="J197" s="8">
        <v>39994.0</v>
      </c>
      <c r="K197" s="9">
        <f t="shared" si="1"/>
        <v>0.6906591604</v>
      </c>
      <c r="L197" s="8">
        <v>3610.0</v>
      </c>
      <c r="M197" s="9">
        <f t="shared" si="2"/>
        <v>0.06234134043</v>
      </c>
      <c r="N197" s="8">
        <v>99.0</v>
      </c>
      <c r="O197" s="9">
        <f t="shared" si="3"/>
        <v>0.001709637868</v>
      </c>
      <c r="P197" s="10">
        <v>9483.28</v>
      </c>
      <c r="Q197" s="11">
        <f t="shared" si="4"/>
        <v>0.1637674202</v>
      </c>
      <c r="R197" s="8">
        <v>102.0</v>
      </c>
      <c r="S197" s="9">
        <f t="shared" si="5"/>
        <v>0.001761445076</v>
      </c>
    </row>
    <row r="198" ht="15.75" customHeight="1">
      <c r="A198" s="4" t="s">
        <v>806</v>
      </c>
      <c r="B198" s="4" t="s">
        <v>807</v>
      </c>
      <c r="C198" s="4" t="s">
        <v>776</v>
      </c>
      <c r="D198" s="4">
        <v>1.0</v>
      </c>
      <c r="E198" s="4" t="s">
        <v>66</v>
      </c>
      <c r="F198" s="4" t="s">
        <v>773</v>
      </c>
      <c r="G198" s="12">
        <v>45901.0</v>
      </c>
      <c r="H198" s="8">
        <v>61494.0</v>
      </c>
      <c r="I198" s="8">
        <v>61127.0</v>
      </c>
      <c r="J198" s="8">
        <v>41812.0</v>
      </c>
      <c r="K198" s="9">
        <f t="shared" si="1"/>
        <v>0.6840185188</v>
      </c>
      <c r="L198" s="8">
        <v>4437.0</v>
      </c>
      <c r="M198" s="9">
        <f t="shared" si="2"/>
        <v>0.07258658203</v>
      </c>
      <c r="N198" s="8">
        <v>120.0</v>
      </c>
      <c r="O198" s="9">
        <f t="shared" si="3"/>
        <v>0.001963125951</v>
      </c>
      <c r="P198" s="10">
        <v>8960.34</v>
      </c>
      <c r="Q198" s="11">
        <f t="shared" si="4"/>
        <v>0.1465856332</v>
      </c>
      <c r="R198" s="8">
        <v>103.0</v>
      </c>
      <c r="S198" s="9">
        <f t="shared" si="5"/>
        <v>0.001685016441</v>
      </c>
    </row>
    <row r="199" ht="15.75" customHeight="1">
      <c r="A199" s="4" t="s">
        <v>806</v>
      </c>
      <c r="B199" s="4" t="s">
        <v>807</v>
      </c>
      <c r="C199" s="4" t="s">
        <v>776</v>
      </c>
      <c r="D199" s="4">
        <v>1.0</v>
      </c>
      <c r="E199" s="4" t="s">
        <v>66</v>
      </c>
      <c r="F199" s="4" t="s">
        <v>773</v>
      </c>
      <c r="G199" s="12">
        <v>45931.0</v>
      </c>
      <c r="H199" s="8">
        <v>58407.0</v>
      </c>
      <c r="I199" s="8">
        <v>57702.0</v>
      </c>
      <c r="J199" s="8">
        <v>35129.0</v>
      </c>
      <c r="K199" s="9">
        <f t="shared" si="1"/>
        <v>0.6088003882</v>
      </c>
      <c r="L199" s="8">
        <v>3442.0</v>
      </c>
      <c r="M199" s="9">
        <f t="shared" si="2"/>
        <v>0.05965131191</v>
      </c>
      <c r="N199" s="8">
        <v>115.0</v>
      </c>
      <c r="O199" s="9">
        <f t="shared" si="3"/>
        <v>0.00199299851</v>
      </c>
      <c r="P199" s="10">
        <v>9254.89</v>
      </c>
      <c r="Q199" s="11">
        <f t="shared" si="4"/>
        <v>0.1603911476</v>
      </c>
      <c r="R199" s="8">
        <v>87.0</v>
      </c>
      <c r="S199" s="9">
        <f t="shared" si="5"/>
        <v>0.001507746699</v>
      </c>
    </row>
    <row r="200" ht="15.75" customHeight="1">
      <c r="A200" s="4" t="s">
        <v>806</v>
      </c>
      <c r="B200" s="4" t="s">
        <v>807</v>
      </c>
      <c r="C200" s="4" t="s">
        <v>776</v>
      </c>
      <c r="D200" s="4">
        <v>1.0</v>
      </c>
      <c r="E200" s="4" t="s">
        <v>66</v>
      </c>
      <c r="F200" s="4" t="s">
        <v>773</v>
      </c>
      <c r="G200" s="12">
        <v>45962.0</v>
      </c>
      <c r="H200" s="8">
        <v>71669.0</v>
      </c>
      <c r="I200" s="8">
        <v>71457.0</v>
      </c>
      <c r="J200" s="8">
        <v>45115.0</v>
      </c>
      <c r="K200" s="9">
        <f t="shared" si="1"/>
        <v>0.6313587192</v>
      </c>
      <c r="L200" s="8">
        <v>4301.0</v>
      </c>
      <c r="M200" s="9">
        <f t="shared" si="2"/>
        <v>0.06019004436</v>
      </c>
      <c r="N200" s="8">
        <v>116.0</v>
      </c>
      <c r="O200" s="9">
        <f t="shared" si="3"/>
        <v>0.001623353905</v>
      </c>
      <c r="P200" s="10">
        <v>10664.75</v>
      </c>
      <c r="Q200" s="11">
        <f t="shared" si="4"/>
        <v>0.1492470997</v>
      </c>
      <c r="R200" s="8">
        <v>66.0</v>
      </c>
      <c r="S200" s="9">
        <f t="shared" si="5"/>
        <v>0.0009236323943</v>
      </c>
    </row>
    <row r="201" ht="15.75" customHeight="1">
      <c r="A201" s="4" t="s">
        <v>806</v>
      </c>
      <c r="B201" s="4" t="s">
        <v>807</v>
      </c>
      <c r="C201" s="4" t="s">
        <v>776</v>
      </c>
      <c r="D201" s="4">
        <v>1.0</v>
      </c>
      <c r="E201" s="4" t="s">
        <v>66</v>
      </c>
      <c r="F201" s="4" t="s">
        <v>773</v>
      </c>
      <c r="G201" s="12">
        <v>45992.0</v>
      </c>
      <c r="H201" s="8">
        <v>70405.0</v>
      </c>
      <c r="I201" s="8">
        <v>70229.0</v>
      </c>
      <c r="J201" s="8">
        <v>39153.0</v>
      </c>
      <c r="K201" s="9">
        <f t="shared" si="1"/>
        <v>0.5575047345</v>
      </c>
      <c r="L201" s="8">
        <v>5255.0</v>
      </c>
      <c r="M201" s="9">
        <f t="shared" si="2"/>
        <v>0.07482663857</v>
      </c>
      <c r="N201" s="8">
        <v>141.0</v>
      </c>
      <c r="O201" s="9">
        <f t="shared" si="3"/>
        <v>0.00200771761</v>
      </c>
      <c r="P201" s="10">
        <v>11670.01</v>
      </c>
      <c r="Q201" s="11">
        <f t="shared" si="4"/>
        <v>0.1661708126</v>
      </c>
      <c r="R201" s="8">
        <v>110.0</v>
      </c>
      <c r="S201" s="9">
        <f t="shared" si="5"/>
        <v>0.001566304518</v>
      </c>
    </row>
    <row r="202" ht="15.75" customHeight="1">
      <c r="A202" s="4" t="s">
        <v>806</v>
      </c>
      <c r="B202" s="4" t="s">
        <v>807</v>
      </c>
      <c r="C202" s="4" t="s">
        <v>776</v>
      </c>
      <c r="D202" s="4">
        <v>1.0</v>
      </c>
      <c r="E202" s="4" t="s">
        <v>66</v>
      </c>
      <c r="F202" s="4" t="s">
        <v>773</v>
      </c>
      <c r="G202" s="12">
        <v>46023.0</v>
      </c>
      <c r="H202" s="8">
        <v>43656.0</v>
      </c>
      <c r="I202" s="8">
        <v>43294.0</v>
      </c>
      <c r="J202" s="8">
        <v>26992.0</v>
      </c>
      <c r="K202" s="9">
        <f t="shared" si="1"/>
        <v>0.6234582159</v>
      </c>
      <c r="L202" s="8">
        <v>3130.0</v>
      </c>
      <c r="M202" s="9">
        <f t="shared" si="2"/>
        <v>0.07229639211</v>
      </c>
      <c r="N202" s="8">
        <v>77.0</v>
      </c>
      <c r="O202" s="9">
        <f t="shared" si="3"/>
        <v>0.001778537442</v>
      </c>
      <c r="P202" s="10">
        <v>6748.66</v>
      </c>
      <c r="Q202" s="11">
        <f t="shared" si="4"/>
        <v>0.1558797986</v>
      </c>
      <c r="R202" s="8">
        <v>61.0</v>
      </c>
      <c r="S202" s="9">
        <f t="shared" si="5"/>
        <v>0.00140897122</v>
      </c>
    </row>
    <row r="203" ht="15.75" customHeight="1">
      <c r="A203" s="4" t="s">
        <v>806</v>
      </c>
      <c r="B203" s="4" t="s">
        <v>807</v>
      </c>
      <c r="C203" s="4" t="s">
        <v>776</v>
      </c>
      <c r="D203" s="4">
        <v>1.0</v>
      </c>
      <c r="E203" s="4" t="s">
        <v>66</v>
      </c>
      <c r="F203" s="4" t="s">
        <v>773</v>
      </c>
      <c r="G203" s="12">
        <v>46054.0</v>
      </c>
      <c r="H203" s="8">
        <v>63562.0</v>
      </c>
      <c r="I203" s="8">
        <v>63173.0</v>
      </c>
      <c r="J203" s="8">
        <v>39535.0</v>
      </c>
      <c r="K203" s="9">
        <f t="shared" si="1"/>
        <v>0.6258211578</v>
      </c>
      <c r="L203" s="8">
        <v>4527.0</v>
      </c>
      <c r="M203" s="9">
        <f t="shared" si="2"/>
        <v>0.07166036123</v>
      </c>
      <c r="N203" s="8">
        <v>132.0</v>
      </c>
      <c r="O203" s="9">
        <f t="shared" si="3"/>
        <v>0.002089500261</v>
      </c>
      <c r="P203" s="10">
        <v>10623.26</v>
      </c>
      <c r="Q203" s="11">
        <f t="shared" si="4"/>
        <v>0.1681613981</v>
      </c>
      <c r="R203" s="8">
        <v>76.0</v>
      </c>
      <c r="S203" s="9">
        <f t="shared" si="5"/>
        <v>0.001203045605</v>
      </c>
    </row>
    <row r="204" ht="15.75" customHeight="1">
      <c r="A204" s="4" t="s">
        <v>806</v>
      </c>
      <c r="B204" s="4" t="s">
        <v>807</v>
      </c>
      <c r="C204" s="4" t="s">
        <v>776</v>
      </c>
      <c r="D204" s="4">
        <v>1.0</v>
      </c>
      <c r="E204" s="4" t="s">
        <v>66</v>
      </c>
      <c r="F204" s="4" t="s">
        <v>773</v>
      </c>
      <c r="G204" s="12">
        <v>46082.0</v>
      </c>
      <c r="H204" s="8">
        <v>49274.0</v>
      </c>
      <c r="I204" s="8">
        <v>48825.0</v>
      </c>
      <c r="J204" s="8">
        <v>33221.0</v>
      </c>
      <c r="K204" s="9">
        <f t="shared" si="1"/>
        <v>0.6804096262</v>
      </c>
      <c r="L204" s="8">
        <v>3493.0</v>
      </c>
      <c r="M204" s="9">
        <f t="shared" si="2"/>
        <v>0.07154121864</v>
      </c>
      <c r="N204" s="8">
        <v>91.0</v>
      </c>
      <c r="O204" s="9">
        <f t="shared" si="3"/>
        <v>0.001863799283</v>
      </c>
      <c r="P204" s="10">
        <v>7000.58</v>
      </c>
      <c r="Q204" s="11">
        <f t="shared" si="4"/>
        <v>0.1433810548</v>
      </c>
      <c r="R204" s="8">
        <v>95.0</v>
      </c>
      <c r="S204" s="9">
        <f t="shared" si="5"/>
        <v>0.001945724526</v>
      </c>
    </row>
    <row r="205" ht="15.75" customHeight="1">
      <c r="A205" s="4" t="s">
        <v>806</v>
      </c>
      <c r="B205" s="4" t="s">
        <v>807</v>
      </c>
      <c r="C205" s="4" t="s">
        <v>776</v>
      </c>
      <c r="D205" s="4">
        <v>1.0</v>
      </c>
      <c r="E205" s="4" t="s">
        <v>66</v>
      </c>
      <c r="F205" s="4" t="s">
        <v>773</v>
      </c>
      <c r="G205" s="12">
        <v>46113.0</v>
      </c>
      <c r="H205" s="8">
        <v>51611.0</v>
      </c>
      <c r="I205" s="8">
        <v>50949.0</v>
      </c>
      <c r="J205" s="8">
        <v>33067.0</v>
      </c>
      <c r="K205" s="9">
        <f t="shared" si="1"/>
        <v>0.6490215706</v>
      </c>
      <c r="L205" s="8">
        <v>3670.0</v>
      </c>
      <c r="M205" s="9">
        <f t="shared" si="2"/>
        <v>0.07203281713</v>
      </c>
      <c r="N205" s="8">
        <v>93.0</v>
      </c>
      <c r="O205" s="9">
        <f t="shared" si="3"/>
        <v>0.001825354767</v>
      </c>
      <c r="P205" s="10">
        <v>8295.82</v>
      </c>
      <c r="Q205" s="11">
        <f t="shared" si="4"/>
        <v>0.1628259632</v>
      </c>
      <c r="R205" s="8">
        <v>37.0</v>
      </c>
      <c r="S205" s="9">
        <f t="shared" si="5"/>
        <v>0.0007262164125</v>
      </c>
    </row>
    <row r="206" ht="15.75" customHeight="1">
      <c r="A206" s="4" t="s">
        <v>808</v>
      </c>
      <c r="B206" s="4" t="s">
        <v>809</v>
      </c>
      <c r="C206" s="4" t="s">
        <v>776</v>
      </c>
      <c r="D206" s="4">
        <v>1.0</v>
      </c>
      <c r="E206" s="4" t="s">
        <v>66</v>
      </c>
      <c r="F206" s="4" t="s">
        <v>773</v>
      </c>
      <c r="G206" s="12">
        <v>45778.0</v>
      </c>
      <c r="H206" s="8">
        <v>65703.0</v>
      </c>
      <c r="I206" s="8">
        <v>65211.0</v>
      </c>
      <c r="J206" s="8">
        <v>41137.0</v>
      </c>
      <c r="K206" s="9">
        <f t="shared" si="1"/>
        <v>0.6308291546</v>
      </c>
      <c r="L206" s="8">
        <v>4778.0</v>
      </c>
      <c r="M206" s="9">
        <f t="shared" si="2"/>
        <v>0.07326984711</v>
      </c>
      <c r="N206" s="8">
        <v>119.0</v>
      </c>
      <c r="O206" s="9">
        <f t="shared" si="3"/>
        <v>0.001824845502</v>
      </c>
      <c r="P206" s="10">
        <v>10478.24</v>
      </c>
      <c r="Q206" s="11">
        <f t="shared" si="4"/>
        <v>0.1606820935</v>
      </c>
      <c r="R206" s="8">
        <v>22.0</v>
      </c>
      <c r="S206" s="9">
        <f t="shared" si="5"/>
        <v>0.0003373663952</v>
      </c>
    </row>
    <row r="207" ht="15.75" customHeight="1">
      <c r="A207" s="4" t="s">
        <v>808</v>
      </c>
      <c r="B207" s="4" t="s">
        <v>809</v>
      </c>
      <c r="C207" s="4" t="s">
        <v>776</v>
      </c>
      <c r="D207" s="4">
        <v>1.0</v>
      </c>
      <c r="E207" s="4" t="s">
        <v>66</v>
      </c>
      <c r="F207" s="4" t="s">
        <v>773</v>
      </c>
      <c r="G207" s="12">
        <v>45809.0</v>
      </c>
      <c r="H207" s="8">
        <v>52011.0</v>
      </c>
      <c r="I207" s="8">
        <v>51316.0</v>
      </c>
      <c r="J207" s="8">
        <v>28584.0</v>
      </c>
      <c r="K207" s="9">
        <f t="shared" si="1"/>
        <v>0.5570192533</v>
      </c>
      <c r="L207" s="8">
        <v>3897.0</v>
      </c>
      <c r="M207" s="9">
        <f t="shared" si="2"/>
        <v>0.07594122691</v>
      </c>
      <c r="N207" s="8">
        <v>92.0</v>
      </c>
      <c r="O207" s="9">
        <f t="shared" si="3"/>
        <v>0.001792813158</v>
      </c>
      <c r="P207" s="10">
        <v>7964.8</v>
      </c>
      <c r="Q207" s="11">
        <f t="shared" si="4"/>
        <v>0.1552108504</v>
      </c>
      <c r="R207" s="8">
        <v>39.0</v>
      </c>
      <c r="S207" s="9">
        <f t="shared" si="5"/>
        <v>0.0007599968821</v>
      </c>
    </row>
    <row r="208" ht="15.75" customHeight="1">
      <c r="A208" s="4" t="s">
        <v>808</v>
      </c>
      <c r="B208" s="4" t="s">
        <v>809</v>
      </c>
      <c r="C208" s="4" t="s">
        <v>776</v>
      </c>
      <c r="D208" s="4">
        <v>1.0</v>
      </c>
      <c r="E208" s="4" t="s">
        <v>66</v>
      </c>
      <c r="F208" s="4" t="s">
        <v>773</v>
      </c>
      <c r="G208" s="12">
        <v>45839.0</v>
      </c>
      <c r="H208" s="8">
        <v>45890.0</v>
      </c>
      <c r="I208" s="8">
        <v>45643.0</v>
      </c>
      <c r="J208" s="8">
        <v>29003.0</v>
      </c>
      <c r="K208" s="9">
        <f t="shared" si="1"/>
        <v>0.635431501</v>
      </c>
      <c r="L208" s="8">
        <v>3588.0</v>
      </c>
      <c r="M208" s="9">
        <f t="shared" si="2"/>
        <v>0.0786100826</v>
      </c>
      <c r="N208" s="8">
        <v>100.0</v>
      </c>
      <c r="O208" s="9">
        <f t="shared" si="3"/>
        <v>0.00219091646</v>
      </c>
      <c r="P208" s="10">
        <v>7173.35</v>
      </c>
      <c r="Q208" s="11">
        <f t="shared" si="4"/>
        <v>0.1571621059</v>
      </c>
      <c r="R208" s="8">
        <v>42.0</v>
      </c>
      <c r="S208" s="9">
        <f t="shared" si="5"/>
        <v>0.0009201849133</v>
      </c>
    </row>
    <row r="209" ht="15.75" customHeight="1">
      <c r="A209" s="4" t="s">
        <v>808</v>
      </c>
      <c r="B209" s="4" t="s">
        <v>809</v>
      </c>
      <c r="C209" s="4" t="s">
        <v>776</v>
      </c>
      <c r="D209" s="4">
        <v>1.0</v>
      </c>
      <c r="E209" s="4" t="s">
        <v>66</v>
      </c>
      <c r="F209" s="4" t="s">
        <v>773</v>
      </c>
      <c r="G209" s="12">
        <v>45870.0</v>
      </c>
      <c r="H209" s="8">
        <v>47161.0</v>
      </c>
      <c r="I209" s="8">
        <v>46933.0</v>
      </c>
      <c r="J209" s="8">
        <v>27256.0</v>
      </c>
      <c r="K209" s="9">
        <f t="shared" si="1"/>
        <v>0.580742761</v>
      </c>
      <c r="L209" s="8">
        <v>2970.0</v>
      </c>
      <c r="M209" s="9">
        <f t="shared" si="2"/>
        <v>0.06328169944</v>
      </c>
      <c r="N209" s="8">
        <v>94.0</v>
      </c>
      <c r="O209" s="9">
        <f t="shared" si="3"/>
        <v>0.002002855134</v>
      </c>
      <c r="P209" s="10">
        <v>6053.84</v>
      </c>
      <c r="Q209" s="11">
        <f t="shared" si="4"/>
        <v>0.1289889843</v>
      </c>
      <c r="R209" s="8">
        <v>92.0</v>
      </c>
      <c r="S209" s="9">
        <f t="shared" si="5"/>
        <v>0.001960241195</v>
      </c>
    </row>
    <row r="210" ht="15.75" customHeight="1">
      <c r="A210" s="4" t="s">
        <v>808</v>
      </c>
      <c r="B210" s="4" t="s">
        <v>809</v>
      </c>
      <c r="C210" s="4" t="s">
        <v>776</v>
      </c>
      <c r="D210" s="4">
        <v>1.0</v>
      </c>
      <c r="E210" s="4" t="s">
        <v>66</v>
      </c>
      <c r="F210" s="4" t="s">
        <v>773</v>
      </c>
      <c r="G210" s="12">
        <v>45901.0</v>
      </c>
      <c r="H210" s="8">
        <v>62711.0</v>
      </c>
      <c r="I210" s="8">
        <v>62255.0</v>
      </c>
      <c r="J210" s="8">
        <v>41578.0</v>
      </c>
      <c r="K210" s="9">
        <f t="shared" si="1"/>
        <v>0.6678660349</v>
      </c>
      <c r="L210" s="8">
        <v>4799.0</v>
      </c>
      <c r="M210" s="9">
        <f t="shared" si="2"/>
        <v>0.07708617782</v>
      </c>
      <c r="N210" s="8">
        <v>137.0</v>
      </c>
      <c r="O210" s="9">
        <f t="shared" si="3"/>
        <v>0.002200626456</v>
      </c>
      <c r="P210" s="10">
        <v>9094.38</v>
      </c>
      <c r="Q210" s="11">
        <f t="shared" si="4"/>
        <v>0.1460827243</v>
      </c>
      <c r="R210" s="8">
        <v>59.0</v>
      </c>
      <c r="S210" s="9">
        <f t="shared" si="5"/>
        <v>0.000947715043</v>
      </c>
    </row>
    <row r="211" ht="15.75" customHeight="1">
      <c r="A211" s="4" t="s">
        <v>808</v>
      </c>
      <c r="B211" s="4" t="s">
        <v>809</v>
      </c>
      <c r="C211" s="4" t="s">
        <v>776</v>
      </c>
      <c r="D211" s="4">
        <v>1.0</v>
      </c>
      <c r="E211" s="4" t="s">
        <v>66</v>
      </c>
      <c r="F211" s="4" t="s">
        <v>773</v>
      </c>
      <c r="G211" s="12">
        <v>45931.0</v>
      </c>
      <c r="H211" s="8">
        <v>63416.0</v>
      </c>
      <c r="I211" s="8">
        <v>63063.0</v>
      </c>
      <c r="J211" s="8">
        <v>35976.0</v>
      </c>
      <c r="K211" s="9">
        <f t="shared" si="1"/>
        <v>0.5704771419</v>
      </c>
      <c r="L211" s="8">
        <v>4517.0</v>
      </c>
      <c r="M211" s="9">
        <f t="shared" si="2"/>
        <v>0.07162678591</v>
      </c>
      <c r="N211" s="8">
        <v>143.0</v>
      </c>
      <c r="O211" s="9">
        <f t="shared" si="3"/>
        <v>0.002267573696</v>
      </c>
      <c r="P211" s="10">
        <v>8194.7</v>
      </c>
      <c r="Q211" s="11">
        <f t="shared" si="4"/>
        <v>0.1299446585</v>
      </c>
      <c r="R211" s="8">
        <v>47.0</v>
      </c>
      <c r="S211" s="9">
        <f t="shared" si="5"/>
        <v>0.0007452864596</v>
      </c>
    </row>
    <row r="212" ht="15.75" customHeight="1">
      <c r="A212" s="4" t="s">
        <v>808</v>
      </c>
      <c r="B212" s="4" t="s">
        <v>809</v>
      </c>
      <c r="C212" s="4" t="s">
        <v>776</v>
      </c>
      <c r="D212" s="4">
        <v>1.0</v>
      </c>
      <c r="E212" s="4" t="s">
        <v>66</v>
      </c>
      <c r="F212" s="4" t="s">
        <v>773</v>
      </c>
      <c r="G212" s="12">
        <v>45962.0</v>
      </c>
      <c r="H212" s="8">
        <v>84381.0</v>
      </c>
      <c r="I212" s="8">
        <v>83172.0</v>
      </c>
      <c r="J212" s="8">
        <v>51121.0</v>
      </c>
      <c r="K212" s="9">
        <f t="shared" si="1"/>
        <v>0.6146419468</v>
      </c>
      <c r="L212" s="8">
        <v>5780.0</v>
      </c>
      <c r="M212" s="9">
        <f t="shared" si="2"/>
        <v>0.06949454143</v>
      </c>
      <c r="N212" s="8">
        <v>164.0</v>
      </c>
      <c r="O212" s="9">
        <f t="shared" si="3"/>
        <v>0.001971817439</v>
      </c>
      <c r="P212" s="10">
        <v>14153.49</v>
      </c>
      <c r="Q212" s="11">
        <f t="shared" si="4"/>
        <v>0.1701713317</v>
      </c>
      <c r="R212" s="8">
        <v>155.0</v>
      </c>
      <c r="S212" s="9">
        <f t="shared" si="5"/>
        <v>0.001863607945</v>
      </c>
    </row>
    <row r="213" ht="15.75" customHeight="1">
      <c r="A213" s="4" t="s">
        <v>808</v>
      </c>
      <c r="B213" s="4" t="s">
        <v>809</v>
      </c>
      <c r="C213" s="4" t="s">
        <v>776</v>
      </c>
      <c r="D213" s="4">
        <v>1.0</v>
      </c>
      <c r="E213" s="4" t="s">
        <v>66</v>
      </c>
      <c r="F213" s="4" t="s">
        <v>773</v>
      </c>
      <c r="G213" s="12">
        <v>45992.0</v>
      </c>
      <c r="H213" s="8">
        <v>63256.0</v>
      </c>
      <c r="I213" s="8">
        <v>62869.0</v>
      </c>
      <c r="J213" s="8">
        <v>37950.0</v>
      </c>
      <c r="K213" s="9">
        <f t="shared" si="1"/>
        <v>0.6036361323</v>
      </c>
      <c r="L213" s="8">
        <v>4087.0</v>
      </c>
      <c r="M213" s="9">
        <f t="shared" si="2"/>
        <v>0.06500819164</v>
      </c>
      <c r="N213" s="8">
        <v>127.0</v>
      </c>
      <c r="O213" s="9">
        <f t="shared" si="3"/>
        <v>0.002020073486</v>
      </c>
      <c r="P213" s="10">
        <v>9245.71</v>
      </c>
      <c r="Q213" s="11">
        <f t="shared" si="4"/>
        <v>0.1470630995</v>
      </c>
      <c r="R213" s="8">
        <v>49.0</v>
      </c>
      <c r="S213" s="9">
        <f t="shared" si="5"/>
        <v>0.0007793984317</v>
      </c>
    </row>
    <row r="214" ht="15.75" customHeight="1">
      <c r="A214" s="4" t="s">
        <v>808</v>
      </c>
      <c r="B214" s="4" t="s">
        <v>809</v>
      </c>
      <c r="C214" s="4" t="s">
        <v>776</v>
      </c>
      <c r="D214" s="4">
        <v>1.0</v>
      </c>
      <c r="E214" s="4" t="s">
        <v>66</v>
      </c>
      <c r="F214" s="4" t="s">
        <v>773</v>
      </c>
      <c r="G214" s="12">
        <v>46023.0</v>
      </c>
      <c r="H214" s="8">
        <v>50919.0</v>
      </c>
      <c r="I214" s="8">
        <v>50408.0</v>
      </c>
      <c r="J214" s="8">
        <v>29870.0</v>
      </c>
      <c r="K214" s="9">
        <f t="shared" si="1"/>
        <v>0.5925646723</v>
      </c>
      <c r="L214" s="8">
        <v>3560.0</v>
      </c>
      <c r="M214" s="9">
        <f t="shared" si="2"/>
        <v>0.07062371052</v>
      </c>
      <c r="N214" s="8">
        <v>119.0</v>
      </c>
      <c r="O214" s="9">
        <f t="shared" si="3"/>
        <v>0.002360736391</v>
      </c>
      <c r="P214" s="10">
        <v>6647.88</v>
      </c>
      <c r="Q214" s="11">
        <f t="shared" si="4"/>
        <v>0.1318814474</v>
      </c>
      <c r="R214" s="8">
        <v>60.0</v>
      </c>
      <c r="S214" s="9">
        <f t="shared" si="5"/>
        <v>0.001190287256</v>
      </c>
    </row>
    <row r="215" ht="15.75" customHeight="1">
      <c r="A215" s="4" t="s">
        <v>808</v>
      </c>
      <c r="B215" s="4" t="s">
        <v>809</v>
      </c>
      <c r="C215" s="4" t="s">
        <v>776</v>
      </c>
      <c r="D215" s="4">
        <v>1.0</v>
      </c>
      <c r="E215" s="4" t="s">
        <v>66</v>
      </c>
      <c r="F215" s="4" t="s">
        <v>773</v>
      </c>
      <c r="G215" s="12">
        <v>46054.0</v>
      </c>
      <c r="H215" s="8">
        <v>57846.0</v>
      </c>
      <c r="I215" s="8">
        <v>57613.0</v>
      </c>
      <c r="J215" s="8">
        <v>36667.0</v>
      </c>
      <c r="K215" s="9">
        <f t="shared" si="1"/>
        <v>0.636436221</v>
      </c>
      <c r="L215" s="8">
        <v>4216.0</v>
      </c>
      <c r="M215" s="9">
        <f t="shared" si="2"/>
        <v>0.07317792859</v>
      </c>
      <c r="N215" s="8">
        <v>104.0</v>
      </c>
      <c r="O215" s="9">
        <f t="shared" si="3"/>
        <v>0.001805148144</v>
      </c>
      <c r="P215" s="10">
        <v>8046.5</v>
      </c>
      <c r="Q215" s="11">
        <f t="shared" si="4"/>
        <v>0.139664659</v>
      </c>
      <c r="R215" s="8">
        <v>95.0</v>
      </c>
      <c r="S215" s="9">
        <f t="shared" si="5"/>
        <v>0.0016489334</v>
      </c>
    </row>
    <row r="216" ht="15.75" customHeight="1">
      <c r="A216" s="4" t="s">
        <v>808</v>
      </c>
      <c r="B216" s="4" t="s">
        <v>809</v>
      </c>
      <c r="C216" s="4" t="s">
        <v>776</v>
      </c>
      <c r="D216" s="4">
        <v>1.0</v>
      </c>
      <c r="E216" s="4" t="s">
        <v>66</v>
      </c>
      <c r="F216" s="4" t="s">
        <v>773</v>
      </c>
      <c r="G216" s="12">
        <v>46082.0</v>
      </c>
      <c r="H216" s="8">
        <v>53511.0</v>
      </c>
      <c r="I216" s="8">
        <v>53114.0</v>
      </c>
      <c r="J216" s="8">
        <v>32623.0</v>
      </c>
      <c r="K216" s="9">
        <f t="shared" si="1"/>
        <v>0.614207177</v>
      </c>
      <c r="L216" s="8">
        <v>3913.0</v>
      </c>
      <c r="M216" s="9">
        <f t="shared" si="2"/>
        <v>0.07367172497</v>
      </c>
      <c r="N216" s="8">
        <v>95.0</v>
      </c>
      <c r="O216" s="9">
        <f t="shared" si="3"/>
        <v>0.001788605641</v>
      </c>
      <c r="P216" s="10">
        <v>8377.94</v>
      </c>
      <c r="Q216" s="11">
        <f t="shared" si="4"/>
        <v>0.1577350604</v>
      </c>
      <c r="R216" s="8">
        <v>85.0</v>
      </c>
      <c r="S216" s="9">
        <f t="shared" si="5"/>
        <v>0.001600331363</v>
      </c>
    </row>
    <row r="217" ht="15.75" customHeight="1">
      <c r="A217" s="4" t="s">
        <v>808</v>
      </c>
      <c r="B217" s="4" t="s">
        <v>809</v>
      </c>
      <c r="C217" s="4" t="s">
        <v>776</v>
      </c>
      <c r="D217" s="4">
        <v>1.0</v>
      </c>
      <c r="E217" s="4" t="s">
        <v>66</v>
      </c>
      <c r="F217" s="4" t="s">
        <v>773</v>
      </c>
      <c r="G217" s="12">
        <v>46113.0</v>
      </c>
      <c r="H217" s="8">
        <v>55329.0</v>
      </c>
      <c r="I217" s="8">
        <v>54986.0</v>
      </c>
      <c r="J217" s="8">
        <v>38126.0</v>
      </c>
      <c r="K217" s="9">
        <f t="shared" si="1"/>
        <v>0.6933764958</v>
      </c>
      <c r="L217" s="8">
        <v>3633.0</v>
      </c>
      <c r="M217" s="9">
        <f t="shared" si="2"/>
        <v>0.06607136362</v>
      </c>
      <c r="N217" s="8">
        <v>88.0</v>
      </c>
      <c r="O217" s="9">
        <f t="shared" si="3"/>
        <v>0.001600407376</v>
      </c>
      <c r="P217" s="10">
        <v>7031.69</v>
      </c>
      <c r="Q217" s="11">
        <f t="shared" si="4"/>
        <v>0.1278814607</v>
      </c>
      <c r="R217" s="8">
        <v>22.0</v>
      </c>
      <c r="S217" s="9">
        <f t="shared" si="5"/>
        <v>0.0004001018441</v>
      </c>
    </row>
    <row r="218" ht="15.75" customHeight="1">
      <c r="A218" s="4" t="s">
        <v>810</v>
      </c>
      <c r="B218" s="4" t="s">
        <v>811</v>
      </c>
      <c r="C218" s="4" t="s">
        <v>776</v>
      </c>
      <c r="D218" s="4">
        <v>1.0</v>
      </c>
      <c r="E218" s="4" t="s">
        <v>66</v>
      </c>
      <c r="F218" s="4" t="s">
        <v>773</v>
      </c>
      <c r="G218" s="12">
        <v>45778.0</v>
      </c>
      <c r="H218" s="8">
        <v>61565.0</v>
      </c>
      <c r="I218" s="8">
        <v>61061.0</v>
      </c>
      <c r="J218" s="8">
        <v>39543.0</v>
      </c>
      <c r="K218" s="9">
        <f t="shared" si="1"/>
        <v>0.6475983033</v>
      </c>
      <c r="L218" s="8">
        <v>4083.0</v>
      </c>
      <c r="M218" s="9">
        <f t="shared" si="2"/>
        <v>0.06686755867</v>
      </c>
      <c r="N218" s="8">
        <v>133.0</v>
      </c>
      <c r="O218" s="9">
        <f t="shared" si="3"/>
        <v>0.002178149719</v>
      </c>
      <c r="P218" s="10">
        <v>8477.42</v>
      </c>
      <c r="Q218" s="11">
        <f t="shared" si="4"/>
        <v>0.1388352631</v>
      </c>
      <c r="R218" s="8">
        <v>21.0</v>
      </c>
      <c r="S218" s="9">
        <f t="shared" si="5"/>
        <v>0.0003439183767</v>
      </c>
    </row>
    <row r="219" ht="15.75" customHeight="1">
      <c r="A219" s="4" t="s">
        <v>810</v>
      </c>
      <c r="B219" s="4" t="s">
        <v>811</v>
      </c>
      <c r="C219" s="4" t="s">
        <v>776</v>
      </c>
      <c r="D219" s="4">
        <v>1.0</v>
      </c>
      <c r="E219" s="4" t="s">
        <v>66</v>
      </c>
      <c r="F219" s="4" t="s">
        <v>773</v>
      </c>
      <c r="G219" s="12">
        <v>45809.0</v>
      </c>
      <c r="H219" s="8">
        <v>54121.0</v>
      </c>
      <c r="I219" s="8">
        <v>53349.0</v>
      </c>
      <c r="J219" s="8">
        <v>33823.0</v>
      </c>
      <c r="K219" s="9">
        <f t="shared" si="1"/>
        <v>0.633995014</v>
      </c>
      <c r="L219" s="8">
        <v>4175.0</v>
      </c>
      <c r="M219" s="9">
        <f t="shared" si="2"/>
        <v>0.07825826164</v>
      </c>
      <c r="N219" s="8">
        <v>94.0</v>
      </c>
      <c r="O219" s="9">
        <f t="shared" si="3"/>
        <v>0.001761982418</v>
      </c>
      <c r="P219" s="10">
        <v>8240.94</v>
      </c>
      <c r="Q219" s="11">
        <f t="shared" si="4"/>
        <v>0.1544722488</v>
      </c>
      <c r="R219" s="8">
        <v>27.0</v>
      </c>
      <c r="S219" s="9">
        <f t="shared" si="5"/>
        <v>0.0005061013327</v>
      </c>
    </row>
    <row r="220" ht="15.75" customHeight="1">
      <c r="A220" s="4" t="s">
        <v>810</v>
      </c>
      <c r="B220" s="4" t="s">
        <v>811</v>
      </c>
      <c r="C220" s="4" t="s">
        <v>776</v>
      </c>
      <c r="D220" s="4">
        <v>1.0</v>
      </c>
      <c r="E220" s="4" t="s">
        <v>66</v>
      </c>
      <c r="F220" s="4" t="s">
        <v>773</v>
      </c>
      <c r="G220" s="12">
        <v>45839.0</v>
      </c>
      <c r="H220" s="8">
        <v>56298.0</v>
      </c>
      <c r="I220" s="8">
        <v>55516.0</v>
      </c>
      <c r="J220" s="8">
        <v>35284.0</v>
      </c>
      <c r="K220" s="9">
        <f t="shared" si="1"/>
        <v>0.6355645219</v>
      </c>
      <c r="L220" s="8">
        <v>3741.0</v>
      </c>
      <c r="M220" s="9">
        <f t="shared" si="2"/>
        <v>0.06738597882</v>
      </c>
      <c r="N220" s="8">
        <v>122.0</v>
      </c>
      <c r="O220" s="9">
        <f t="shared" si="3"/>
        <v>0.002197564666</v>
      </c>
      <c r="P220" s="10">
        <v>8696.9</v>
      </c>
      <c r="Q220" s="11">
        <f t="shared" si="4"/>
        <v>0.1566557389</v>
      </c>
      <c r="R220" s="8">
        <v>92.0</v>
      </c>
      <c r="S220" s="9">
        <f t="shared" si="5"/>
        <v>0.001657179912</v>
      </c>
    </row>
    <row r="221" ht="15.75" customHeight="1">
      <c r="A221" s="4" t="s">
        <v>810</v>
      </c>
      <c r="B221" s="4" t="s">
        <v>811</v>
      </c>
      <c r="C221" s="4" t="s">
        <v>776</v>
      </c>
      <c r="D221" s="4">
        <v>1.0</v>
      </c>
      <c r="E221" s="4" t="s">
        <v>66</v>
      </c>
      <c r="F221" s="4" t="s">
        <v>773</v>
      </c>
      <c r="G221" s="12">
        <v>45870.0</v>
      </c>
      <c r="H221" s="8">
        <v>47308.0</v>
      </c>
      <c r="I221" s="8">
        <v>46666.0</v>
      </c>
      <c r="J221" s="8">
        <v>26740.0</v>
      </c>
      <c r="K221" s="9">
        <f t="shared" si="1"/>
        <v>0.5730081858</v>
      </c>
      <c r="L221" s="8">
        <v>3065.0</v>
      </c>
      <c r="M221" s="9">
        <f t="shared" si="2"/>
        <v>0.06567950971</v>
      </c>
      <c r="N221" s="8">
        <v>99.0</v>
      </c>
      <c r="O221" s="9">
        <f t="shared" si="3"/>
        <v>0.002121458878</v>
      </c>
      <c r="P221" s="10">
        <v>6108.91</v>
      </c>
      <c r="Q221" s="11">
        <f t="shared" si="4"/>
        <v>0.1309070844</v>
      </c>
      <c r="R221" s="8">
        <v>49.0</v>
      </c>
      <c r="S221" s="9">
        <f t="shared" si="5"/>
        <v>0.001050015</v>
      </c>
    </row>
    <row r="222" ht="15.75" customHeight="1">
      <c r="A222" s="4" t="s">
        <v>810</v>
      </c>
      <c r="B222" s="4" t="s">
        <v>811</v>
      </c>
      <c r="C222" s="4" t="s">
        <v>776</v>
      </c>
      <c r="D222" s="4">
        <v>1.0</v>
      </c>
      <c r="E222" s="4" t="s">
        <v>66</v>
      </c>
      <c r="F222" s="4" t="s">
        <v>773</v>
      </c>
      <c r="G222" s="12">
        <v>45901.0</v>
      </c>
      <c r="H222" s="8">
        <v>63171.0</v>
      </c>
      <c r="I222" s="8">
        <v>62855.0</v>
      </c>
      <c r="J222" s="8">
        <v>40767.0</v>
      </c>
      <c r="K222" s="9">
        <f t="shared" si="1"/>
        <v>0.64858802</v>
      </c>
      <c r="L222" s="8">
        <v>4621.0</v>
      </c>
      <c r="M222" s="9">
        <f t="shared" si="2"/>
        <v>0.0735184154</v>
      </c>
      <c r="N222" s="8">
        <v>139.0</v>
      </c>
      <c r="O222" s="9">
        <f t="shared" si="3"/>
        <v>0.002211439026</v>
      </c>
      <c r="P222" s="10">
        <v>8741.88</v>
      </c>
      <c r="Q222" s="11">
        <f t="shared" si="4"/>
        <v>0.139080105</v>
      </c>
      <c r="R222" s="8">
        <v>102.0</v>
      </c>
      <c r="S222" s="9">
        <f t="shared" si="5"/>
        <v>0.001622782595</v>
      </c>
    </row>
    <row r="223" ht="15.75" customHeight="1">
      <c r="A223" s="4" t="s">
        <v>810</v>
      </c>
      <c r="B223" s="4" t="s">
        <v>811</v>
      </c>
      <c r="C223" s="4" t="s">
        <v>776</v>
      </c>
      <c r="D223" s="4">
        <v>1.0</v>
      </c>
      <c r="E223" s="4" t="s">
        <v>66</v>
      </c>
      <c r="F223" s="4" t="s">
        <v>773</v>
      </c>
      <c r="G223" s="12">
        <v>45931.0</v>
      </c>
      <c r="H223" s="8">
        <v>56457.0</v>
      </c>
      <c r="I223" s="8">
        <v>55655.0</v>
      </c>
      <c r="J223" s="8">
        <v>33583.0</v>
      </c>
      <c r="K223" s="9">
        <f t="shared" si="1"/>
        <v>0.6034138891</v>
      </c>
      <c r="L223" s="8">
        <v>4475.0</v>
      </c>
      <c r="M223" s="9">
        <f t="shared" si="2"/>
        <v>0.08040607313</v>
      </c>
      <c r="N223" s="8">
        <v>100.0</v>
      </c>
      <c r="O223" s="9">
        <f t="shared" si="3"/>
        <v>0.001796783757</v>
      </c>
      <c r="P223" s="10">
        <v>9131.65</v>
      </c>
      <c r="Q223" s="11">
        <f t="shared" si="4"/>
        <v>0.164076004</v>
      </c>
      <c r="R223" s="8">
        <v>33.0</v>
      </c>
      <c r="S223" s="9">
        <f t="shared" si="5"/>
        <v>0.0005929386398</v>
      </c>
    </row>
    <row r="224" ht="15.75" customHeight="1">
      <c r="A224" s="4" t="s">
        <v>810</v>
      </c>
      <c r="B224" s="4" t="s">
        <v>811</v>
      </c>
      <c r="C224" s="4" t="s">
        <v>776</v>
      </c>
      <c r="D224" s="4">
        <v>1.0</v>
      </c>
      <c r="E224" s="4" t="s">
        <v>66</v>
      </c>
      <c r="F224" s="4" t="s">
        <v>773</v>
      </c>
      <c r="G224" s="12">
        <v>45962.0</v>
      </c>
      <c r="H224" s="8">
        <v>67053.0</v>
      </c>
      <c r="I224" s="8">
        <v>66900.0</v>
      </c>
      <c r="J224" s="8">
        <v>38498.0</v>
      </c>
      <c r="K224" s="9">
        <f t="shared" si="1"/>
        <v>0.5754559043</v>
      </c>
      <c r="L224" s="8">
        <v>4532.0</v>
      </c>
      <c r="M224" s="9">
        <f t="shared" si="2"/>
        <v>0.06774289985</v>
      </c>
      <c r="N224" s="8">
        <v>141.0</v>
      </c>
      <c r="O224" s="9">
        <f t="shared" si="3"/>
        <v>0.002107623318</v>
      </c>
      <c r="P224" s="10">
        <v>8856.18</v>
      </c>
      <c r="Q224" s="11">
        <f t="shared" si="4"/>
        <v>0.1323793722</v>
      </c>
      <c r="R224" s="8">
        <v>81.0</v>
      </c>
      <c r="S224" s="9">
        <f t="shared" si="5"/>
        <v>0.001210762332</v>
      </c>
    </row>
    <row r="225" ht="15.75" customHeight="1">
      <c r="A225" s="4" t="s">
        <v>810</v>
      </c>
      <c r="B225" s="4" t="s">
        <v>811</v>
      </c>
      <c r="C225" s="4" t="s">
        <v>776</v>
      </c>
      <c r="D225" s="4">
        <v>1.0</v>
      </c>
      <c r="E225" s="4" t="s">
        <v>66</v>
      </c>
      <c r="F225" s="4" t="s">
        <v>773</v>
      </c>
      <c r="G225" s="12">
        <v>45992.0</v>
      </c>
      <c r="H225" s="8">
        <v>67332.0</v>
      </c>
      <c r="I225" s="8">
        <v>66859.0</v>
      </c>
      <c r="J225" s="8">
        <v>37535.0</v>
      </c>
      <c r="K225" s="9">
        <f t="shared" si="1"/>
        <v>0.5614053456</v>
      </c>
      <c r="L225" s="8">
        <v>4598.0</v>
      </c>
      <c r="M225" s="9">
        <f t="shared" si="2"/>
        <v>0.06877159395</v>
      </c>
      <c r="N225" s="8">
        <v>120.0</v>
      </c>
      <c r="O225" s="9">
        <f t="shared" si="3"/>
        <v>0.001794821939</v>
      </c>
      <c r="P225" s="10">
        <v>8629.41</v>
      </c>
      <c r="Q225" s="11">
        <f t="shared" si="4"/>
        <v>0.1290687866</v>
      </c>
      <c r="R225" s="8">
        <v>28.0</v>
      </c>
      <c r="S225" s="9">
        <f t="shared" si="5"/>
        <v>0.0004187917857</v>
      </c>
    </row>
    <row r="226" ht="15.75" customHeight="1">
      <c r="A226" s="4" t="s">
        <v>810</v>
      </c>
      <c r="B226" s="4" t="s">
        <v>811</v>
      </c>
      <c r="C226" s="4" t="s">
        <v>776</v>
      </c>
      <c r="D226" s="4">
        <v>1.0</v>
      </c>
      <c r="E226" s="4" t="s">
        <v>66</v>
      </c>
      <c r="F226" s="4" t="s">
        <v>773</v>
      </c>
      <c r="G226" s="12">
        <v>46023.0</v>
      </c>
      <c r="H226" s="8">
        <v>49941.0</v>
      </c>
      <c r="I226" s="8">
        <v>49696.0</v>
      </c>
      <c r="J226" s="8">
        <v>27252.0</v>
      </c>
      <c r="K226" s="9">
        <f t="shared" si="1"/>
        <v>0.5483741146</v>
      </c>
      <c r="L226" s="8">
        <v>3476.0</v>
      </c>
      <c r="M226" s="9">
        <f t="shared" si="2"/>
        <v>0.06994526722</v>
      </c>
      <c r="N226" s="8">
        <v>105.0</v>
      </c>
      <c r="O226" s="9">
        <f t="shared" si="3"/>
        <v>0.002112846104</v>
      </c>
      <c r="P226" s="10">
        <v>6338.18</v>
      </c>
      <c r="Q226" s="11">
        <f t="shared" si="4"/>
        <v>0.1275390373</v>
      </c>
      <c r="R226" s="8">
        <v>18.0</v>
      </c>
      <c r="S226" s="9">
        <f t="shared" si="5"/>
        <v>0.0003622021893</v>
      </c>
    </row>
    <row r="227" ht="15.75" customHeight="1">
      <c r="A227" s="4" t="s">
        <v>810</v>
      </c>
      <c r="B227" s="4" t="s">
        <v>811</v>
      </c>
      <c r="C227" s="4" t="s">
        <v>776</v>
      </c>
      <c r="D227" s="4">
        <v>1.0</v>
      </c>
      <c r="E227" s="4" t="s">
        <v>66</v>
      </c>
      <c r="F227" s="4" t="s">
        <v>773</v>
      </c>
      <c r="G227" s="12">
        <v>46054.0</v>
      </c>
      <c r="H227" s="8">
        <v>58512.0</v>
      </c>
      <c r="I227" s="8">
        <v>57749.0</v>
      </c>
      <c r="J227" s="8">
        <v>34342.0</v>
      </c>
      <c r="K227" s="9">
        <f t="shared" si="1"/>
        <v>0.5946769641</v>
      </c>
      <c r="L227" s="8">
        <v>3910.0</v>
      </c>
      <c r="M227" s="9">
        <f t="shared" si="2"/>
        <v>0.06770680012</v>
      </c>
      <c r="N227" s="8">
        <v>92.0</v>
      </c>
      <c r="O227" s="9">
        <f t="shared" si="3"/>
        <v>0.001593101179</v>
      </c>
      <c r="P227" s="10">
        <v>9201.86</v>
      </c>
      <c r="Q227" s="11">
        <f t="shared" si="4"/>
        <v>0.1593423263</v>
      </c>
      <c r="R227" s="8">
        <v>93.0</v>
      </c>
      <c r="S227" s="9">
        <f t="shared" si="5"/>
        <v>0.001610417496</v>
      </c>
    </row>
    <row r="228" ht="15.75" customHeight="1">
      <c r="A228" s="4" t="s">
        <v>810</v>
      </c>
      <c r="B228" s="4" t="s">
        <v>811</v>
      </c>
      <c r="C228" s="4" t="s">
        <v>776</v>
      </c>
      <c r="D228" s="4">
        <v>1.0</v>
      </c>
      <c r="E228" s="4" t="s">
        <v>66</v>
      </c>
      <c r="F228" s="4" t="s">
        <v>773</v>
      </c>
      <c r="G228" s="12">
        <v>46082.0</v>
      </c>
      <c r="H228" s="8">
        <v>57371.0</v>
      </c>
      <c r="I228" s="8">
        <v>56811.0</v>
      </c>
      <c r="J228" s="8">
        <v>37148.0</v>
      </c>
      <c r="K228" s="9">
        <f t="shared" si="1"/>
        <v>0.6538874514</v>
      </c>
      <c r="L228" s="8">
        <v>4349.0</v>
      </c>
      <c r="M228" s="9">
        <f t="shared" si="2"/>
        <v>0.07655207618</v>
      </c>
      <c r="N228" s="8">
        <v>94.0</v>
      </c>
      <c r="O228" s="9">
        <f t="shared" si="3"/>
        <v>0.001654609143</v>
      </c>
      <c r="P228" s="10">
        <v>7820.78</v>
      </c>
      <c r="Q228" s="11">
        <f t="shared" si="4"/>
        <v>0.1376631286</v>
      </c>
      <c r="R228" s="8">
        <v>54.0</v>
      </c>
      <c r="S228" s="9">
        <f t="shared" si="5"/>
        <v>0.0009505201457</v>
      </c>
    </row>
    <row r="229" ht="15.75" customHeight="1">
      <c r="A229" s="4" t="s">
        <v>810</v>
      </c>
      <c r="B229" s="4" t="s">
        <v>811</v>
      </c>
      <c r="C229" s="4" t="s">
        <v>776</v>
      </c>
      <c r="D229" s="4">
        <v>1.0</v>
      </c>
      <c r="E229" s="4" t="s">
        <v>66</v>
      </c>
      <c r="F229" s="4" t="s">
        <v>773</v>
      </c>
      <c r="G229" s="12">
        <v>46113.0</v>
      </c>
      <c r="H229" s="8">
        <v>58122.0</v>
      </c>
      <c r="I229" s="8">
        <v>57839.0</v>
      </c>
      <c r="J229" s="8">
        <v>32600.0</v>
      </c>
      <c r="K229" s="9">
        <f t="shared" si="1"/>
        <v>0.5636335345</v>
      </c>
      <c r="L229" s="8">
        <v>4091.0</v>
      </c>
      <c r="M229" s="9">
        <f t="shared" si="2"/>
        <v>0.07073082176</v>
      </c>
      <c r="N229" s="8">
        <v>138.0</v>
      </c>
      <c r="O229" s="9">
        <f t="shared" si="3"/>
        <v>0.002385933367</v>
      </c>
      <c r="P229" s="10">
        <v>8242.33</v>
      </c>
      <c r="Q229" s="11">
        <f t="shared" si="4"/>
        <v>0.1425047114</v>
      </c>
      <c r="R229" s="8">
        <v>47.0</v>
      </c>
      <c r="S229" s="9">
        <f t="shared" si="5"/>
        <v>0.0008126004945</v>
      </c>
    </row>
    <row r="230" ht="15.75" customHeight="1">
      <c r="A230" s="4" t="s">
        <v>812</v>
      </c>
      <c r="B230" s="4" t="s">
        <v>813</v>
      </c>
      <c r="C230" s="4" t="s">
        <v>776</v>
      </c>
      <c r="D230" s="4">
        <v>2.0</v>
      </c>
      <c r="E230" s="4" t="s">
        <v>66</v>
      </c>
      <c r="F230" s="4" t="s">
        <v>773</v>
      </c>
      <c r="G230" s="12">
        <v>45778.0</v>
      </c>
      <c r="H230" s="8">
        <v>4484.0</v>
      </c>
      <c r="I230" s="8">
        <v>4474.0</v>
      </c>
      <c r="J230" s="8">
        <v>3057.0</v>
      </c>
      <c r="K230" s="9">
        <f t="shared" si="1"/>
        <v>0.6832811802</v>
      </c>
      <c r="L230" s="8">
        <v>386.0</v>
      </c>
      <c r="M230" s="9">
        <f t="shared" si="2"/>
        <v>0.08627626285</v>
      </c>
      <c r="N230" s="8">
        <v>0.0</v>
      </c>
      <c r="O230" s="9">
        <f t="shared" si="3"/>
        <v>0</v>
      </c>
      <c r="P230" s="10">
        <v>0.0</v>
      </c>
      <c r="Q230" s="11">
        <f t="shared" si="4"/>
        <v>0</v>
      </c>
      <c r="R230" s="8">
        <v>7.0</v>
      </c>
      <c r="S230" s="9">
        <f t="shared" si="5"/>
        <v>0.00156459544</v>
      </c>
    </row>
    <row r="231" ht="15.75" customHeight="1">
      <c r="A231" s="4" t="s">
        <v>812</v>
      </c>
      <c r="B231" s="4" t="s">
        <v>813</v>
      </c>
      <c r="C231" s="4" t="s">
        <v>776</v>
      </c>
      <c r="D231" s="4">
        <v>2.0</v>
      </c>
      <c r="E231" s="4" t="s">
        <v>66</v>
      </c>
      <c r="F231" s="4" t="s">
        <v>773</v>
      </c>
      <c r="G231" s="12">
        <v>45809.0</v>
      </c>
      <c r="H231" s="8">
        <v>4609.0</v>
      </c>
      <c r="I231" s="8">
        <v>4557.0</v>
      </c>
      <c r="J231" s="8">
        <v>2793.0</v>
      </c>
      <c r="K231" s="9">
        <f t="shared" si="1"/>
        <v>0.6129032258</v>
      </c>
      <c r="L231" s="8">
        <v>416.0</v>
      </c>
      <c r="M231" s="9">
        <f t="shared" si="2"/>
        <v>0.09128812815</v>
      </c>
      <c r="N231" s="8">
        <v>0.0</v>
      </c>
      <c r="O231" s="9">
        <f t="shared" si="3"/>
        <v>0</v>
      </c>
      <c r="P231" s="10">
        <v>0.0</v>
      </c>
      <c r="Q231" s="11">
        <f t="shared" si="4"/>
        <v>0</v>
      </c>
      <c r="R231" s="8">
        <v>3.0</v>
      </c>
      <c r="S231" s="9">
        <f t="shared" si="5"/>
        <v>0.0006583278473</v>
      </c>
    </row>
    <row r="232" ht="15.75" customHeight="1">
      <c r="A232" s="4" t="s">
        <v>812</v>
      </c>
      <c r="B232" s="4" t="s">
        <v>813</v>
      </c>
      <c r="C232" s="4" t="s">
        <v>776</v>
      </c>
      <c r="D232" s="4">
        <v>2.0</v>
      </c>
      <c r="E232" s="4" t="s">
        <v>66</v>
      </c>
      <c r="F232" s="4" t="s">
        <v>773</v>
      </c>
      <c r="G232" s="12">
        <v>45839.0</v>
      </c>
      <c r="H232" s="8">
        <v>3916.0</v>
      </c>
      <c r="I232" s="8">
        <v>3862.0</v>
      </c>
      <c r="J232" s="8">
        <v>2664.0</v>
      </c>
      <c r="K232" s="9">
        <f t="shared" si="1"/>
        <v>0.6897980321</v>
      </c>
      <c r="L232" s="8">
        <v>346.0</v>
      </c>
      <c r="M232" s="9">
        <f t="shared" si="2"/>
        <v>0.08959088555</v>
      </c>
      <c r="N232" s="8">
        <v>0.0</v>
      </c>
      <c r="O232" s="9">
        <f t="shared" si="3"/>
        <v>0</v>
      </c>
      <c r="P232" s="10">
        <v>0.0</v>
      </c>
      <c r="Q232" s="11">
        <f t="shared" si="4"/>
        <v>0</v>
      </c>
      <c r="R232" s="8">
        <v>2.0</v>
      </c>
      <c r="S232" s="9">
        <f t="shared" si="5"/>
        <v>0.0005178663905</v>
      </c>
    </row>
    <row r="233" ht="15.75" customHeight="1">
      <c r="A233" s="4" t="s">
        <v>812</v>
      </c>
      <c r="B233" s="4" t="s">
        <v>813</v>
      </c>
      <c r="C233" s="4" t="s">
        <v>776</v>
      </c>
      <c r="D233" s="4">
        <v>2.0</v>
      </c>
      <c r="E233" s="4" t="s">
        <v>66</v>
      </c>
      <c r="F233" s="4" t="s">
        <v>773</v>
      </c>
      <c r="G233" s="12">
        <v>45870.0</v>
      </c>
      <c r="H233" s="8">
        <v>3679.0</v>
      </c>
      <c r="I233" s="8">
        <v>3625.0</v>
      </c>
      <c r="J233" s="8">
        <v>2677.0</v>
      </c>
      <c r="K233" s="9">
        <f t="shared" si="1"/>
        <v>0.7384827586</v>
      </c>
      <c r="L233" s="8">
        <v>300.0</v>
      </c>
      <c r="M233" s="9">
        <f t="shared" si="2"/>
        <v>0.08275862069</v>
      </c>
      <c r="N233" s="8">
        <v>0.0</v>
      </c>
      <c r="O233" s="9">
        <f t="shared" si="3"/>
        <v>0</v>
      </c>
      <c r="P233" s="10">
        <v>0.0</v>
      </c>
      <c r="Q233" s="11">
        <f t="shared" si="4"/>
        <v>0</v>
      </c>
      <c r="R233" s="8">
        <v>5.0</v>
      </c>
      <c r="S233" s="9">
        <f t="shared" si="5"/>
        <v>0.001379310345</v>
      </c>
    </row>
    <row r="234" ht="15.75" customHeight="1">
      <c r="A234" s="4" t="s">
        <v>812</v>
      </c>
      <c r="B234" s="4" t="s">
        <v>813</v>
      </c>
      <c r="C234" s="4" t="s">
        <v>776</v>
      </c>
      <c r="D234" s="4">
        <v>2.0</v>
      </c>
      <c r="E234" s="4" t="s">
        <v>66</v>
      </c>
      <c r="F234" s="4" t="s">
        <v>773</v>
      </c>
      <c r="G234" s="12">
        <v>45901.0</v>
      </c>
      <c r="H234" s="8">
        <v>4499.0</v>
      </c>
      <c r="I234" s="8">
        <v>4487.0</v>
      </c>
      <c r="J234" s="8">
        <v>3183.0</v>
      </c>
      <c r="K234" s="9">
        <f t="shared" si="1"/>
        <v>0.709382661</v>
      </c>
      <c r="L234" s="8">
        <v>460.0</v>
      </c>
      <c r="M234" s="9">
        <f t="shared" si="2"/>
        <v>0.1025183864</v>
      </c>
      <c r="N234" s="8">
        <v>0.0</v>
      </c>
      <c r="O234" s="9">
        <f t="shared" si="3"/>
        <v>0</v>
      </c>
      <c r="P234" s="10">
        <v>0.0</v>
      </c>
      <c r="Q234" s="11">
        <f t="shared" si="4"/>
        <v>0</v>
      </c>
      <c r="R234" s="8">
        <v>3.0</v>
      </c>
      <c r="S234" s="9">
        <f t="shared" si="5"/>
        <v>0.0006685981725</v>
      </c>
    </row>
    <row r="235" ht="15.75" customHeight="1">
      <c r="A235" s="4" t="s">
        <v>812</v>
      </c>
      <c r="B235" s="4" t="s">
        <v>813</v>
      </c>
      <c r="C235" s="4" t="s">
        <v>776</v>
      </c>
      <c r="D235" s="4">
        <v>2.0</v>
      </c>
      <c r="E235" s="4" t="s">
        <v>66</v>
      </c>
      <c r="F235" s="4" t="s">
        <v>773</v>
      </c>
      <c r="G235" s="12">
        <v>45931.0</v>
      </c>
      <c r="H235" s="8">
        <v>5278.0</v>
      </c>
      <c r="I235" s="8">
        <v>5226.0</v>
      </c>
      <c r="J235" s="8">
        <v>3210.0</v>
      </c>
      <c r="K235" s="9">
        <f t="shared" si="1"/>
        <v>0.6142365098</v>
      </c>
      <c r="L235" s="8">
        <v>492.0</v>
      </c>
      <c r="M235" s="9">
        <f t="shared" si="2"/>
        <v>0.09414466131</v>
      </c>
      <c r="N235" s="8">
        <v>0.0</v>
      </c>
      <c r="O235" s="9">
        <f t="shared" si="3"/>
        <v>0</v>
      </c>
      <c r="P235" s="10">
        <v>0.0</v>
      </c>
      <c r="Q235" s="11">
        <f t="shared" si="4"/>
        <v>0</v>
      </c>
      <c r="R235" s="8">
        <v>9.0</v>
      </c>
      <c r="S235" s="9">
        <f t="shared" si="5"/>
        <v>0.001722158439</v>
      </c>
    </row>
    <row r="236" ht="15.75" customHeight="1">
      <c r="A236" s="4" t="s">
        <v>812</v>
      </c>
      <c r="B236" s="4" t="s">
        <v>813</v>
      </c>
      <c r="C236" s="4" t="s">
        <v>776</v>
      </c>
      <c r="D236" s="4">
        <v>2.0</v>
      </c>
      <c r="E236" s="4" t="s">
        <v>66</v>
      </c>
      <c r="F236" s="4" t="s">
        <v>773</v>
      </c>
      <c r="G236" s="12">
        <v>45962.0</v>
      </c>
      <c r="H236" s="8">
        <v>6369.0</v>
      </c>
      <c r="I236" s="8">
        <v>6334.0</v>
      </c>
      <c r="J236" s="8">
        <v>3912.0</v>
      </c>
      <c r="K236" s="9">
        <f t="shared" si="1"/>
        <v>0.617619198</v>
      </c>
      <c r="L236" s="8">
        <v>496.0</v>
      </c>
      <c r="M236" s="9">
        <f t="shared" si="2"/>
        <v>0.07830754657</v>
      </c>
      <c r="N236" s="8">
        <v>0.0</v>
      </c>
      <c r="O236" s="9">
        <f t="shared" si="3"/>
        <v>0</v>
      </c>
      <c r="P236" s="10">
        <v>0.0</v>
      </c>
      <c r="Q236" s="11">
        <f t="shared" si="4"/>
        <v>0</v>
      </c>
      <c r="R236" s="8">
        <v>2.0</v>
      </c>
      <c r="S236" s="9">
        <f t="shared" si="5"/>
        <v>0.0003157562362</v>
      </c>
    </row>
    <row r="237" ht="15.75" customHeight="1">
      <c r="A237" s="4" t="s">
        <v>812</v>
      </c>
      <c r="B237" s="4" t="s">
        <v>813</v>
      </c>
      <c r="C237" s="4" t="s">
        <v>776</v>
      </c>
      <c r="D237" s="4">
        <v>2.0</v>
      </c>
      <c r="E237" s="4" t="s">
        <v>66</v>
      </c>
      <c r="F237" s="4" t="s">
        <v>773</v>
      </c>
      <c r="G237" s="12">
        <v>45992.0</v>
      </c>
      <c r="H237" s="8">
        <v>6312.0</v>
      </c>
      <c r="I237" s="8">
        <v>6268.0</v>
      </c>
      <c r="J237" s="8">
        <v>3881.0</v>
      </c>
      <c r="K237" s="9">
        <f t="shared" si="1"/>
        <v>0.6191767709</v>
      </c>
      <c r="L237" s="8">
        <v>589.0</v>
      </c>
      <c r="M237" s="9">
        <f t="shared" si="2"/>
        <v>0.09396936822</v>
      </c>
      <c r="N237" s="8">
        <v>0.0</v>
      </c>
      <c r="O237" s="9">
        <f t="shared" si="3"/>
        <v>0</v>
      </c>
      <c r="P237" s="10">
        <v>0.0</v>
      </c>
      <c r="Q237" s="11">
        <f t="shared" si="4"/>
        <v>0</v>
      </c>
      <c r="R237" s="8">
        <v>11.0</v>
      </c>
      <c r="S237" s="9">
        <f t="shared" si="5"/>
        <v>0.001754945756</v>
      </c>
    </row>
    <row r="238" ht="15.75" customHeight="1">
      <c r="A238" s="4" t="s">
        <v>812</v>
      </c>
      <c r="B238" s="4" t="s">
        <v>813</v>
      </c>
      <c r="C238" s="4" t="s">
        <v>776</v>
      </c>
      <c r="D238" s="4">
        <v>2.0</v>
      </c>
      <c r="E238" s="4" t="s">
        <v>66</v>
      </c>
      <c r="F238" s="4" t="s">
        <v>773</v>
      </c>
      <c r="G238" s="12">
        <v>46023.0</v>
      </c>
      <c r="H238" s="8">
        <v>4193.0</v>
      </c>
      <c r="I238" s="8">
        <v>4135.0</v>
      </c>
      <c r="J238" s="8">
        <v>2801.0</v>
      </c>
      <c r="K238" s="9">
        <f t="shared" si="1"/>
        <v>0.6773881499</v>
      </c>
      <c r="L238" s="8">
        <v>409.0</v>
      </c>
      <c r="M238" s="9">
        <f t="shared" si="2"/>
        <v>0.09891172914</v>
      </c>
      <c r="N238" s="8">
        <v>0.0</v>
      </c>
      <c r="O238" s="9">
        <f t="shared" si="3"/>
        <v>0</v>
      </c>
      <c r="P238" s="10">
        <v>0.0</v>
      </c>
      <c r="Q238" s="11">
        <f t="shared" si="4"/>
        <v>0</v>
      </c>
      <c r="R238" s="8">
        <v>2.0</v>
      </c>
      <c r="S238" s="9">
        <f t="shared" si="5"/>
        <v>0.0004836759371</v>
      </c>
    </row>
    <row r="239" ht="15.75" customHeight="1">
      <c r="A239" s="4" t="s">
        <v>812</v>
      </c>
      <c r="B239" s="4" t="s">
        <v>813</v>
      </c>
      <c r="C239" s="4" t="s">
        <v>776</v>
      </c>
      <c r="D239" s="4">
        <v>2.0</v>
      </c>
      <c r="E239" s="4" t="s">
        <v>66</v>
      </c>
      <c r="F239" s="4" t="s">
        <v>773</v>
      </c>
      <c r="G239" s="12">
        <v>46054.0</v>
      </c>
      <c r="H239" s="8">
        <v>5091.0</v>
      </c>
      <c r="I239" s="8">
        <v>5055.0</v>
      </c>
      <c r="J239" s="8">
        <v>2986.0</v>
      </c>
      <c r="K239" s="9">
        <f t="shared" si="1"/>
        <v>0.590702275</v>
      </c>
      <c r="L239" s="8">
        <v>414.0</v>
      </c>
      <c r="M239" s="9">
        <f t="shared" si="2"/>
        <v>0.08189910979</v>
      </c>
      <c r="N239" s="8">
        <v>0.0</v>
      </c>
      <c r="O239" s="9">
        <f t="shared" si="3"/>
        <v>0</v>
      </c>
      <c r="P239" s="10">
        <v>0.0</v>
      </c>
      <c r="Q239" s="11">
        <f t="shared" si="4"/>
        <v>0</v>
      </c>
      <c r="R239" s="8">
        <v>7.0</v>
      </c>
      <c r="S239" s="9">
        <f t="shared" si="5"/>
        <v>0.001384767557</v>
      </c>
    </row>
    <row r="240" ht="15.75" customHeight="1">
      <c r="A240" s="4" t="s">
        <v>812</v>
      </c>
      <c r="B240" s="4" t="s">
        <v>813</v>
      </c>
      <c r="C240" s="4" t="s">
        <v>776</v>
      </c>
      <c r="D240" s="4">
        <v>2.0</v>
      </c>
      <c r="E240" s="4" t="s">
        <v>66</v>
      </c>
      <c r="F240" s="4" t="s">
        <v>773</v>
      </c>
      <c r="G240" s="12">
        <v>46082.0</v>
      </c>
      <c r="H240" s="8">
        <v>4586.0</v>
      </c>
      <c r="I240" s="8">
        <v>4524.0</v>
      </c>
      <c r="J240" s="8">
        <v>3117.0</v>
      </c>
      <c r="K240" s="9">
        <f t="shared" si="1"/>
        <v>0.6889920424</v>
      </c>
      <c r="L240" s="8">
        <v>412.0</v>
      </c>
      <c r="M240" s="9">
        <f t="shared" si="2"/>
        <v>0.09106984969</v>
      </c>
      <c r="N240" s="8">
        <v>0.0</v>
      </c>
      <c r="O240" s="9">
        <f t="shared" si="3"/>
        <v>0</v>
      </c>
      <c r="P240" s="10">
        <v>0.0</v>
      </c>
      <c r="Q240" s="11">
        <f t="shared" si="4"/>
        <v>0</v>
      </c>
      <c r="R240" s="8">
        <v>2.0</v>
      </c>
      <c r="S240" s="9">
        <f t="shared" si="5"/>
        <v>0.000442086649</v>
      </c>
    </row>
    <row r="241" ht="15.75" customHeight="1">
      <c r="A241" s="4" t="s">
        <v>812</v>
      </c>
      <c r="B241" s="4" t="s">
        <v>813</v>
      </c>
      <c r="C241" s="4" t="s">
        <v>776</v>
      </c>
      <c r="D241" s="4">
        <v>2.0</v>
      </c>
      <c r="E241" s="4" t="s">
        <v>66</v>
      </c>
      <c r="F241" s="4" t="s">
        <v>773</v>
      </c>
      <c r="G241" s="12">
        <v>46113.0</v>
      </c>
      <c r="H241" s="8">
        <v>3886.0</v>
      </c>
      <c r="I241" s="8">
        <v>3836.0</v>
      </c>
      <c r="J241" s="8">
        <v>2266.0</v>
      </c>
      <c r="K241" s="9">
        <f t="shared" si="1"/>
        <v>0.5907194995</v>
      </c>
      <c r="L241" s="8">
        <v>321.0</v>
      </c>
      <c r="M241" s="9">
        <f t="shared" si="2"/>
        <v>0.08368091762</v>
      </c>
      <c r="N241" s="8">
        <v>0.0</v>
      </c>
      <c r="O241" s="9">
        <f t="shared" si="3"/>
        <v>0</v>
      </c>
      <c r="P241" s="10">
        <v>0.0</v>
      </c>
      <c r="Q241" s="11">
        <f t="shared" si="4"/>
        <v>0</v>
      </c>
      <c r="R241" s="8">
        <v>3.0</v>
      </c>
      <c r="S241" s="9">
        <f t="shared" si="5"/>
        <v>0.0007820646507</v>
      </c>
    </row>
    <row r="242" ht="15.75" customHeight="1">
      <c r="A242" s="4" t="s">
        <v>814</v>
      </c>
      <c r="B242" s="4" t="s">
        <v>815</v>
      </c>
      <c r="C242" s="4" t="s">
        <v>772</v>
      </c>
      <c r="D242" s="4">
        <v>1.0</v>
      </c>
      <c r="E242" s="4" t="s">
        <v>66</v>
      </c>
      <c r="F242" s="4" t="s">
        <v>773</v>
      </c>
      <c r="G242" s="12">
        <v>45778.0</v>
      </c>
      <c r="H242" s="8">
        <v>4654.0</v>
      </c>
      <c r="I242" s="8">
        <v>4598.0</v>
      </c>
      <c r="J242" s="8">
        <v>3094.0</v>
      </c>
      <c r="K242" s="9">
        <f t="shared" si="1"/>
        <v>0.6729012614</v>
      </c>
      <c r="L242" s="8">
        <v>368.0</v>
      </c>
      <c r="M242" s="9">
        <f t="shared" si="2"/>
        <v>0.08003479774</v>
      </c>
      <c r="N242" s="8">
        <v>0.0</v>
      </c>
      <c r="O242" s="9">
        <f t="shared" si="3"/>
        <v>0</v>
      </c>
      <c r="P242" s="10">
        <v>0.0</v>
      </c>
      <c r="Q242" s="11">
        <f t="shared" si="4"/>
        <v>0</v>
      </c>
      <c r="R242" s="8">
        <v>4.0</v>
      </c>
      <c r="S242" s="9">
        <f t="shared" si="5"/>
        <v>0.0008699434537</v>
      </c>
    </row>
    <row r="243" ht="15.75" customHeight="1">
      <c r="A243" s="4" t="s">
        <v>814</v>
      </c>
      <c r="B243" s="4" t="s">
        <v>815</v>
      </c>
      <c r="C243" s="4" t="s">
        <v>772</v>
      </c>
      <c r="D243" s="4">
        <v>1.0</v>
      </c>
      <c r="E243" s="4" t="s">
        <v>66</v>
      </c>
      <c r="F243" s="4" t="s">
        <v>773</v>
      </c>
      <c r="G243" s="12">
        <v>45809.0</v>
      </c>
      <c r="H243" s="8">
        <v>3836.0</v>
      </c>
      <c r="I243" s="8">
        <v>3822.0</v>
      </c>
      <c r="J243" s="8">
        <v>2268.0</v>
      </c>
      <c r="K243" s="9">
        <f t="shared" si="1"/>
        <v>0.5934065934</v>
      </c>
      <c r="L243" s="8">
        <v>293.0</v>
      </c>
      <c r="M243" s="9">
        <f t="shared" si="2"/>
        <v>0.0766614338</v>
      </c>
      <c r="N243" s="8">
        <v>0.0</v>
      </c>
      <c r="O243" s="9">
        <f t="shared" si="3"/>
        <v>0</v>
      </c>
      <c r="P243" s="10">
        <v>0.0</v>
      </c>
      <c r="Q243" s="11">
        <f t="shared" si="4"/>
        <v>0</v>
      </c>
      <c r="R243" s="8">
        <v>5.0</v>
      </c>
      <c r="S243" s="9">
        <f t="shared" si="5"/>
        <v>0.001308215594</v>
      </c>
    </row>
    <row r="244" ht="15.75" customHeight="1">
      <c r="A244" s="4" t="s">
        <v>814</v>
      </c>
      <c r="B244" s="4" t="s">
        <v>815</v>
      </c>
      <c r="C244" s="4" t="s">
        <v>772</v>
      </c>
      <c r="D244" s="4">
        <v>1.0</v>
      </c>
      <c r="E244" s="4" t="s">
        <v>66</v>
      </c>
      <c r="F244" s="4" t="s">
        <v>773</v>
      </c>
      <c r="G244" s="12">
        <v>45839.0</v>
      </c>
      <c r="H244" s="8">
        <v>3787.0</v>
      </c>
      <c r="I244" s="8">
        <v>3764.0</v>
      </c>
      <c r="J244" s="8">
        <v>2658.0</v>
      </c>
      <c r="K244" s="9">
        <f t="shared" si="1"/>
        <v>0.7061636557</v>
      </c>
      <c r="L244" s="8">
        <v>336.0</v>
      </c>
      <c r="M244" s="9">
        <f t="shared" si="2"/>
        <v>0.08926673751</v>
      </c>
      <c r="N244" s="8">
        <v>0.0</v>
      </c>
      <c r="O244" s="9">
        <f t="shared" si="3"/>
        <v>0</v>
      </c>
      <c r="P244" s="10">
        <v>0.0</v>
      </c>
      <c r="Q244" s="11">
        <f t="shared" si="4"/>
        <v>0</v>
      </c>
      <c r="R244" s="8">
        <v>2.0</v>
      </c>
      <c r="S244" s="9">
        <f t="shared" si="5"/>
        <v>0.0005313496281</v>
      </c>
    </row>
    <row r="245" ht="15.75" customHeight="1">
      <c r="A245" s="4" t="s">
        <v>814</v>
      </c>
      <c r="B245" s="4" t="s">
        <v>815</v>
      </c>
      <c r="C245" s="4" t="s">
        <v>772</v>
      </c>
      <c r="D245" s="4">
        <v>1.0</v>
      </c>
      <c r="E245" s="4" t="s">
        <v>66</v>
      </c>
      <c r="F245" s="4" t="s">
        <v>773</v>
      </c>
      <c r="G245" s="12">
        <v>45870.0</v>
      </c>
      <c r="H245" s="8">
        <v>4211.0</v>
      </c>
      <c r="I245" s="8">
        <v>4160.0</v>
      </c>
      <c r="J245" s="8">
        <v>2531.0</v>
      </c>
      <c r="K245" s="9">
        <f t="shared" si="1"/>
        <v>0.6084134615</v>
      </c>
      <c r="L245" s="8">
        <v>395.0</v>
      </c>
      <c r="M245" s="9">
        <f t="shared" si="2"/>
        <v>0.09495192308</v>
      </c>
      <c r="N245" s="8">
        <v>0.0</v>
      </c>
      <c r="O245" s="9">
        <f t="shared" si="3"/>
        <v>0</v>
      </c>
      <c r="P245" s="10">
        <v>0.0</v>
      </c>
      <c r="Q245" s="11">
        <f t="shared" si="4"/>
        <v>0</v>
      </c>
      <c r="R245" s="8">
        <v>5.0</v>
      </c>
      <c r="S245" s="9">
        <f t="shared" si="5"/>
        <v>0.001201923077</v>
      </c>
    </row>
    <row r="246" ht="15.75" customHeight="1">
      <c r="A246" s="4" t="s">
        <v>814</v>
      </c>
      <c r="B246" s="4" t="s">
        <v>815</v>
      </c>
      <c r="C246" s="4" t="s">
        <v>772</v>
      </c>
      <c r="D246" s="4">
        <v>1.0</v>
      </c>
      <c r="E246" s="4" t="s">
        <v>66</v>
      </c>
      <c r="F246" s="4" t="s">
        <v>773</v>
      </c>
      <c r="G246" s="12">
        <v>45901.0</v>
      </c>
      <c r="H246" s="8">
        <v>3943.0</v>
      </c>
      <c r="I246" s="8">
        <v>3926.0</v>
      </c>
      <c r="J246" s="8">
        <v>2467.0</v>
      </c>
      <c r="K246" s="9">
        <f t="shared" si="1"/>
        <v>0.6283749363</v>
      </c>
      <c r="L246" s="8">
        <v>344.0</v>
      </c>
      <c r="M246" s="9">
        <f t="shared" si="2"/>
        <v>0.08762098828</v>
      </c>
      <c r="N246" s="8">
        <v>0.0</v>
      </c>
      <c r="O246" s="9">
        <f t="shared" si="3"/>
        <v>0</v>
      </c>
      <c r="P246" s="10">
        <v>0.0</v>
      </c>
      <c r="Q246" s="11">
        <f t="shared" si="4"/>
        <v>0</v>
      </c>
      <c r="R246" s="8">
        <v>7.0</v>
      </c>
      <c r="S246" s="9">
        <f t="shared" si="5"/>
        <v>0.001782985227</v>
      </c>
    </row>
    <row r="247" ht="15.75" customHeight="1">
      <c r="A247" s="4" t="s">
        <v>814</v>
      </c>
      <c r="B247" s="4" t="s">
        <v>815</v>
      </c>
      <c r="C247" s="4" t="s">
        <v>772</v>
      </c>
      <c r="D247" s="4">
        <v>1.0</v>
      </c>
      <c r="E247" s="4" t="s">
        <v>66</v>
      </c>
      <c r="F247" s="4" t="s">
        <v>773</v>
      </c>
      <c r="G247" s="12">
        <v>45931.0</v>
      </c>
      <c r="H247" s="8">
        <v>5658.0</v>
      </c>
      <c r="I247" s="8">
        <v>5618.0</v>
      </c>
      <c r="J247" s="8">
        <v>4030.0</v>
      </c>
      <c r="K247" s="9">
        <f t="shared" si="1"/>
        <v>0.7173371307</v>
      </c>
      <c r="L247" s="8">
        <v>579.0</v>
      </c>
      <c r="M247" s="9">
        <f t="shared" si="2"/>
        <v>0.1030615878</v>
      </c>
      <c r="N247" s="8">
        <v>0.0</v>
      </c>
      <c r="O247" s="9">
        <f t="shared" si="3"/>
        <v>0</v>
      </c>
      <c r="P247" s="10">
        <v>0.0</v>
      </c>
      <c r="Q247" s="11">
        <f t="shared" si="4"/>
        <v>0</v>
      </c>
      <c r="R247" s="8">
        <v>7.0</v>
      </c>
      <c r="S247" s="9">
        <f t="shared" si="5"/>
        <v>0.001245995016</v>
      </c>
    </row>
    <row r="248" ht="15.75" customHeight="1">
      <c r="A248" s="4" t="s">
        <v>814</v>
      </c>
      <c r="B248" s="4" t="s">
        <v>815</v>
      </c>
      <c r="C248" s="4" t="s">
        <v>772</v>
      </c>
      <c r="D248" s="4">
        <v>1.0</v>
      </c>
      <c r="E248" s="4" t="s">
        <v>66</v>
      </c>
      <c r="F248" s="4" t="s">
        <v>773</v>
      </c>
      <c r="G248" s="12">
        <v>45962.0</v>
      </c>
      <c r="H248" s="8">
        <v>5748.0</v>
      </c>
      <c r="I248" s="8">
        <v>5665.0</v>
      </c>
      <c r="J248" s="8">
        <v>3391.0</v>
      </c>
      <c r="K248" s="9">
        <f t="shared" si="1"/>
        <v>0.5985878199</v>
      </c>
      <c r="L248" s="8">
        <v>456.0</v>
      </c>
      <c r="M248" s="9">
        <f t="shared" si="2"/>
        <v>0.08049426302</v>
      </c>
      <c r="N248" s="8">
        <v>0.0</v>
      </c>
      <c r="O248" s="9">
        <f t="shared" si="3"/>
        <v>0</v>
      </c>
      <c r="P248" s="10">
        <v>0.0</v>
      </c>
      <c r="Q248" s="11">
        <f t="shared" si="4"/>
        <v>0</v>
      </c>
      <c r="R248" s="8">
        <v>6.0</v>
      </c>
      <c r="S248" s="9">
        <f t="shared" si="5"/>
        <v>0.00105913504</v>
      </c>
    </row>
    <row r="249" ht="15.75" customHeight="1">
      <c r="A249" s="4" t="s">
        <v>814</v>
      </c>
      <c r="B249" s="4" t="s">
        <v>815</v>
      </c>
      <c r="C249" s="4" t="s">
        <v>772</v>
      </c>
      <c r="D249" s="4">
        <v>1.0</v>
      </c>
      <c r="E249" s="4" t="s">
        <v>66</v>
      </c>
      <c r="F249" s="4" t="s">
        <v>773</v>
      </c>
      <c r="G249" s="12">
        <v>45992.0</v>
      </c>
      <c r="H249" s="8">
        <v>5050.0</v>
      </c>
      <c r="I249" s="8">
        <v>5034.0</v>
      </c>
      <c r="J249" s="8">
        <v>2966.0</v>
      </c>
      <c r="K249" s="9">
        <f t="shared" si="1"/>
        <v>0.5891934843</v>
      </c>
      <c r="L249" s="8">
        <v>434.0</v>
      </c>
      <c r="M249" s="9">
        <f t="shared" si="2"/>
        <v>0.08621374652</v>
      </c>
      <c r="N249" s="8">
        <v>0.0</v>
      </c>
      <c r="O249" s="9">
        <f t="shared" si="3"/>
        <v>0</v>
      </c>
      <c r="P249" s="10">
        <v>0.0</v>
      </c>
      <c r="Q249" s="11">
        <f t="shared" si="4"/>
        <v>0</v>
      </c>
      <c r="R249" s="8">
        <v>6.0</v>
      </c>
      <c r="S249" s="9">
        <f t="shared" si="5"/>
        <v>0.001191895113</v>
      </c>
    </row>
    <row r="250" ht="15.75" customHeight="1">
      <c r="A250" s="4" t="s">
        <v>814</v>
      </c>
      <c r="B250" s="4" t="s">
        <v>815</v>
      </c>
      <c r="C250" s="4" t="s">
        <v>772</v>
      </c>
      <c r="D250" s="4">
        <v>1.0</v>
      </c>
      <c r="E250" s="4" t="s">
        <v>66</v>
      </c>
      <c r="F250" s="4" t="s">
        <v>773</v>
      </c>
      <c r="G250" s="12">
        <v>46023.0</v>
      </c>
      <c r="H250" s="8">
        <v>4272.0</v>
      </c>
      <c r="I250" s="8">
        <v>4233.0</v>
      </c>
      <c r="J250" s="8">
        <v>2528.0</v>
      </c>
      <c r="K250" s="9">
        <f t="shared" si="1"/>
        <v>0.5972123789</v>
      </c>
      <c r="L250" s="8">
        <v>329.0</v>
      </c>
      <c r="M250" s="9">
        <f t="shared" si="2"/>
        <v>0.07772265533</v>
      </c>
      <c r="N250" s="8">
        <v>0.0</v>
      </c>
      <c r="O250" s="9">
        <f t="shared" si="3"/>
        <v>0</v>
      </c>
      <c r="P250" s="10">
        <v>0.0</v>
      </c>
      <c r="Q250" s="11">
        <f t="shared" si="4"/>
        <v>0</v>
      </c>
      <c r="R250" s="8">
        <v>1.0</v>
      </c>
      <c r="S250" s="9">
        <f t="shared" si="5"/>
        <v>0.0002362390739</v>
      </c>
    </row>
    <row r="251" ht="15.75" customHeight="1">
      <c r="A251" s="4" t="s">
        <v>814</v>
      </c>
      <c r="B251" s="4" t="s">
        <v>815</v>
      </c>
      <c r="C251" s="4" t="s">
        <v>772</v>
      </c>
      <c r="D251" s="4">
        <v>1.0</v>
      </c>
      <c r="E251" s="4" t="s">
        <v>66</v>
      </c>
      <c r="F251" s="4" t="s">
        <v>773</v>
      </c>
      <c r="G251" s="12">
        <v>46054.0</v>
      </c>
      <c r="H251" s="8">
        <v>4972.0</v>
      </c>
      <c r="I251" s="8">
        <v>4902.0</v>
      </c>
      <c r="J251" s="8">
        <v>3029.0</v>
      </c>
      <c r="K251" s="9">
        <f t="shared" si="1"/>
        <v>0.6179110567</v>
      </c>
      <c r="L251" s="8">
        <v>433.0</v>
      </c>
      <c r="M251" s="9">
        <f t="shared" si="2"/>
        <v>0.08833129335</v>
      </c>
      <c r="N251" s="8">
        <v>0.0</v>
      </c>
      <c r="O251" s="9">
        <f t="shared" si="3"/>
        <v>0</v>
      </c>
      <c r="P251" s="10">
        <v>0.0</v>
      </c>
      <c r="Q251" s="11">
        <f t="shared" si="4"/>
        <v>0</v>
      </c>
      <c r="R251" s="8">
        <v>7.0</v>
      </c>
      <c r="S251" s="9">
        <f t="shared" si="5"/>
        <v>0.001427988576</v>
      </c>
    </row>
    <row r="252" ht="15.75" customHeight="1">
      <c r="A252" s="4" t="s">
        <v>814</v>
      </c>
      <c r="B252" s="4" t="s">
        <v>815</v>
      </c>
      <c r="C252" s="4" t="s">
        <v>772</v>
      </c>
      <c r="D252" s="4">
        <v>1.0</v>
      </c>
      <c r="E252" s="4" t="s">
        <v>66</v>
      </c>
      <c r="F252" s="4" t="s">
        <v>773</v>
      </c>
      <c r="G252" s="12">
        <v>46082.0</v>
      </c>
      <c r="H252" s="8">
        <v>5289.0</v>
      </c>
      <c r="I252" s="8">
        <v>5225.0</v>
      </c>
      <c r="J252" s="8">
        <v>3125.0</v>
      </c>
      <c r="K252" s="9">
        <f t="shared" si="1"/>
        <v>0.5980861244</v>
      </c>
      <c r="L252" s="8">
        <v>431.0</v>
      </c>
      <c r="M252" s="9">
        <f t="shared" si="2"/>
        <v>0.08248803828</v>
      </c>
      <c r="N252" s="8">
        <v>0.0</v>
      </c>
      <c r="O252" s="9">
        <f t="shared" si="3"/>
        <v>0</v>
      </c>
      <c r="P252" s="10">
        <v>0.0</v>
      </c>
      <c r="Q252" s="11">
        <f t="shared" si="4"/>
        <v>0</v>
      </c>
      <c r="R252" s="8">
        <v>3.0</v>
      </c>
      <c r="S252" s="9">
        <f t="shared" si="5"/>
        <v>0.0005741626794</v>
      </c>
    </row>
    <row r="253" ht="15.75" customHeight="1">
      <c r="A253" s="4" t="s">
        <v>814</v>
      </c>
      <c r="B253" s="4" t="s">
        <v>815</v>
      </c>
      <c r="C253" s="4" t="s">
        <v>772</v>
      </c>
      <c r="D253" s="4">
        <v>1.0</v>
      </c>
      <c r="E253" s="4" t="s">
        <v>66</v>
      </c>
      <c r="F253" s="4" t="s">
        <v>773</v>
      </c>
      <c r="G253" s="12">
        <v>46113.0</v>
      </c>
      <c r="H253" s="8">
        <v>5028.0</v>
      </c>
      <c r="I253" s="8">
        <v>4957.0</v>
      </c>
      <c r="J253" s="8">
        <v>3338.0</v>
      </c>
      <c r="K253" s="9">
        <f t="shared" si="1"/>
        <v>0.673391164</v>
      </c>
      <c r="L253" s="8">
        <v>386.0</v>
      </c>
      <c r="M253" s="9">
        <f t="shared" si="2"/>
        <v>0.07786967924</v>
      </c>
      <c r="N253" s="8">
        <v>0.0</v>
      </c>
      <c r="O253" s="9">
        <f t="shared" si="3"/>
        <v>0</v>
      </c>
      <c r="P253" s="10">
        <v>0.0</v>
      </c>
      <c r="Q253" s="11">
        <f t="shared" si="4"/>
        <v>0</v>
      </c>
      <c r="R253" s="8">
        <v>6.0</v>
      </c>
      <c r="S253" s="9">
        <f t="shared" si="5"/>
        <v>0.001210409522</v>
      </c>
    </row>
    <row r="254" ht="15.75" customHeight="1">
      <c r="A254" s="4" t="s">
        <v>816</v>
      </c>
      <c r="B254" s="4" t="s">
        <v>817</v>
      </c>
      <c r="C254" s="4" t="s">
        <v>772</v>
      </c>
      <c r="D254" s="4">
        <v>1.0</v>
      </c>
      <c r="E254" s="4" t="s">
        <v>66</v>
      </c>
      <c r="F254" s="4" t="s">
        <v>773</v>
      </c>
      <c r="G254" s="12">
        <v>45778.0</v>
      </c>
      <c r="H254" s="8">
        <v>4675.0</v>
      </c>
      <c r="I254" s="8">
        <v>4627.0</v>
      </c>
      <c r="J254" s="8">
        <v>3022.0</v>
      </c>
      <c r="K254" s="9">
        <f t="shared" si="1"/>
        <v>0.6531229738</v>
      </c>
      <c r="L254" s="8">
        <v>378.0</v>
      </c>
      <c r="M254" s="9">
        <f t="shared" si="2"/>
        <v>0.08169440242</v>
      </c>
      <c r="N254" s="8">
        <v>0.0</v>
      </c>
      <c r="O254" s="9">
        <f t="shared" si="3"/>
        <v>0</v>
      </c>
      <c r="P254" s="10">
        <v>0.0</v>
      </c>
      <c r="Q254" s="11">
        <f t="shared" si="4"/>
        <v>0</v>
      </c>
      <c r="R254" s="8">
        <v>4.0</v>
      </c>
      <c r="S254" s="9">
        <f t="shared" si="5"/>
        <v>0.0008644910309</v>
      </c>
    </row>
    <row r="255" ht="15.75" customHeight="1">
      <c r="A255" s="4" t="s">
        <v>816</v>
      </c>
      <c r="B255" s="4" t="s">
        <v>817</v>
      </c>
      <c r="C255" s="4" t="s">
        <v>772</v>
      </c>
      <c r="D255" s="4">
        <v>1.0</v>
      </c>
      <c r="E255" s="4" t="s">
        <v>66</v>
      </c>
      <c r="F255" s="4" t="s">
        <v>773</v>
      </c>
      <c r="G255" s="12">
        <v>45809.0</v>
      </c>
      <c r="H255" s="8">
        <v>3674.0</v>
      </c>
      <c r="I255" s="8">
        <v>3646.0</v>
      </c>
      <c r="J255" s="8">
        <v>2279.0</v>
      </c>
      <c r="K255" s="9">
        <f t="shared" si="1"/>
        <v>0.6250685683</v>
      </c>
      <c r="L255" s="8">
        <v>289.0</v>
      </c>
      <c r="M255" s="9">
        <f t="shared" si="2"/>
        <v>0.07926494789</v>
      </c>
      <c r="N255" s="8">
        <v>0.0</v>
      </c>
      <c r="O255" s="9">
        <f t="shared" si="3"/>
        <v>0</v>
      </c>
      <c r="P255" s="10">
        <v>0.0</v>
      </c>
      <c r="Q255" s="11">
        <f t="shared" si="4"/>
        <v>0</v>
      </c>
      <c r="R255" s="8">
        <v>5.0</v>
      </c>
      <c r="S255" s="9">
        <f t="shared" si="5"/>
        <v>0.00137136588</v>
      </c>
    </row>
    <row r="256" ht="15.75" customHeight="1">
      <c r="A256" s="4" t="s">
        <v>816</v>
      </c>
      <c r="B256" s="4" t="s">
        <v>817</v>
      </c>
      <c r="C256" s="4" t="s">
        <v>772</v>
      </c>
      <c r="D256" s="4">
        <v>1.0</v>
      </c>
      <c r="E256" s="4" t="s">
        <v>66</v>
      </c>
      <c r="F256" s="4" t="s">
        <v>773</v>
      </c>
      <c r="G256" s="12">
        <v>45839.0</v>
      </c>
      <c r="H256" s="8">
        <v>3709.0</v>
      </c>
      <c r="I256" s="8">
        <v>3667.0</v>
      </c>
      <c r="J256" s="8">
        <v>2220.0</v>
      </c>
      <c r="K256" s="9">
        <f t="shared" si="1"/>
        <v>0.6053995091</v>
      </c>
      <c r="L256" s="8">
        <v>359.0</v>
      </c>
      <c r="M256" s="9">
        <f t="shared" si="2"/>
        <v>0.09790019089</v>
      </c>
      <c r="N256" s="8">
        <v>0.0</v>
      </c>
      <c r="O256" s="9">
        <f t="shared" si="3"/>
        <v>0</v>
      </c>
      <c r="P256" s="10">
        <v>0.0</v>
      </c>
      <c r="Q256" s="11">
        <f t="shared" si="4"/>
        <v>0</v>
      </c>
      <c r="R256" s="8">
        <v>4.0</v>
      </c>
      <c r="S256" s="9">
        <f t="shared" si="5"/>
        <v>0.001090809926</v>
      </c>
    </row>
    <row r="257" ht="15.75" customHeight="1">
      <c r="A257" s="4" t="s">
        <v>816</v>
      </c>
      <c r="B257" s="4" t="s">
        <v>817</v>
      </c>
      <c r="C257" s="4" t="s">
        <v>772</v>
      </c>
      <c r="D257" s="4">
        <v>1.0</v>
      </c>
      <c r="E257" s="4" t="s">
        <v>66</v>
      </c>
      <c r="F257" s="4" t="s">
        <v>773</v>
      </c>
      <c r="G257" s="12">
        <v>45870.0</v>
      </c>
      <c r="H257" s="8">
        <v>4342.0</v>
      </c>
      <c r="I257" s="8">
        <v>4289.0</v>
      </c>
      <c r="J257" s="8">
        <v>2770.0</v>
      </c>
      <c r="K257" s="9">
        <f t="shared" si="1"/>
        <v>0.6458381907</v>
      </c>
      <c r="L257" s="8">
        <v>388.0</v>
      </c>
      <c r="M257" s="9">
        <f t="shared" si="2"/>
        <v>0.09046397762</v>
      </c>
      <c r="N257" s="8">
        <v>0.0</v>
      </c>
      <c r="O257" s="9">
        <f t="shared" si="3"/>
        <v>0</v>
      </c>
      <c r="P257" s="10">
        <v>0.0</v>
      </c>
      <c r="Q257" s="11">
        <f t="shared" si="4"/>
        <v>0</v>
      </c>
      <c r="R257" s="8">
        <v>4.0</v>
      </c>
      <c r="S257" s="9">
        <f t="shared" si="5"/>
        <v>0.000932618326</v>
      </c>
    </row>
    <row r="258" ht="15.75" customHeight="1">
      <c r="A258" s="4" t="s">
        <v>816</v>
      </c>
      <c r="B258" s="4" t="s">
        <v>817</v>
      </c>
      <c r="C258" s="4" t="s">
        <v>772</v>
      </c>
      <c r="D258" s="4">
        <v>1.0</v>
      </c>
      <c r="E258" s="4" t="s">
        <v>66</v>
      </c>
      <c r="F258" s="4" t="s">
        <v>773</v>
      </c>
      <c r="G258" s="12">
        <v>45901.0</v>
      </c>
      <c r="H258" s="8">
        <v>4449.0</v>
      </c>
      <c r="I258" s="8">
        <v>4383.0</v>
      </c>
      <c r="J258" s="8">
        <v>2842.0</v>
      </c>
      <c r="K258" s="9">
        <f t="shared" si="1"/>
        <v>0.6484143281</v>
      </c>
      <c r="L258" s="8">
        <v>438.0</v>
      </c>
      <c r="M258" s="9">
        <f t="shared" si="2"/>
        <v>0.09993155373</v>
      </c>
      <c r="N258" s="8">
        <v>0.0</v>
      </c>
      <c r="O258" s="9">
        <f t="shared" si="3"/>
        <v>0</v>
      </c>
      <c r="P258" s="10">
        <v>0.0</v>
      </c>
      <c r="Q258" s="11">
        <f t="shared" si="4"/>
        <v>0</v>
      </c>
      <c r="R258" s="8">
        <v>2.0</v>
      </c>
      <c r="S258" s="9">
        <f t="shared" si="5"/>
        <v>0.0004563084645</v>
      </c>
    </row>
    <row r="259" ht="15.75" customHeight="1">
      <c r="A259" s="4" t="s">
        <v>816</v>
      </c>
      <c r="B259" s="4" t="s">
        <v>817</v>
      </c>
      <c r="C259" s="4" t="s">
        <v>772</v>
      </c>
      <c r="D259" s="4">
        <v>1.0</v>
      </c>
      <c r="E259" s="4" t="s">
        <v>66</v>
      </c>
      <c r="F259" s="4" t="s">
        <v>773</v>
      </c>
      <c r="G259" s="12">
        <v>45931.0</v>
      </c>
      <c r="H259" s="8">
        <v>5584.0</v>
      </c>
      <c r="I259" s="8">
        <v>5568.0</v>
      </c>
      <c r="J259" s="8">
        <v>4039.0</v>
      </c>
      <c r="K259" s="9">
        <f t="shared" si="1"/>
        <v>0.7253951149</v>
      </c>
      <c r="L259" s="8">
        <v>560.0</v>
      </c>
      <c r="M259" s="9">
        <f t="shared" si="2"/>
        <v>0.1005747126</v>
      </c>
      <c r="N259" s="8">
        <v>0.0</v>
      </c>
      <c r="O259" s="9">
        <f t="shared" si="3"/>
        <v>0</v>
      </c>
      <c r="P259" s="10">
        <v>0.0</v>
      </c>
      <c r="Q259" s="11">
        <f t="shared" si="4"/>
        <v>0</v>
      </c>
      <c r="R259" s="8">
        <v>11.0</v>
      </c>
      <c r="S259" s="9">
        <f t="shared" si="5"/>
        <v>0.001975574713</v>
      </c>
    </row>
    <row r="260" ht="15.75" customHeight="1">
      <c r="A260" s="4" t="s">
        <v>816</v>
      </c>
      <c r="B260" s="4" t="s">
        <v>817</v>
      </c>
      <c r="C260" s="4" t="s">
        <v>772</v>
      </c>
      <c r="D260" s="4">
        <v>1.0</v>
      </c>
      <c r="E260" s="4" t="s">
        <v>66</v>
      </c>
      <c r="F260" s="4" t="s">
        <v>773</v>
      </c>
      <c r="G260" s="12">
        <v>45962.0</v>
      </c>
      <c r="H260" s="8">
        <v>6741.0</v>
      </c>
      <c r="I260" s="8">
        <v>6684.0</v>
      </c>
      <c r="J260" s="8">
        <v>4332.0</v>
      </c>
      <c r="K260" s="9">
        <f t="shared" si="1"/>
        <v>0.6481149013</v>
      </c>
      <c r="L260" s="8">
        <v>582.0</v>
      </c>
      <c r="M260" s="9">
        <f t="shared" si="2"/>
        <v>0.08707360862</v>
      </c>
      <c r="N260" s="8">
        <v>0.0</v>
      </c>
      <c r="O260" s="9">
        <f t="shared" si="3"/>
        <v>0</v>
      </c>
      <c r="P260" s="10">
        <v>0.0</v>
      </c>
      <c r="Q260" s="11">
        <f t="shared" si="4"/>
        <v>0</v>
      </c>
      <c r="R260" s="8">
        <v>3.0</v>
      </c>
      <c r="S260" s="9">
        <f t="shared" si="5"/>
        <v>0.0004488330341</v>
      </c>
    </row>
    <row r="261" ht="15.75" customHeight="1">
      <c r="A261" s="4" t="s">
        <v>816</v>
      </c>
      <c r="B261" s="4" t="s">
        <v>817</v>
      </c>
      <c r="C261" s="4" t="s">
        <v>772</v>
      </c>
      <c r="D261" s="4">
        <v>1.0</v>
      </c>
      <c r="E261" s="4" t="s">
        <v>66</v>
      </c>
      <c r="F261" s="4" t="s">
        <v>773</v>
      </c>
      <c r="G261" s="12">
        <v>45992.0</v>
      </c>
      <c r="H261" s="8">
        <v>5617.0</v>
      </c>
      <c r="I261" s="8">
        <v>5538.0</v>
      </c>
      <c r="J261" s="8">
        <v>3877.0</v>
      </c>
      <c r="K261" s="9">
        <f t="shared" si="1"/>
        <v>0.7000722282</v>
      </c>
      <c r="L261" s="8">
        <v>527.0</v>
      </c>
      <c r="M261" s="9">
        <f t="shared" si="2"/>
        <v>0.09516070784</v>
      </c>
      <c r="N261" s="8">
        <v>0.0</v>
      </c>
      <c r="O261" s="9">
        <f t="shared" si="3"/>
        <v>0</v>
      </c>
      <c r="P261" s="10">
        <v>0.0</v>
      </c>
      <c r="Q261" s="11">
        <f t="shared" si="4"/>
        <v>0</v>
      </c>
      <c r="R261" s="8">
        <v>5.0</v>
      </c>
      <c r="S261" s="9">
        <f t="shared" si="5"/>
        <v>0.0009028530155</v>
      </c>
    </row>
    <row r="262" ht="15.75" customHeight="1">
      <c r="A262" s="4" t="s">
        <v>816</v>
      </c>
      <c r="B262" s="4" t="s">
        <v>817</v>
      </c>
      <c r="C262" s="4" t="s">
        <v>772</v>
      </c>
      <c r="D262" s="4">
        <v>1.0</v>
      </c>
      <c r="E262" s="4" t="s">
        <v>66</v>
      </c>
      <c r="F262" s="4" t="s">
        <v>773</v>
      </c>
      <c r="G262" s="12">
        <v>46023.0</v>
      </c>
      <c r="H262" s="8">
        <v>3525.0</v>
      </c>
      <c r="I262" s="8">
        <v>3517.0</v>
      </c>
      <c r="J262" s="8">
        <v>2051.0</v>
      </c>
      <c r="K262" s="9">
        <f t="shared" si="1"/>
        <v>0.5831674723</v>
      </c>
      <c r="L262" s="8">
        <v>332.0</v>
      </c>
      <c r="M262" s="9">
        <f t="shared" si="2"/>
        <v>0.0943986352</v>
      </c>
      <c r="N262" s="8">
        <v>0.0</v>
      </c>
      <c r="O262" s="9">
        <f t="shared" si="3"/>
        <v>0</v>
      </c>
      <c r="P262" s="10">
        <v>0.0</v>
      </c>
      <c r="Q262" s="11">
        <f t="shared" si="4"/>
        <v>0</v>
      </c>
      <c r="R262" s="8">
        <v>4.0</v>
      </c>
      <c r="S262" s="9">
        <f t="shared" si="5"/>
        <v>0.001137332954</v>
      </c>
    </row>
    <row r="263" ht="15.75" customHeight="1">
      <c r="A263" s="4" t="s">
        <v>816</v>
      </c>
      <c r="B263" s="4" t="s">
        <v>817</v>
      </c>
      <c r="C263" s="4" t="s">
        <v>772</v>
      </c>
      <c r="D263" s="4">
        <v>1.0</v>
      </c>
      <c r="E263" s="4" t="s">
        <v>66</v>
      </c>
      <c r="F263" s="4" t="s">
        <v>773</v>
      </c>
      <c r="G263" s="12">
        <v>46054.0</v>
      </c>
      <c r="H263" s="8">
        <v>5074.0</v>
      </c>
      <c r="I263" s="8">
        <v>5062.0</v>
      </c>
      <c r="J263" s="8">
        <v>3311.0</v>
      </c>
      <c r="K263" s="9">
        <f t="shared" si="1"/>
        <v>0.6540892928</v>
      </c>
      <c r="L263" s="8">
        <v>406.0</v>
      </c>
      <c r="M263" s="9">
        <f t="shared" si="2"/>
        <v>0.08020545239</v>
      </c>
      <c r="N263" s="8">
        <v>0.0</v>
      </c>
      <c r="O263" s="9">
        <f t="shared" si="3"/>
        <v>0</v>
      </c>
      <c r="P263" s="10">
        <v>0.0</v>
      </c>
      <c r="Q263" s="11">
        <f t="shared" si="4"/>
        <v>0</v>
      </c>
      <c r="R263" s="8">
        <v>9.0</v>
      </c>
      <c r="S263" s="9">
        <f t="shared" si="5"/>
        <v>0.001777953378</v>
      </c>
    </row>
    <row r="264" ht="15.75" customHeight="1">
      <c r="A264" s="4" t="s">
        <v>816</v>
      </c>
      <c r="B264" s="4" t="s">
        <v>817</v>
      </c>
      <c r="C264" s="4" t="s">
        <v>772</v>
      </c>
      <c r="D264" s="4">
        <v>1.0</v>
      </c>
      <c r="E264" s="4" t="s">
        <v>66</v>
      </c>
      <c r="F264" s="4" t="s">
        <v>773</v>
      </c>
      <c r="G264" s="12">
        <v>46082.0</v>
      </c>
      <c r="H264" s="8">
        <v>4904.0</v>
      </c>
      <c r="I264" s="8">
        <v>4875.0</v>
      </c>
      <c r="J264" s="8">
        <v>2832.0</v>
      </c>
      <c r="K264" s="9">
        <f t="shared" si="1"/>
        <v>0.5809230769</v>
      </c>
      <c r="L264" s="8">
        <v>455.0</v>
      </c>
      <c r="M264" s="9">
        <f t="shared" si="2"/>
        <v>0.09333333333</v>
      </c>
      <c r="N264" s="8">
        <v>0.0</v>
      </c>
      <c r="O264" s="9">
        <f t="shared" si="3"/>
        <v>0</v>
      </c>
      <c r="P264" s="10">
        <v>0.0</v>
      </c>
      <c r="Q264" s="11">
        <f t="shared" si="4"/>
        <v>0</v>
      </c>
      <c r="R264" s="8">
        <v>5.0</v>
      </c>
      <c r="S264" s="9">
        <f t="shared" si="5"/>
        <v>0.001025641026</v>
      </c>
    </row>
    <row r="265" ht="15.75" customHeight="1">
      <c r="A265" s="4" t="s">
        <v>816</v>
      </c>
      <c r="B265" s="4" t="s">
        <v>817</v>
      </c>
      <c r="C265" s="4" t="s">
        <v>772</v>
      </c>
      <c r="D265" s="4">
        <v>1.0</v>
      </c>
      <c r="E265" s="4" t="s">
        <v>66</v>
      </c>
      <c r="F265" s="4" t="s">
        <v>773</v>
      </c>
      <c r="G265" s="12">
        <v>46113.0</v>
      </c>
      <c r="H265" s="8">
        <v>4225.0</v>
      </c>
      <c r="I265" s="8">
        <v>4202.0</v>
      </c>
      <c r="J265" s="8">
        <v>2905.0</v>
      </c>
      <c r="K265" s="9">
        <f t="shared" si="1"/>
        <v>0.6913374584</v>
      </c>
      <c r="L265" s="8">
        <v>390.0</v>
      </c>
      <c r="M265" s="9">
        <f t="shared" si="2"/>
        <v>0.09281294622</v>
      </c>
      <c r="N265" s="8">
        <v>0.0</v>
      </c>
      <c r="O265" s="9">
        <f t="shared" si="3"/>
        <v>0</v>
      </c>
      <c r="P265" s="10">
        <v>0.0</v>
      </c>
      <c r="Q265" s="11">
        <f t="shared" si="4"/>
        <v>0</v>
      </c>
      <c r="R265" s="8">
        <v>6.0</v>
      </c>
      <c r="S265" s="9">
        <f t="shared" si="5"/>
        <v>0.00142789148</v>
      </c>
    </row>
    <row r="266" ht="15.75" customHeight="1">
      <c r="A266" s="4" t="s">
        <v>818</v>
      </c>
      <c r="B266" s="4" t="s">
        <v>819</v>
      </c>
      <c r="C266" s="4" t="s">
        <v>772</v>
      </c>
      <c r="D266" s="4">
        <v>1.0</v>
      </c>
      <c r="E266" s="4" t="s">
        <v>66</v>
      </c>
      <c r="F266" s="4" t="s">
        <v>773</v>
      </c>
      <c r="G266" s="12">
        <v>45778.0</v>
      </c>
      <c r="H266" s="8">
        <v>5362.0</v>
      </c>
      <c r="I266" s="8">
        <v>5304.0</v>
      </c>
      <c r="J266" s="8">
        <v>3863.0</v>
      </c>
      <c r="K266" s="9">
        <f t="shared" si="1"/>
        <v>0.7283182504</v>
      </c>
      <c r="L266" s="8">
        <v>479.0</v>
      </c>
      <c r="M266" s="9">
        <f t="shared" si="2"/>
        <v>0.0903092006</v>
      </c>
      <c r="N266" s="8">
        <v>0.0</v>
      </c>
      <c r="O266" s="9">
        <f t="shared" si="3"/>
        <v>0</v>
      </c>
      <c r="P266" s="10">
        <v>0.0</v>
      </c>
      <c r="Q266" s="11">
        <f t="shared" si="4"/>
        <v>0</v>
      </c>
      <c r="R266" s="8">
        <v>2.0</v>
      </c>
      <c r="S266" s="9">
        <f t="shared" si="5"/>
        <v>0.0003770739065</v>
      </c>
    </row>
    <row r="267" ht="15.75" customHeight="1">
      <c r="A267" s="4" t="s">
        <v>818</v>
      </c>
      <c r="B267" s="4" t="s">
        <v>819</v>
      </c>
      <c r="C267" s="4" t="s">
        <v>772</v>
      </c>
      <c r="D267" s="4">
        <v>1.0</v>
      </c>
      <c r="E267" s="4" t="s">
        <v>66</v>
      </c>
      <c r="F267" s="4" t="s">
        <v>773</v>
      </c>
      <c r="G267" s="12">
        <v>45809.0</v>
      </c>
      <c r="H267" s="8">
        <v>4124.0</v>
      </c>
      <c r="I267" s="8">
        <v>4087.0</v>
      </c>
      <c r="J267" s="8">
        <v>2400.0</v>
      </c>
      <c r="K267" s="9">
        <f t="shared" si="1"/>
        <v>0.5872277954</v>
      </c>
      <c r="L267" s="8">
        <v>353.0</v>
      </c>
      <c r="M267" s="9">
        <f t="shared" si="2"/>
        <v>0.08637142158</v>
      </c>
      <c r="N267" s="8">
        <v>0.0</v>
      </c>
      <c r="O267" s="9">
        <f t="shared" si="3"/>
        <v>0</v>
      </c>
      <c r="P267" s="10">
        <v>0.0</v>
      </c>
      <c r="Q267" s="11">
        <f t="shared" si="4"/>
        <v>0</v>
      </c>
      <c r="R267" s="8">
        <v>5.0</v>
      </c>
      <c r="S267" s="9">
        <f t="shared" si="5"/>
        <v>0.001223391241</v>
      </c>
    </row>
    <row r="268" ht="15.75" customHeight="1">
      <c r="A268" s="4" t="s">
        <v>818</v>
      </c>
      <c r="B268" s="4" t="s">
        <v>819</v>
      </c>
      <c r="C268" s="4" t="s">
        <v>772</v>
      </c>
      <c r="D268" s="4">
        <v>1.0</v>
      </c>
      <c r="E268" s="4" t="s">
        <v>66</v>
      </c>
      <c r="F268" s="4" t="s">
        <v>773</v>
      </c>
      <c r="G268" s="12">
        <v>45839.0</v>
      </c>
      <c r="H268" s="8">
        <v>4382.0</v>
      </c>
      <c r="I268" s="8">
        <v>4324.0</v>
      </c>
      <c r="J268" s="8">
        <v>2740.0</v>
      </c>
      <c r="K268" s="9">
        <f t="shared" si="1"/>
        <v>0.6336725254</v>
      </c>
      <c r="L268" s="8">
        <v>393.0</v>
      </c>
      <c r="M268" s="9">
        <f t="shared" si="2"/>
        <v>0.0908880666</v>
      </c>
      <c r="N268" s="8">
        <v>0.0</v>
      </c>
      <c r="O268" s="9">
        <f t="shared" si="3"/>
        <v>0</v>
      </c>
      <c r="P268" s="10">
        <v>0.0</v>
      </c>
      <c r="Q268" s="11">
        <f t="shared" si="4"/>
        <v>0</v>
      </c>
      <c r="R268" s="8">
        <v>6.0</v>
      </c>
      <c r="S268" s="9">
        <f t="shared" si="5"/>
        <v>0.00138760407</v>
      </c>
    </row>
    <row r="269" ht="15.75" customHeight="1">
      <c r="A269" s="4" t="s">
        <v>818</v>
      </c>
      <c r="B269" s="4" t="s">
        <v>819</v>
      </c>
      <c r="C269" s="4" t="s">
        <v>772</v>
      </c>
      <c r="D269" s="4">
        <v>1.0</v>
      </c>
      <c r="E269" s="4" t="s">
        <v>66</v>
      </c>
      <c r="F269" s="4" t="s">
        <v>773</v>
      </c>
      <c r="G269" s="12">
        <v>45870.0</v>
      </c>
      <c r="H269" s="8">
        <v>4750.0</v>
      </c>
      <c r="I269" s="8">
        <v>4722.0</v>
      </c>
      <c r="J269" s="8">
        <v>3305.0</v>
      </c>
      <c r="K269" s="9">
        <f t="shared" si="1"/>
        <v>0.6999152901</v>
      </c>
      <c r="L269" s="8">
        <v>458.0</v>
      </c>
      <c r="M269" s="9">
        <f t="shared" si="2"/>
        <v>0.09699279966</v>
      </c>
      <c r="N269" s="8">
        <v>0.0</v>
      </c>
      <c r="O269" s="9">
        <f t="shared" si="3"/>
        <v>0</v>
      </c>
      <c r="P269" s="10">
        <v>0.0</v>
      </c>
      <c r="Q269" s="11">
        <f t="shared" si="4"/>
        <v>0</v>
      </c>
      <c r="R269" s="8">
        <v>5.0</v>
      </c>
      <c r="S269" s="9">
        <f t="shared" si="5"/>
        <v>0.001058873359</v>
      </c>
    </row>
    <row r="270" ht="15.75" customHeight="1">
      <c r="A270" s="4" t="s">
        <v>818</v>
      </c>
      <c r="B270" s="4" t="s">
        <v>819</v>
      </c>
      <c r="C270" s="4" t="s">
        <v>772</v>
      </c>
      <c r="D270" s="4">
        <v>1.0</v>
      </c>
      <c r="E270" s="4" t="s">
        <v>66</v>
      </c>
      <c r="F270" s="4" t="s">
        <v>773</v>
      </c>
      <c r="G270" s="12">
        <v>45901.0</v>
      </c>
      <c r="H270" s="8">
        <v>4395.0</v>
      </c>
      <c r="I270" s="8">
        <v>4332.0</v>
      </c>
      <c r="J270" s="8">
        <v>2771.0</v>
      </c>
      <c r="K270" s="9">
        <f t="shared" si="1"/>
        <v>0.6396583564</v>
      </c>
      <c r="L270" s="8">
        <v>384.0</v>
      </c>
      <c r="M270" s="9">
        <f t="shared" si="2"/>
        <v>0.08864265928</v>
      </c>
      <c r="N270" s="8">
        <v>0.0</v>
      </c>
      <c r="O270" s="9">
        <f t="shared" si="3"/>
        <v>0</v>
      </c>
      <c r="P270" s="10">
        <v>0.0</v>
      </c>
      <c r="Q270" s="11">
        <f t="shared" si="4"/>
        <v>0</v>
      </c>
      <c r="R270" s="8">
        <v>4.0</v>
      </c>
      <c r="S270" s="9">
        <f t="shared" si="5"/>
        <v>0.0009233610342</v>
      </c>
    </row>
    <row r="271" ht="15.75" customHeight="1">
      <c r="A271" s="4" t="s">
        <v>818</v>
      </c>
      <c r="B271" s="4" t="s">
        <v>819</v>
      </c>
      <c r="C271" s="4" t="s">
        <v>772</v>
      </c>
      <c r="D271" s="4">
        <v>1.0</v>
      </c>
      <c r="E271" s="4" t="s">
        <v>66</v>
      </c>
      <c r="F271" s="4" t="s">
        <v>773</v>
      </c>
      <c r="G271" s="12">
        <v>45931.0</v>
      </c>
      <c r="H271" s="8">
        <v>4997.0</v>
      </c>
      <c r="I271" s="8">
        <v>4975.0</v>
      </c>
      <c r="J271" s="8">
        <v>3598.0</v>
      </c>
      <c r="K271" s="9">
        <f t="shared" si="1"/>
        <v>0.7232160804</v>
      </c>
      <c r="L271" s="8">
        <v>441.0</v>
      </c>
      <c r="M271" s="9">
        <f t="shared" si="2"/>
        <v>0.08864321608</v>
      </c>
      <c r="N271" s="8">
        <v>0.0</v>
      </c>
      <c r="O271" s="9">
        <f t="shared" si="3"/>
        <v>0</v>
      </c>
      <c r="P271" s="10">
        <v>0.0</v>
      </c>
      <c r="Q271" s="11">
        <f t="shared" si="4"/>
        <v>0</v>
      </c>
      <c r="R271" s="8">
        <v>7.0</v>
      </c>
      <c r="S271" s="9">
        <f t="shared" si="5"/>
        <v>0.001407035176</v>
      </c>
    </row>
    <row r="272" ht="15.75" customHeight="1">
      <c r="A272" s="4" t="s">
        <v>818</v>
      </c>
      <c r="B272" s="4" t="s">
        <v>819</v>
      </c>
      <c r="C272" s="4" t="s">
        <v>772</v>
      </c>
      <c r="D272" s="4">
        <v>1.0</v>
      </c>
      <c r="E272" s="4" t="s">
        <v>66</v>
      </c>
      <c r="F272" s="4" t="s">
        <v>773</v>
      </c>
      <c r="G272" s="12">
        <v>45962.0</v>
      </c>
      <c r="H272" s="8">
        <v>7203.0</v>
      </c>
      <c r="I272" s="8">
        <v>7177.0</v>
      </c>
      <c r="J272" s="8">
        <v>4382.0</v>
      </c>
      <c r="K272" s="9">
        <f t="shared" si="1"/>
        <v>0.610561516</v>
      </c>
      <c r="L272" s="8">
        <v>720.0</v>
      </c>
      <c r="M272" s="9">
        <f t="shared" si="2"/>
        <v>0.1003204682</v>
      </c>
      <c r="N272" s="8">
        <v>0.0</v>
      </c>
      <c r="O272" s="9">
        <f t="shared" si="3"/>
        <v>0</v>
      </c>
      <c r="P272" s="10">
        <v>0.0</v>
      </c>
      <c r="Q272" s="11">
        <f t="shared" si="4"/>
        <v>0</v>
      </c>
      <c r="R272" s="8">
        <v>4.0</v>
      </c>
      <c r="S272" s="9">
        <f t="shared" si="5"/>
        <v>0.0005573359342</v>
      </c>
    </row>
    <row r="273" ht="15.75" customHeight="1">
      <c r="A273" s="4" t="s">
        <v>818</v>
      </c>
      <c r="B273" s="4" t="s">
        <v>819</v>
      </c>
      <c r="C273" s="4" t="s">
        <v>772</v>
      </c>
      <c r="D273" s="4">
        <v>1.0</v>
      </c>
      <c r="E273" s="4" t="s">
        <v>66</v>
      </c>
      <c r="F273" s="4" t="s">
        <v>773</v>
      </c>
      <c r="G273" s="12">
        <v>45992.0</v>
      </c>
      <c r="H273" s="8">
        <v>6398.0</v>
      </c>
      <c r="I273" s="8">
        <v>6308.0</v>
      </c>
      <c r="J273" s="8">
        <v>3828.0</v>
      </c>
      <c r="K273" s="9">
        <f t="shared" si="1"/>
        <v>0.6068484464</v>
      </c>
      <c r="L273" s="8">
        <v>501.0</v>
      </c>
      <c r="M273" s="9">
        <f t="shared" si="2"/>
        <v>0.07942295498</v>
      </c>
      <c r="N273" s="8">
        <v>0.0</v>
      </c>
      <c r="O273" s="9">
        <f t="shared" si="3"/>
        <v>0</v>
      </c>
      <c r="P273" s="10">
        <v>0.0</v>
      </c>
      <c r="Q273" s="11">
        <f t="shared" si="4"/>
        <v>0</v>
      </c>
      <c r="R273" s="8">
        <v>4.0</v>
      </c>
      <c r="S273" s="9">
        <f t="shared" si="5"/>
        <v>0.000634115409</v>
      </c>
    </row>
    <row r="274" ht="15.75" customHeight="1">
      <c r="A274" s="4" t="s">
        <v>818</v>
      </c>
      <c r="B274" s="4" t="s">
        <v>819</v>
      </c>
      <c r="C274" s="4" t="s">
        <v>772</v>
      </c>
      <c r="D274" s="4">
        <v>1.0</v>
      </c>
      <c r="E274" s="4" t="s">
        <v>66</v>
      </c>
      <c r="F274" s="4" t="s">
        <v>773</v>
      </c>
      <c r="G274" s="12">
        <v>46023.0</v>
      </c>
      <c r="H274" s="8">
        <v>4343.0</v>
      </c>
      <c r="I274" s="8">
        <v>4279.0</v>
      </c>
      <c r="J274" s="8">
        <v>2767.0</v>
      </c>
      <c r="K274" s="9">
        <f t="shared" si="1"/>
        <v>0.6466464127</v>
      </c>
      <c r="L274" s="8">
        <v>406.0</v>
      </c>
      <c r="M274" s="9">
        <f t="shared" si="2"/>
        <v>0.09488198177</v>
      </c>
      <c r="N274" s="8">
        <v>0.0</v>
      </c>
      <c r="O274" s="9">
        <f t="shared" si="3"/>
        <v>0</v>
      </c>
      <c r="P274" s="10">
        <v>0.0</v>
      </c>
      <c r="Q274" s="11">
        <f t="shared" si="4"/>
        <v>0</v>
      </c>
      <c r="R274" s="8">
        <v>4.0</v>
      </c>
      <c r="S274" s="9">
        <f t="shared" si="5"/>
        <v>0.00093479785</v>
      </c>
    </row>
    <row r="275" ht="15.75" customHeight="1">
      <c r="A275" s="4" t="s">
        <v>818</v>
      </c>
      <c r="B275" s="4" t="s">
        <v>819</v>
      </c>
      <c r="C275" s="4" t="s">
        <v>772</v>
      </c>
      <c r="D275" s="4">
        <v>1.0</v>
      </c>
      <c r="E275" s="4" t="s">
        <v>66</v>
      </c>
      <c r="F275" s="4" t="s">
        <v>773</v>
      </c>
      <c r="G275" s="12">
        <v>46054.0</v>
      </c>
      <c r="H275" s="8">
        <v>5302.0</v>
      </c>
      <c r="I275" s="8">
        <v>5223.0</v>
      </c>
      <c r="J275" s="8">
        <v>3189.0</v>
      </c>
      <c r="K275" s="9">
        <f t="shared" si="1"/>
        <v>0.6105686387</v>
      </c>
      <c r="L275" s="8">
        <v>402.0</v>
      </c>
      <c r="M275" s="9">
        <f t="shared" si="2"/>
        <v>0.0769672602</v>
      </c>
      <c r="N275" s="8">
        <v>0.0</v>
      </c>
      <c r="O275" s="9">
        <f t="shared" si="3"/>
        <v>0</v>
      </c>
      <c r="P275" s="10">
        <v>0.0</v>
      </c>
      <c r="Q275" s="11">
        <f t="shared" si="4"/>
        <v>0</v>
      </c>
      <c r="R275" s="8">
        <v>6.0</v>
      </c>
      <c r="S275" s="9">
        <f t="shared" si="5"/>
        <v>0.001148765078</v>
      </c>
    </row>
    <row r="276" ht="15.75" customHeight="1">
      <c r="A276" s="4" t="s">
        <v>818</v>
      </c>
      <c r="B276" s="4" t="s">
        <v>819</v>
      </c>
      <c r="C276" s="4" t="s">
        <v>772</v>
      </c>
      <c r="D276" s="4">
        <v>1.0</v>
      </c>
      <c r="E276" s="4" t="s">
        <v>66</v>
      </c>
      <c r="F276" s="4" t="s">
        <v>773</v>
      </c>
      <c r="G276" s="12">
        <v>46082.0</v>
      </c>
      <c r="H276" s="8">
        <v>4492.0</v>
      </c>
      <c r="I276" s="8">
        <v>4458.0</v>
      </c>
      <c r="J276" s="8">
        <v>3052.0</v>
      </c>
      <c r="K276" s="9">
        <f t="shared" si="1"/>
        <v>0.6846119336</v>
      </c>
      <c r="L276" s="8">
        <v>435.0</v>
      </c>
      <c r="M276" s="9">
        <f t="shared" si="2"/>
        <v>0.09757738896</v>
      </c>
      <c r="N276" s="8">
        <v>0.0</v>
      </c>
      <c r="O276" s="9">
        <f t="shared" si="3"/>
        <v>0</v>
      </c>
      <c r="P276" s="10">
        <v>0.0</v>
      </c>
      <c r="Q276" s="11">
        <f t="shared" si="4"/>
        <v>0</v>
      </c>
      <c r="R276" s="8">
        <v>5.0</v>
      </c>
      <c r="S276" s="9">
        <f t="shared" si="5"/>
        <v>0.001121579183</v>
      </c>
    </row>
    <row r="277" ht="15.75" customHeight="1">
      <c r="A277" s="4" t="s">
        <v>818</v>
      </c>
      <c r="B277" s="4" t="s">
        <v>819</v>
      </c>
      <c r="C277" s="4" t="s">
        <v>772</v>
      </c>
      <c r="D277" s="4">
        <v>1.0</v>
      </c>
      <c r="E277" s="4" t="s">
        <v>66</v>
      </c>
      <c r="F277" s="4" t="s">
        <v>773</v>
      </c>
      <c r="G277" s="12">
        <v>46113.0</v>
      </c>
      <c r="H277" s="8">
        <v>4565.0</v>
      </c>
      <c r="I277" s="8">
        <v>4523.0</v>
      </c>
      <c r="J277" s="8">
        <v>3033.0</v>
      </c>
      <c r="K277" s="9">
        <f t="shared" si="1"/>
        <v>0.6705726288</v>
      </c>
      <c r="L277" s="8">
        <v>455.0</v>
      </c>
      <c r="M277" s="9">
        <f t="shared" si="2"/>
        <v>0.1005969489</v>
      </c>
      <c r="N277" s="8">
        <v>0.0</v>
      </c>
      <c r="O277" s="9">
        <f t="shared" si="3"/>
        <v>0</v>
      </c>
      <c r="P277" s="10">
        <v>0.0</v>
      </c>
      <c r="Q277" s="11">
        <f t="shared" si="4"/>
        <v>0</v>
      </c>
      <c r="R277" s="8">
        <v>3.0</v>
      </c>
      <c r="S277" s="9">
        <f t="shared" si="5"/>
        <v>0.0006632765863</v>
      </c>
    </row>
    <row r="278" ht="15.75" customHeight="1">
      <c r="A278" s="4" t="s">
        <v>820</v>
      </c>
      <c r="B278" s="4" t="s">
        <v>821</v>
      </c>
      <c r="C278" s="4" t="s">
        <v>776</v>
      </c>
      <c r="D278" s="4">
        <v>3.0</v>
      </c>
      <c r="E278" s="4" t="s">
        <v>66</v>
      </c>
      <c r="F278" s="4" t="s">
        <v>773</v>
      </c>
      <c r="G278" s="12">
        <v>45778.0</v>
      </c>
      <c r="H278" s="8">
        <v>9952.0</v>
      </c>
      <c r="I278" s="8">
        <v>9839.0</v>
      </c>
      <c r="J278" s="8">
        <v>4901.0</v>
      </c>
      <c r="K278" s="9">
        <f t="shared" si="1"/>
        <v>0.4981197276</v>
      </c>
      <c r="L278" s="8">
        <v>880.0</v>
      </c>
      <c r="M278" s="9">
        <f t="shared" si="2"/>
        <v>0.08943998374</v>
      </c>
      <c r="N278" s="8">
        <v>251.0</v>
      </c>
      <c r="O278" s="9">
        <f t="shared" si="3"/>
        <v>0.02551072263</v>
      </c>
      <c r="P278" s="10">
        <v>23489.77</v>
      </c>
      <c r="Q278" s="11">
        <f t="shared" si="4"/>
        <v>2.387414371</v>
      </c>
      <c r="R278" s="8">
        <v>13.0</v>
      </c>
      <c r="S278" s="9">
        <f t="shared" si="5"/>
        <v>0.001321272487</v>
      </c>
    </row>
    <row r="279" ht="15.75" customHeight="1">
      <c r="A279" s="4" t="s">
        <v>820</v>
      </c>
      <c r="B279" s="4" t="s">
        <v>821</v>
      </c>
      <c r="C279" s="4" t="s">
        <v>776</v>
      </c>
      <c r="D279" s="4">
        <v>3.0</v>
      </c>
      <c r="E279" s="4" t="s">
        <v>66</v>
      </c>
      <c r="F279" s="4" t="s">
        <v>773</v>
      </c>
      <c r="G279" s="12">
        <v>45809.0</v>
      </c>
      <c r="H279" s="8">
        <v>7679.0</v>
      </c>
      <c r="I279" s="8">
        <v>7617.0</v>
      </c>
      <c r="J279" s="8">
        <v>3236.0</v>
      </c>
      <c r="K279" s="9">
        <f t="shared" si="1"/>
        <v>0.4248391755</v>
      </c>
      <c r="L279" s="8">
        <v>687.0</v>
      </c>
      <c r="M279" s="9">
        <f t="shared" si="2"/>
        <v>0.09019298937</v>
      </c>
      <c r="N279" s="8">
        <v>231.0</v>
      </c>
      <c r="O279" s="9">
        <f t="shared" si="3"/>
        <v>0.03032690035</v>
      </c>
      <c r="P279" s="10">
        <v>17937.79</v>
      </c>
      <c r="Q279" s="11">
        <f t="shared" si="4"/>
        <v>2.354967835</v>
      </c>
      <c r="R279" s="8">
        <v>12.0</v>
      </c>
      <c r="S279" s="9">
        <f t="shared" si="5"/>
        <v>0.001575423395</v>
      </c>
    </row>
    <row r="280" ht="15.75" customHeight="1">
      <c r="A280" s="4" t="s">
        <v>820</v>
      </c>
      <c r="B280" s="4" t="s">
        <v>821</v>
      </c>
      <c r="C280" s="4" t="s">
        <v>776</v>
      </c>
      <c r="D280" s="4">
        <v>3.0</v>
      </c>
      <c r="E280" s="4" t="s">
        <v>66</v>
      </c>
      <c r="F280" s="4" t="s">
        <v>773</v>
      </c>
      <c r="G280" s="12">
        <v>45839.0</v>
      </c>
      <c r="H280" s="8">
        <v>7276.0</v>
      </c>
      <c r="I280" s="8">
        <v>7177.0</v>
      </c>
      <c r="J280" s="8">
        <v>3692.0</v>
      </c>
      <c r="K280" s="9">
        <f t="shared" si="1"/>
        <v>0.5144210673</v>
      </c>
      <c r="L280" s="8">
        <v>733.0</v>
      </c>
      <c r="M280" s="9">
        <f t="shared" si="2"/>
        <v>0.1021318099</v>
      </c>
      <c r="N280" s="8">
        <v>196.0</v>
      </c>
      <c r="O280" s="9">
        <f t="shared" si="3"/>
        <v>0.02730946078</v>
      </c>
      <c r="P280" s="10">
        <v>14482.42</v>
      </c>
      <c r="Q280" s="11">
        <f t="shared" si="4"/>
        <v>2.01789327</v>
      </c>
      <c r="R280" s="8">
        <v>4.0</v>
      </c>
      <c r="S280" s="9">
        <f t="shared" si="5"/>
        <v>0.0005573359342</v>
      </c>
    </row>
    <row r="281" ht="15.75" customHeight="1">
      <c r="A281" s="4" t="s">
        <v>820</v>
      </c>
      <c r="B281" s="4" t="s">
        <v>821</v>
      </c>
      <c r="C281" s="4" t="s">
        <v>776</v>
      </c>
      <c r="D281" s="4">
        <v>3.0</v>
      </c>
      <c r="E281" s="4" t="s">
        <v>66</v>
      </c>
      <c r="F281" s="4" t="s">
        <v>773</v>
      </c>
      <c r="G281" s="12">
        <v>45870.0</v>
      </c>
      <c r="H281" s="8">
        <v>9081.0</v>
      </c>
      <c r="I281" s="8">
        <v>9023.0</v>
      </c>
      <c r="J281" s="8">
        <v>4626.0</v>
      </c>
      <c r="K281" s="9">
        <f t="shared" si="1"/>
        <v>0.5126897928</v>
      </c>
      <c r="L281" s="8">
        <v>807.0</v>
      </c>
      <c r="M281" s="9">
        <f t="shared" si="2"/>
        <v>0.08943810263</v>
      </c>
      <c r="N281" s="8">
        <v>247.0</v>
      </c>
      <c r="O281" s="9">
        <f t="shared" si="3"/>
        <v>0.02737448742</v>
      </c>
      <c r="P281" s="10">
        <v>21651.08</v>
      </c>
      <c r="Q281" s="11">
        <f t="shared" si="4"/>
        <v>2.399543389</v>
      </c>
      <c r="R281" s="8">
        <v>10.0</v>
      </c>
      <c r="S281" s="9">
        <f t="shared" si="5"/>
        <v>0.001108278843</v>
      </c>
    </row>
    <row r="282" ht="15.75" customHeight="1">
      <c r="A282" s="4" t="s">
        <v>820</v>
      </c>
      <c r="B282" s="4" t="s">
        <v>821</v>
      </c>
      <c r="C282" s="4" t="s">
        <v>776</v>
      </c>
      <c r="D282" s="4">
        <v>3.0</v>
      </c>
      <c r="E282" s="4" t="s">
        <v>66</v>
      </c>
      <c r="F282" s="4" t="s">
        <v>773</v>
      </c>
      <c r="G282" s="12">
        <v>45901.0</v>
      </c>
      <c r="H282" s="8">
        <v>7978.0</v>
      </c>
      <c r="I282" s="8">
        <v>7860.0</v>
      </c>
      <c r="J282" s="8">
        <v>3989.0</v>
      </c>
      <c r="K282" s="9">
        <f t="shared" si="1"/>
        <v>0.5075063613</v>
      </c>
      <c r="L282" s="8">
        <v>849.0</v>
      </c>
      <c r="M282" s="9">
        <f t="shared" si="2"/>
        <v>0.1080152672</v>
      </c>
      <c r="N282" s="8">
        <v>259.0</v>
      </c>
      <c r="O282" s="9">
        <f t="shared" si="3"/>
        <v>0.03295165394</v>
      </c>
      <c r="P282" s="10">
        <v>18624.44</v>
      </c>
      <c r="Q282" s="11">
        <f t="shared" si="4"/>
        <v>2.369521628</v>
      </c>
      <c r="R282" s="8">
        <v>4.0</v>
      </c>
      <c r="S282" s="9">
        <f t="shared" si="5"/>
        <v>0.0005089058524</v>
      </c>
    </row>
    <row r="283" ht="15.75" customHeight="1">
      <c r="A283" s="4" t="s">
        <v>820</v>
      </c>
      <c r="B283" s="4" t="s">
        <v>821</v>
      </c>
      <c r="C283" s="4" t="s">
        <v>776</v>
      </c>
      <c r="D283" s="4">
        <v>3.0</v>
      </c>
      <c r="E283" s="4" t="s">
        <v>66</v>
      </c>
      <c r="F283" s="4" t="s">
        <v>773</v>
      </c>
      <c r="G283" s="12">
        <v>45931.0</v>
      </c>
      <c r="H283" s="8">
        <v>11296.0</v>
      </c>
      <c r="I283" s="8">
        <v>11206.0</v>
      </c>
      <c r="J283" s="8">
        <v>5163.0</v>
      </c>
      <c r="K283" s="9">
        <f t="shared" si="1"/>
        <v>0.4607353204</v>
      </c>
      <c r="L283" s="8">
        <v>1170.0</v>
      </c>
      <c r="M283" s="9">
        <f t="shared" si="2"/>
        <v>0.1044083527</v>
      </c>
      <c r="N283" s="8">
        <v>288.0</v>
      </c>
      <c r="O283" s="9">
        <f t="shared" si="3"/>
        <v>0.02570051758</v>
      </c>
      <c r="P283" s="10">
        <v>26328.11</v>
      </c>
      <c r="Q283" s="11">
        <f t="shared" si="4"/>
        <v>2.349465465</v>
      </c>
      <c r="R283" s="8">
        <v>21.0</v>
      </c>
      <c r="S283" s="9">
        <f t="shared" si="5"/>
        <v>0.001873996074</v>
      </c>
    </row>
    <row r="284" ht="15.75" customHeight="1">
      <c r="A284" s="4" t="s">
        <v>820</v>
      </c>
      <c r="B284" s="4" t="s">
        <v>821</v>
      </c>
      <c r="C284" s="4" t="s">
        <v>776</v>
      </c>
      <c r="D284" s="4">
        <v>3.0</v>
      </c>
      <c r="E284" s="4" t="s">
        <v>66</v>
      </c>
      <c r="F284" s="4" t="s">
        <v>773</v>
      </c>
      <c r="G284" s="12">
        <v>45962.0</v>
      </c>
      <c r="H284" s="8">
        <v>13560.0</v>
      </c>
      <c r="I284" s="8">
        <v>13531.0</v>
      </c>
      <c r="J284" s="8">
        <v>6473.0</v>
      </c>
      <c r="K284" s="9">
        <f t="shared" si="1"/>
        <v>0.4783829724</v>
      </c>
      <c r="L284" s="8">
        <v>1474.0</v>
      </c>
      <c r="M284" s="9">
        <f t="shared" si="2"/>
        <v>0.1089350381</v>
      </c>
      <c r="N284" s="8">
        <v>413.0</v>
      </c>
      <c r="O284" s="9">
        <f t="shared" si="3"/>
        <v>0.03052250388</v>
      </c>
      <c r="P284" s="10">
        <v>32014.94</v>
      </c>
      <c r="Q284" s="11">
        <f t="shared" si="4"/>
        <v>2.366043899</v>
      </c>
      <c r="R284" s="8">
        <v>11.0</v>
      </c>
      <c r="S284" s="9">
        <f t="shared" si="5"/>
        <v>0.0008129480452</v>
      </c>
    </row>
    <row r="285" ht="15.75" customHeight="1">
      <c r="A285" s="4" t="s">
        <v>820</v>
      </c>
      <c r="B285" s="4" t="s">
        <v>821</v>
      </c>
      <c r="C285" s="4" t="s">
        <v>776</v>
      </c>
      <c r="D285" s="4">
        <v>3.0</v>
      </c>
      <c r="E285" s="4" t="s">
        <v>66</v>
      </c>
      <c r="F285" s="4" t="s">
        <v>773</v>
      </c>
      <c r="G285" s="12">
        <v>45992.0</v>
      </c>
      <c r="H285" s="8">
        <v>9941.0</v>
      </c>
      <c r="I285" s="8">
        <v>9853.0</v>
      </c>
      <c r="J285" s="8">
        <v>4032.0</v>
      </c>
      <c r="K285" s="9">
        <f t="shared" si="1"/>
        <v>0.4092154674</v>
      </c>
      <c r="L285" s="8">
        <v>1037.0</v>
      </c>
      <c r="M285" s="9">
        <f t="shared" si="2"/>
        <v>0.1052471329</v>
      </c>
      <c r="N285" s="8">
        <v>233.0</v>
      </c>
      <c r="O285" s="9">
        <f t="shared" si="3"/>
        <v>0.02364762001</v>
      </c>
      <c r="P285" s="10">
        <v>17741.52</v>
      </c>
      <c r="Q285" s="11">
        <f t="shared" si="4"/>
        <v>1.800621131</v>
      </c>
      <c r="R285" s="8">
        <v>13.0</v>
      </c>
      <c r="S285" s="9">
        <f t="shared" si="5"/>
        <v>0.001319395108</v>
      </c>
    </row>
    <row r="286" ht="15.75" customHeight="1">
      <c r="A286" s="4" t="s">
        <v>820</v>
      </c>
      <c r="B286" s="4" t="s">
        <v>821</v>
      </c>
      <c r="C286" s="4" t="s">
        <v>776</v>
      </c>
      <c r="D286" s="4">
        <v>3.0</v>
      </c>
      <c r="E286" s="4" t="s">
        <v>66</v>
      </c>
      <c r="F286" s="4" t="s">
        <v>773</v>
      </c>
      <c r="G286" s="12">
        <v>46023.0</v>
      </c>
      <c r="H286" s="8">
        <v>7008.0</v>
      </c>
      <c r="I286" s="8">
        <v>6935.0</v>
      </c>
      <c r="J286" s="8">
        <v>3057.0</v>
      </c>
      <c r="K286" s="9">
        <f t="shared" si="1"/>
        <v>0.4408074982</v>
      </c>
      <c r="L286" s="8">
        <v>716.0</v>
      </c>
      <c r="M286" s="9">
        <f t="shared" si="2"/>
        <v>0.1032444124</v>
      </c>
      <c r="N286" s="8">
        <v>170.0</v>
      </c>
      <c r="O286" s="9">
        <f t="shared" si="3"/>
        <v>0.02451333814</v>
      </c>
      <c r="P286" s="10">
        <v>14678.99</v>
      </c>
      <c r="Q286" s="11">
        <f t="shared" si="4"/>
        <v>2.116653208</v>
      </c>
      <c r="R286" s="8">
        <v>11.0</v>
      </c>
      <c r="S286" s="9">
        <f t="shared" si="5"/>
        <v>0.001586157174</v>
      </c>
    </row>
    <row r="287" ht="15.75" customHeight="1">
      <c r="A287" s="4" t="s">
        <v>820</v>
      </c>
      <c r="B287" s="4" t="s">
        <v>821</v>
      </c>
      <c r="C287" s="4" t="s">
        <v>776</v>
      </c>
      <c r="D287" s="4">
        <v>3.0</v>
      </c>
      <c r="E287" s="4" t="s">
        <v>66</v>
      </c>
      <c r="F287" s="4" t="s">
        <v>773</v>
      </c>
      <c r="G287" s="12">
        <v>46054.0</v>
      </c>
      <c r="H287" s="8">
        <v>10693.0</v>
      </c>
      <c r="I287" s="8">
        <v>10559.0</v>
      </c>
      <c r="J287" s="8">
        <v>4371.0</v>
      </c>
      <c r="K287" s="9">
        <f t="shared" si="1"/>
        <v>0.4139596553</v>
      </c>
      <c r="L287" s="8">
        <v>1166.0</v>
      </c>
      <c r="M287" s="9">
        <f t="shared" si="2"/>
        <v>0.1104271238</v>
      </c>
      <c r="N287" s="8">
        <v>316.0</v>
      </c>
      <c r="O287" s="9">
        <f t="shared" si="3"/>
        <v>0.02992707643</v>
      </c>
      <c r="P287" s="10">
        <v>25218.09</v>
      </c>
      <c r="Q287" s="11">
        <f t="shared" si="4"/>
        <v>2.38830287</v>
      </c>
      <c r="R287" s="8">
        <v>20.0</v>
      </c>
      <c r="S287" s="9">
        <f t="shared" si="5"/>
        <v>0.001894118761</v>
      </c>
    </row>
    <row r="288" ht="15.75" customHeight="1">
      <c r="A288" s="4" t="s">
        <v>820</v>
      </c>
      <c r="B288" s="4" t="s">
        <v>821</v>
      </c>
      <c r="C288" s="4" t="s">
        <v>776</v>
      </c>
      <c r="D288" s="4">
        <v>3.0</v>
      </c>
      <c r="E288" s="4" t="s">
        <v>66</v>
      </c>
      <c r="F288" s="4" t="s">
        <v>773</v>
      </c>
      <c r="G288" s="12">
        <v>46082.0</v>
      </c>
      <c r="H288" s="8">
        <v>9150.0</v>
      </c>
      <c r="I288" s="8">
        <v>9071.0</v>
      </c>
      <c r="J288" s="8">
        <v>4275.0</v>
      </c>
      <c r="K288" s="9">
        <f t="shared" si="1"/>
        <v>0.4712821078</v>
      </c>
      <c r="L288" s="8">
        <v>910.0</v>
      </c>
      <c r="M288" s="9">
        <f t="shared" si="2"/>
        <v>0.1003197001</v>
      </c>
      <c r="N288" s="8">
        <v>208.0</v>
      </c>
      <c r="O288" s="9">
        <f t="shared" si="3"/>
        <v>0.02293021718</v>
      </c>
      <c r="P288" s="10">
        <v>20002.12</v>
      </c>
      <c r="Q288" s="11">
        <f t="shared" si="4"/>
        <v>2.205062286</v>
      </c>
      <c r="R288" s="8">
        <v>8.0</v>
      </c>
      <c r="S288" s="9">
        <f t="shared" si="5"/>
        <v>0.0008819314298</v>
      </c>
    </row>
    <row r="289" ht="15.75" customHeight="1">
      <c r="A289" s="4" t="s">
        <v>820</v>
      </c>
      <c r="B289" s="4" t="s">
        <v>821</v>
      </c>
      <c r="C289" s="4" t="s">
        <v>776</v>
      </c>
      <c r="D289" s="4">
        <v>3.0</v>
      </c>
      <c r="E289" s="4" t="s">
        <v>66</v>
      </c>
      <c r="F289" s="4" t="s">
        <v>773</v>
      </c>
      <c r="G289" s="12">
        <v>46113.0</v>
      </c>
      <c r="H289" s="8">
        <v>9583.0</v>
      </c>
      <c r="I289" s="8">
        <v>9492.0</v>
      </c>
      <c r="J289" s="8">
        <v>4246.0</v>
      </c>
      <c r="K289" s="9">
        <f t="shared" si="1"/>
        <v>0.4473240624</v>
      </c>
      <c r="L289" s="8">
        <v>810.0</v>
      </c>
      <c r="M289" s="9">
        <f t="shared" si="2"/>
        <v>0.08533501896</v>
      </c>
      <c r="N289" s="8">
        <v>249.0</v>
      </c>
      <c r="O289" s="9">
        <f t="shared" si="3"/>
        <v>0.02623261694</v>
      </c>
      <c r="P289" s="10">
        <v>18785.56</v>
      </c>
      <c r="Q289" s="11">
        <f t="shared" si="4"/>
        <v>1.979093974</v>
      </c>
      <c r="R289" s="8">
        <v>10.0</v>
      </c>
      <c r="S289" s="9">
        <f t="shared" si="5"/>
        <v>0.001053518753</v>
      </c>
    </row>
    <row r="290" ht="15.75" customHeight="1">
      <c r="A290" s="4" t="s">
        <v>822</v>
      </c>
      <c r="B290" s="4" t="s">
        <v>823</v>
      </c>
      <c r="C290" s="4" t="s">
        <v>776</v>
      </c>
      <c r="D290" s="4">
        <v>1.0</v>
      </c>
      <c r="E290" s="4" t="s">
        <v>66</v>
      </c>
      <c r="F290" s="4" t="s">
        <v>773</v>
      </c>
      <c r="G290" s="12">
        <v>45778.0</v>
      </c>
      <c r="H290" s="8">
        <v>8197.0</v>
      </c>
      <c r="I290" s="8">
        <v>8097.0</v>
      </c>
      <c r="J290" s="8">
        <v>0.0</v>
      </c>
      <c r="K290" s="9">
        <f t="shared" si="1"/>
        <v>0</v>
      </c>
      <c r="L290" s="8">
        <v>0.0</v>
      </c>
      <c r="M290" s="9">
        <f t="shared" si="2"/>
        <v>0</v>
      </c>
      <c r="N290" s="8">
        <v>0.0</v>
      </c>
      <c r="O290" s="9">
        <f t="shared" si="3"/>
        <v>0</v>
      </c>
      <c r="P290" s="10">
        <v>0.0</v>
      </c>
      <c r="Q290" s="11">
        <f t="shared" si="4"/>
        <v>0</v>
      </c>
      <c r="R290" s="8">
        <v>4.0</v>
      </c>
      <c r="S290" s="9">
        <f t="shared" si="5"/>
        <v>0.0004940101272</v>
      </c>
    </row>
    <row r="291" ht="15.75" customHeight="1">
      <c r="A291" s="4" t="s">
        <v>822</v>
      </c>
      <c r="B291" s="4" t="s">
        <v>823</v>
      </c>
      <c r="C291" s="4" t="s">
        <v>776</v>
      </c>
      <c r="D291" s="4">
        <v>1.0</v>
      </c>
      <c r="E291" s="4" t="s">
        <v>66</v>
      </c>
      <c r="F291" s="4" t="s">
        <v>773</v>
      </c>
      <c r="G291" s="12">
        <v>45809.0</v>
      </c>
      <c r="H291" s="8">
        <v>7104.0</v>
      </c>
      <c r="I291" s="8">
        <v>7080.0</v>
      </c>
      <c r="J291" s="8">
        <v>0.0</v>
      </c>
      <c r="K291" s="9">
        <f t="shared" si="1"/>
        <v>0</v>
      </c>
      <c r="L291" s="8">
        <v>0.0</v>
      </c>
      <c r="M291" s="9">
        <f t="shared" si="2"/>
        <v>0</v>
      </c>
      <c r="N291" s="8">
        <v>0.0</v>
      </c>
      <c r="O291" s="9">
        <f t="shared" si="3"/>
        <v>0</v>
      </c>
      <c r="P291" s="10">
        <v>0.0</v>
      </c>
      <c r="Q291" s="11">
        <f t="shared" si="4"/>
        <v>0</v>
      </c>
      <c r="R291" s="8">
        <v>3.0</v>
      </c>
      <c r="S291" s="9">
        <f t="shared" si="5"/>
        <v>0.0004237288136</v>
      </c>
    </row>
    <row r="292" ht="15.75" customHeight="1">
      <c r="A292" s="4" t="s">
        <v>822</v>
      </c>
      <c r="B292" s="4" t="s">
        <v>823</v>
      </c>
      <c r="C292" s="4" t="s">
        <v>776</v>
      </c>
      <c r="D292" s="4">
        <v>1.0</v>
      </c>
      <c r="E292" s="4" t="s">
        <v>66</v>
      </c>
      <c r="F292" s="4" t="s">
        <v>773</v>
      </c>
      <c r="G292" s="12">
        <v>45839.0</v>
      </c>
      <c r="H292" s="8">
        <v>5928.0</v>
      </c>
      <c r="I292" s="8">
        <v>5915.0</v>
      </c>
      <c r="J292" s="8">
        <v>0.0</v>
      </c>
      <c r="K292" s="9">
        <f t="shared" si="1"/>
        <v>0</v>
      </c>
      <c r="L292" s="8">
        <v>0.0</v>
      </c>
      <c r="M292" s="9">
        <f t="shared" si="2"/>
        <v>0</v>
      </c>
      <c r="N292" s="8">
        <v>0.0</v>
      </c>
      <c r="O292" s="9">
        <f t="shared" si="3"/>
        <v>0</v>
      </c>
      <c r="P292" s="10">
        <v>0.0</v>
      </c>
      <c r="Q292" s="11">
        <f t="shared" si="4"/>
        <v>0</v>
      </c>
      <c r="R292" s="8">
        <v>5.0</v>
      </c>
      <c r="S292" s="9">
        <f t="shared" si="5"/>
        <v>0.0008453085376</v>
      </c>
    </row>
    <row r="293" ht="15.75" customHeight="1">
      <c r="A293" s="4" t="s">
        <v>822</v>
      </c>
      <c r="B293" s="4" t="s">
        <v>823</v>
      </c>
      <c r="C293" s="4" t="s">
        <v>776</v>
      </c>
      <c r="D293" s="4">
        <v>1.0</v>
      </c>
      <c r="E293" s="4" t="s">
        <v>66</v>
      </c>
      <c r="F293" s="4" t="s">
        <v>773</v>
      </c>
      <c r="G293" s="12">
        <v>45870.0</v>
      </c>
      <c r="H293" s="8">
        <v>5665.0</v>
      </c>
      <c r="I293" s="8">
        <v>5627.0</v>
      </c>
      <c r="J293" s="8">
        <v>0.0</v>
      </c>
      <c r="K293" s="9">
        <f t="shared" si="1"/>
        <v>0</v>
      </c>
      <c r="L293" s="8">
        <v>0.0</v>
      </c>
      <c r="M293" s="9">
        <f t="shared" si="2"/>
        <v>0</v>
      </c>
      <c r="N293" s="8">
        <v>0.0</v>
      </c>
      <c r="O293" s="9">
        <f t="shared" si="3"/>
        <v>0</v>
      </c>
      <c r="P293" s="10">
        <v>0.0</v>
      </c>
      <c r="Q293" s="11">
        <f t="shared" si="4"/>
        <v>0</v>
      </c>
      <c r="R293" s="8">
        <v>10.0</v>
      </c>
      <c r="S293" s="9">
        <f t="shared" si="5"/>
        <v>0.001777145904</v>
      </c>
    </row>
    <row r="294" ht="15.75" customHeight="1">
      <c r="A294" s="4" t="s">
        <v>822</v>
      </c>
      <c r="B294" s="4" t="s">
        <v>823</v>
      </c>
      <c r="C294" s="4" t="s">
        <v>776</v>
      </c>
      <c r="D294" s="4">
        <v>1.0</v>
      </c>
      <c r="E294" s="4" t="s">
        <v>66</v>
      </c>
      <c r="F294" s="4" t="s">
        <v>773</v>
      </c>
      <c r="G294" s="12">
        <v>45901.0</v>
      </c>
      <c r="H294" s="8">
        <v>6368.0</v>
      </c>
      <c r="I294" s="8">
        <v>6341.0</v>
      </c>
      <c r="J294" s="8">
        <v>0.0</v>
      </c>
      <c r="K294" s="9">
        <f t="shared" si="1"/>
        <v>0</v>
      </c>
      <c r="L294" s="8">
        <v>0.0</v>
      </c>
      <c r="M294" s="9">
        <f t="shared" si="2"/>
        <v>0</v>
      </c>
      <c r="N294" s="8">
        <v>0.0</v>
      </c>
      <c r="O294" s="9">
        <f t="shared" si="3"/>
        <v>0</v>
      </c>
      <c r="P294" s="10">
        <v>0.0</v>
      </c>
      <c r="Q294" s="11">
        <f t="shared" si="4"/>
        <v>0</v>
      </c>
      <c r="R294" s="8">
        <v>8.0</v>
      </c>
      <c r="S294" s="9">
        <f t="shared" si="5"/>
        <v>0.001261630658</v>
      </c>
    </row>
    <row r="295" ht="15.75" customHeight="1">
      <c r="A295" s="4" t="s">
        <v>822</v>
      </c>
      <c r="B295" s="4" t="s">
        <v>823</v>
      </c>
      <c r="C295" s="4" t="s">
        <v>776</v>
      </c>
      <c r="D295" s="4">
        <v>1.0</v>
      </c>
      <c r="E295" s="4" t="s">
        <v>66</v>
      </c>
      <c r="F295" s="4" t="s">
        <v>773</v>
      </c>
      <c r="G295" s="12">
        <v>45931.0</v>
      </c>
      <c r="H295" s="8">
        <v>7686.0</v>
      </c>
      <c r="I295" s="8">
        <v>7644.0</v>
      </c>
      <c r="J295" s="8">
        <v>0.0</v>
      </c>
      <c r="K295" s="9">
        <f t="shared" si="1"/>
        <v>0</v>
      </c>
      <c r="L295" s="8">
        <v>0.0</v>
      </c>
      <c r="M295" s="9">
        <f t="shared" si="2"/>
        <v>0</v>
      </c>
      <c r="N295" s="8">
        <v>0.0</v>
      </c>
      <c r="O295" s="9">
        <f t="shared" si="3"/>
        <v>0</v>
      </c>
      <c r="P295" s="10">
        <v>0.0</v>
      </c>
      <c r="Q295" s="11">
        <f t="shared" si="4"/>
        <v>0</v>
      </c>
      <c r="R295" s="8">
        <v>10.0</v>
      </c>
      <c r="S295" s="9">
        <f t="shared" si="5"/>
        <v>0.001308215594</v>
      </c>
    </row>
    <row r="296" ht="15.75" customHeight="1">
      <c r="A296" s="4" t="s">
        <v>822</v>
      </c>
      <c r="B296" s="4" t="s">
        <v>823</v>
      </c>
      <c r="C296" s="4" t="s">
        <v>776</v>
      </c>
      <c r="D296" s="4">
        <v>1.0</v>
      </c>
      <c r="E296" s="4" t="s">
        <v>66</v>
      </c>
      <c r="F296" s="4" t="s">
        <v>773</v>
      </c>
      <c r="G296" s="12">
        <v>45962.0</v>
      </c>
      <c r="H296" s="8">
        <v>10201.0</v>
      </c>
      <c r="I296" s="8">
        <v>10064.0</v>
      </c>
      <c r="J296" s="8">
        <v>0.0</v>
      </c>
      <c r="K296" s="9">
        <f t="shared" si="1"/>
        <v>0</v>
      </c>
      <c r="L296" s="8">
        <v>0.0</v>
      </c>
      <c r="M296" s="9">
        <f t="shared" si="2"/>
        <v>0</v>
      </c>
      <c r="N296" s="8">
        <v>0.0</v>
      </c>
      <c r="O296" s="9">
        <f t="shared" si="3"/>
        <v>0</v>
      </c>
      <c r="P296" s="10">
        <v>0.0</v>
      </c>
      <c r="Q296" s="11">
        <f t="shared" si="4"/>
        <v>0</v>
      </c>
      <c r="R296" s="8">
        <v>14.0</v>
      </c>
      <c r="S296" s="9">
        <f t="shared" si="5"/>
        <v>0.001391096979</v>
      </c>
    </row>
    <row r="297" ht="15.75" customHeight="1">
      <c r="A297" s="4" t="s">
        <v>822</v>
      </c>
      <c r="B297" s="4" t="s">
        <v>823</v>
      </c>
      <c r="C297" s="4" t="s">
        <v>776</v>
      </c>
      <c r="D297" s="4">
        <v>1.0</v>
      </c>
      <c r="E297" s="4" t="s">
        <v>66</v>
      </c>
      <c r="F297" s="4" t="s">
        <v>773</v>
      </c>
      <c r="G297" s="12">
        <v>45992.0</v>
      </c>
      <c r="H297" s="8">
        <v>7512.0</v>
      </c>
      <c r="I297" s="8">
        <v>7473.0</v>
      </c>
      <c r="J297" s="8">
        <v>0.0</v>
      </c>
      <c r="K297" s="9">
        <f t="shared" si="1"/>
        <v>0</v>
      </c>
      <c r="L297" s="8">
        <v>0.0</v>
      </c>
      <c r="M297" s="9">
        <f t="shared" si="2"/>
        <v>0</v>
      </c>
      <c r="N297" s="8">
        <v>0.0</v>
      </c>
      <c r="O297" s="9">
        <f t="shared" si="3"/>
        <v>0</v>
      </c>
      <c r="P297" s="10">
        <v>0.0</v>
      </c>
      <c r="Q297" s="11">
        <f t="shared" si="4"/>
        <v>0</v>
      </c>
      <c r="R297" s="8">
        <v>8.0</v>
      </c>
      <c r="S297" s="9">
        <f t="shared" si="5"/>
        <v>0.001070520541</v>
      </c>
    </row>
    <row r="298" ht="15.75" customHeight="1">
      <c r="A298" s="4" t="s">
        <v>822</v>
      </c>
      <c r="B298" s="4" t="s">
        <v>823</v>
      </c>
      <c r="C298" s="4" t="s">
        <v>776</v>
      </c>
      <c r="D298" s="4">
        <v>1.0</v>
      </c>
      <c r="E298" s="4" t="s">
        <v>66</v>
      </c>
      <c r="F298" s="4" t="s">
        <v>773</v>
      </c>
      <c r="G298" s="12">
        <v>46023.0</v>
      </c>
      <c r="H298" s="8">
        <v>5835.0</v>
      </c>
      <c r="I298" s="8">
        <v>5767.0</v>
      </c>
      <c r="J298" s="8">
        <v>0.0</v>
      </c>
      <c r="K298" s="9">
        <f t="shared" si="1"/>
        <v>0</v>
      </c>
      <c r="L298" s="8">
        <v>0.0</v>
      </c>
      <c r="M298" s="9">
        <f t="shared" si="2"/>
        <v>0</v>
      </c>
      <c r="N298" s="8">
        <v>0.0</v>
      </c>
      <c r="O298" s="9">
        <f t="shared" si="3"/>
        <v>0</v>
      </c>
      <c r="P298" s="10">
        <v>0.0</v>
      </c>
      <c r="Q298" s="11">
        <f t="shared" si="4"/>
        <v>0</v>
      </c>
      <c r="R298" s="8">
        <v>8.0</v>
      </c>
      <c r="S298" s="9">
        <f t="shared" si="5"/>
        <v>0.001387203052</v>
      </c>
    </row>
    <row r="299" ht="15.75" customHeight="1">
      <c r="A299" s="4" t="s">
        <v>822</v>
      </c>
      <c r="B299" s="4" t="s">
        <v>823</v>
      </c>
      <c r="C299" s="4" t="s">
        <v>776</v>
      </c>
      <c r="D299" s="4">
        <v>1.0</v>
      </c>
      <c r="E299" s="4" t="s">
        <v>66</v>
      </c>
      <c r="F299" s="4" t="s">
        <v>773</v>
      </c>
      <c r="G299" s="12">
        <v>46054.0</v>
      </c>
      <c r="H299" s="8">
        <v>6585.0</v>
      </c>
      <c r="I299" s="8">
        <v>6508.0</v>
      </c>
      <c r="J299" s="8">
        <v>0.0</v>
      </c>
      <c r="K299" s="9">
        <f t="shared" si="1"/>
        <v>0</v>
      </c>
      <c r="L299" s="8">
        <v>0.0</v>
      </c>
      <c r="M299" s="9">
        <f t="shared" si="2"/>
        <v>0</v>
      </c>
      <c r="N299" s="8">
        <v>0.0</v>
      </c>
      <c r="O299" s="9">
        <f t="shared" si="3"/>
        <v>0</v>
      </c>
      <c r="P299" s="10">
        <v>0.0</v>
      </c>
      <c r="Q299" s="11">
        <f t="shared" si="4"/>
        <v>0</v>
      </c>
      <c r="R299" s="8">
        <v>5.0</v>
      </c>
      <c r="S299" s="9">
        <f t="shared" si="5"/>
        <v>0.0007682851875</v>
      </c>
    </row>
    <row r="300" ht="15.75" customHeight="1">
      <c r="A300" s="4" t="s">
        <v>822</v>
      </c>
      <c r="B300" s="4" t="s">
        <v>823</v>
      </c>
      <c r="C300" s="4" t="s">
        <v>776</v>
      </c>
      <c r="D300" s="4">
        <v>1.0</v>
      </c>
      <c r="E300" s="4" t="s">
        <v>66</v>
      </c>
      <c r="F300" s="4" t="s">
        <v>773</v>
      </c>
      <c r="G300" s="12">
        <v>46082.0</v>
      </c>
      <c r="H300" s="8">
        <v>6364.0</v>
      </c>
      <c r="I300" s="8">
        <v>6298.0</v>
      </c>
      <c r="J300" s="8">
        <v>0.0</v>
      </c>
      <c r="K300" s="9">
        <f t="shared" si="1"/>
        <v>0</v>
      </c>
      <c r="L300" s="8">
        <v>0.0</v>
      </c>
      <c r="M300" s="9">
        <f t="shared" si="2"/>
        <v>0</v>
      </c>
      <c r="N300" s="8">
        <v>0.0</v>
      </c>
      <c r="O300" s="9">
        <f t="shared" si="3"/>
        <v>0</v>
      </c>
      <c r="P300" s="10">
        <v>0.0</v>
      </c>
      <c r="Q300" s="11">
        <f t="shared" si="4"/>
        <v>0</v>
      </c>
      <c r="R300" s="8">
        <v>8.0</v>
      </c>
      <c r="S300" s="9">
        <f t="shared" si="5"/>
        <v>0.001270244522</v>
      </c>
    </row>
    <row r="301" ht="15.75" customHeight="1">
      <c r="A301" s="4" t="s">
        <v>822</v>
      </c>
      <c r="B301" s="4" t="s">
        <v>823</v>
      </c>
      <c r="C301" s="4" t="s">
        <v>776</v>
      </c>
      <c r="D301" s="4">
        <v>1.0</v>
      </c>
      <c r="E301" s="4" t="s">
        <v>66</v>
      </c>
      <c r="F301" s="4" t="s">
        <v>773</v>
      </c>
      <c r="G301" s="12">
        <v>46113.0</v>
      </c>
      <c r="H301" s="8">
        <v>6111.0</v>
      </c>
      <c r="I301" s="8">
        <v>6034.0</v>
      </c>
      <c r="J301" s="8">
        <v>0.0</v>
      </c>
      <c r="K301" s="9">
        <f t="shared" si="1"/>
        <v>0</v>
      </c>
      <c r="L301" s="8">
        <v>0.0</v>
      </c>
      <c r="M301" s="9">
        <f t="shared" si="2"/>
        <v>0</v>
      </c>
      <c r="N301" s="8">
        <v>0.0</v>
      </c>
      <c r="O301" s="9">
        <f t="shared" si="3"/>
        <v>0</v>
      </c>
      <c r="P301" s="10">
        <v>0.0</v>
      </c>
      <c r="Q301" s="11">
        <f t="shared" si="4"/>
        <v>0</v>
      </c>
      <c r="R301" s="8">
        <v>5.0</v>
      </c>
      <c r="S301" s="9">
        <f t="shared" si="5"/>
        <v>0.0008286377196</v>
      </c>
    </row>
    <row r="302" ht="15.75" customHeight="1">
      <c r="A302" s="4" t="s">
        <v>824</v>
      </c>
      <c r="B302" s="4" t="s">
        <v>825</v>
      </c>
      <c r="C302" s="4" t="s">
        <v>776</v>
      </c>
      <c r="D302" s="4">
        <v>1.0</v>
      </c>
      <c r="E302" s="4" t="s">
        <v>66</v>
      </c>
      <c r="F302" s="4" t="s">
        <v>773</v>
      </c>
      <c r="G302" s="12">
        <v>45778.0</v>
      </c>
      <c r="H302" s="8">
        <v>7606.0</v>
      </c>
      <c r="I302" s="8">
        <v>7575.0</v>
      </c>
      <c r="J302" s="8">
        <v>0.0</v>
      </c>
      <c r="K302" s="9">
        <f t="shared" si="1"/>
        <v>0</v>
      </c>
      <c r="L302" s="8">
        <v>0.0</v>
      </c>
      <c r="M302" s="9">
        <f t="shared" si="2"/>
        <v>0</v>
      </c>
      <c r="N302" s="8">
        <v>0.0</v>
      </c>
      <c r="O302" s="9">
        <f t="shared" si="3"/>
        <v>0</v>
      </c>
      <c r="P302" s="10">
        <v>0.0</v>
      </c>
      <c r="Q302" s="11">
        <f t="shared" si="4"/>
        <v>0</v>
      </c>
      <c r="R302" s="8">
        <v>9.0</v>
      </c>
      <c r="S302" s="9">
        <f t="shared" si="5"/>
        <v>0.001188118812</v>
      </c>
    </row>
    <row r="303" ht="15.75" customHeight="1">
      <c r="A303" s="4" t="s">
        <v>824</v>
      </c>
      <c r="B303" s="4" t="s">
        <v>825</v>
      </c>
      <c r="C303" s="4" t="s">
        <v>776</v>
      </c>
      <c r="D303" s="4">
        <v>1.0</v>
      </c>
      <c r="E303" s="4" t="s">
        <v>66</v>
      </c>
      <c r="F303" s="4" t="s">
        <v>773</v>
      </c>
      <c r="G303" s="12">
        <v>45809.0</v>
      </c>
      <c r="H303" s="8">
        <v>6354.0</v>
      </c>
      <c r="I303" s="8">
        <v>6270.0</v>
      </c>
      <c r="J303" s="8">
        <v>0.0</v>
      </c>
      <c r="K303" s="9">
        <f t="shared" si="1"/>
        <v>0</v>
      </c>
      <c r="L303" s="8">
        <v>0.0</v>
      </c>
      <c r="M303" s="9">
        <f t="shared" si="2"/>
        <v>0</v>
      </c>
      <c r="N303" s="8">
        <v>0.0</v>
      </c>
      <c r="O303" s="9">
        <f t="shared" si="3"/>
        <v>0</v>
      </c>
      <c r="P303" s="10">
        <v>0.0</v>
      </c>
      <c r="Q303" s="11">
        <f t="shared" si="4"/>
        <v>0</v>
      </c>
      <c r="R303" s="8">
        <v>11.0</v>
      </c>
      <c r="S303" s="9">
        <f t="shared" si="5"/>
        <v>0.001754385965</v>
      </c>
    </row>
    <row r="304" ht="15.75" customHeight="1">
      <c r="A304" s="4" t="s">
        <v>824</v>
      </c>
      <c r="B304" s="4" t="s">
        <v>825</v>
      </c>
      <c r="C304" s="4" t="s">
        <v>776</v>
      </c>
      <c r="D304" s="4">
        <v>1.0</v>
      </c>
      <c r="E304" s="4" t="s">
        <v>66</v>
      </c>
      <c r="F304" s="4" t="s">
        <v>773</v>
      </c>
      <c r="G304" s="12">
        <v>45839.0</v>
      </c>
      <c r="H304" s="8">
        <v>5663.0</v>
      </c>
      <c r="I304" s="8">
        <v>5594.0</v>
      </c>
      <c r="J304" s="8">
        <v>0.0</v>
      </c>
      <c r="K304" s="9">
        <f t="shared" si="1"/>
        <v>0</v>
      </c>
      <c r="L304" s="8">
        <v>0.0</v>
      </c>
      <c r="M304" s="9">
        <f t="shared" si="2"/>
        <v>0</v>
      </c>
      <c r="N304" s="8">
        <v>0.0</v>
      </c>
      <c r="O304" s="9">
        <f t="shared" si="3"/>
        <v>0</v>
      </c>
      <c r="P304" s="10">
        <v>0.0</v>
      </c>
      <c r="Q304" s="11">
        <f t="shared" si="4"/>
        <v>0</v>
      </c>
      <c r="R304" s="8">
        <v>8.0</v>
      </c>
      <c r="S304" s="9">
        <f t="shared" si="5"/>
        <v>0.001430103683</v>
      </c>
    </row>
    <row r="305" ht="15.75" customHeight="1">
      <c r="A305" s="4" t="s">
        <v>824</v>
      </c>
      <c r="B305" s="4" t="s">
        <v>825</v>
      </c>
      <c r="C305" s="4" t="s">
        <v>776</v>
      </c>
      <c r="D305" s="4">
        <v>1.0</v>
      </c>
      <c r="E305" s="4" t="s">
        <v>66</v>
      </c>
      <c r="F305" s="4" t="s">
        <v>773</v>
      </c>
      <c r="G305" s="12">
        <v>45870.0</v>
      </c>
      <c r="H305" s="8">
        <v>7552.0</v>
      </c>
      <c r="I305" s="8">
        <v>7521.0</v>
      </c>
      <c r="J305" s="8">
        <v>0.0</v>
      </c>
      <c r="K305" s="9">
        <f t="shared" si="1"/>
        <v>0</v>
      </c>
      <c r="L305" s="8">
        <v>0.0</v>
      </c>
      <c r="M305" s="9">
        <f t="shared" si="2"/>
        <v>0</v>
      </c>
      <c r="N305" s="8">
        <v>0.0</v>
      </c>
      <c r="O305" s="9">
        <f t="shared" si="3"/>
        <v>0</v>
      </c>
      <c r="P305" s="10">
        <v>0.0</v>
      </c>
      <c r="Q305" s="11">
        <f t="shared" si="4"/>
        <v>0</v>
      </c>
      <c r="R305" s="8">
        <v>13.0</v>
      </c>
      <c r="S305" s="9">
        <f t="shared" si="5"/>
        <v>0.001728493551</v>
      </c>
    </row>
    <row r="306" ht="15.75" customHeight="1">
      <c r="A306" s="4" t="s">
        <v>824</v>
      </c>
      <c r="B306" s="4" t="s">
        <v>825</v>
      </c>
      <c r="C306" s="4" t="s">
        <v>776</v>
      </c>
      <c r="D306" s="4">
        <v>1.0</v>
      </c>
      <c r="E306" s="4" t="s">
        <v>66</v>
      </c>
      <c r="F306" s="4" t="s">
        <v>773</v>
      </c>
      <c r="G306" s="12">
        <v>45901.0</v>
      </c>
      <c r="H306" s="8">
        <v>6194.0</v>
      </c>
      <c r="I306" s="8">
        <v>6111.0</v>
      </c>
      <c r="J306" s="8">
        <v>0.0</v>
      </c>
      <c r="K306" s="9">
        <f t="shared" si="1"/>
        <v>0</v>
      </c>
      <c r="L306" s="8">
        <v>0.0</v>
      </c>
      <c r="M306" s="9">
        <f t="shared" si="2"/>
        <v>0</v>
      </c>
      <c r="N306" s="8">
        <v>0.0</v>
      </c>
      <c r="O306" s="9">
        <f t="shared" si="3"/>
        <v>0</v>
      </c>
      <c r="P306" s="10">
        <v>0.0</v>
      </c>
      <c r="Q306" s="11">
        <f t="shared" si="4"/>
        <v>0</v>
      </c>
      <c r="R306" s="8">
        <v>6.0</v>
      </c>
      <c r="S306" s="9">
        <f t="shared" si="5"/>
        <v>0.0009818360334</v>
      </c>
    </row>
    <row r="307" ht="15.75" customHeight="1">
      <c r="A307" s="4" t="s">
        <v>824</v>
      </c>
      <c r="B307" s="4" t="s">
        <v>825</v>
      </c>
      <c r="C307" s="4" t="s">
        <v>776</v>
      </c>
      <c r="D307" s="4">
        <v>1.0</v>
      </c>
      <c r="E307" s="4" t="s">
        <v>66</v>
      </c>
      <c r="F307" s="4" t="s">
        <v>773</v>
      </c>
      <c r="G307" s="12">
        <v>45931.0</v>
      </c>
      <c r="H307" s="8">
        <v>8826.0</v>
      </c>
      <c r="I307" s="8">
        <v>8753.0</v>
      </c>
      <c r="J307" s="8">
        <v>0.0</v>
      </c>
      <c r="K307" s="9">
        <f t="shared" si="1"/>
        <v>0</v>
      </c>
      <c r="L307" s="8">
        <v>0.0</v>
      </c>
      <c r="M307" s="9">
        <f t="shared" si="2"/>
        <v>0</v>
      </c>
      <c r="N307" s="8">
        <v>0.0</v>
      </c>
      <c r="O307" s="9">
        <f t="shared" si="3"/>
        <v>0</v>
      </c>
      <c r="P307" s="10">
        <v>0.0</v>
      </c>
      <c r="Q307" s="11">
        <f t="shared" si="4"/>
        <v>0</v>
      </c>
      <c r="R307" s="8">
        <v>4.0</v>
      </c>
      <c r="S307" s="9">
        <f t="shared" si="5"/>
        <v>0.0004569861762</v>
      </c>
    </row>
    <row r="308" ht="15.75" customHeight="1">
      <c r="A308" s="4" t="s">
        <v>824</v>
      </c>
      <c r="B308" s="4" t="s">
        <v>825</v>
      </c>
      <c r="C308" s="4" t="s">
        <v>776</v>
      </c>
      <c r="D308" s="4">
        <v>1.0</v>
      </c>
      <c r="E308" s="4" t="s">
        <v>66</v>
      </c>
      <c r="F308" s="4" t="s">
        <v>773</v>
      </c>
      <c r="G308" s="12">
        <v>45962.0</v>
      </c>
      <c r="H308" s="8">
        <v>8708.0</v>
      </c>
      <c r="I308" s="8">
        <v>8655.0</v>
      </c>
      <c r="J308" s="8">
        <v>0.0</v>
      </c>
      <c r="K308" s="9">
        <f t="shared" si="1"/>
        <v>0</v>
      </c>
      <c r="L308" s="8">
        <v>0.0</v>
      </c>
      <c r="M308" s="9">
        <f t="shared" si="2"/>
        <v>0</v>
      </c>
      <c r="N308" s="8">
        <v>0.0</v>
      </c>
      <c r="O308" s="9">
        <f t="shared" si="3"/>
        <v>0</v>
      </c>
      <c r="P308" s="10">
        <v>0.0</v>
      </c>
      <c r="Q308" s="11">
        <f t="shared" si="4"/>
        <v>0</v>
      </c>
      <c r="R308" s="8">
        <v>8.0</v>
      </c>
      <c r="S308" s="9">
        <f t="shared" si="5"/>
        <v>0.0009243212016</v>
      </c>
    </row>
    <row r="309" ht="15.75" customHeight="1">
      <c r="A309" s="4" t="s">
        <v>824</v>
      </c>
      <c r="B309" s="4" t="s">
        <v>825</v>
      </c>
      <c r="C309" s="4" t="s">
        <v>776</v>
      </c>
      <c r="D309" s="4">
        <v>1.0</v>
      </c>
      <c r="E309" s="4" t="s">
        <v>66</v>
      </c>
      <c r="F309" s="4" t="s">
        <v>773</v>
      </c>
      <c r="G309" s="12">
        <v>45992.0</v>
      </c>
      <c r="H309" s="8">
        <v>9440.0</v>
      </c>
      <c r="I309" s="8">
        <v>9312.0</v>
      </c>
      <c r="J309" s="8">
        <v>0.0</v>
      </c>
      <c r="K309" s="9">
        <f t="shared" si="1"/>
        <v>0</v>
      </c>
      <c r="L309" s="8">
        <v>0.0</v>
      </c>
      <c r="M309" s="9">
        <f t="shared" si="2"/>
        <v>0</v>
      </c>
      <c r="N309" s="8">
        <v>0.0</v>
      </c>
      <c r="O309" s="9">
        <f t="shared" si="3"/>
        <v>0</v>
      </c>
      <c r="P309" s="10">
        <v>0.0</v>
      </c>
      <c r="Q309" s="11">
        <f t="shared" si="4"/>
        <v>0</v>
      </c>
      <c r="R309" s="8">
        <v>3.0</v>
      </c>
      <c r="S309" s="9">
        <f t="shared" si="5"/>
        <v>0.0003221649485</v>
      </c>
    </row>
    <row r="310" ht="15.75" customHeight="1">
      <c r="A310" s="4" t="s">
        <v>824</v>
      </c>
      <c r="B310" s="4" t="s">
        <v>825</v>
      </c>
      <c r="C310" s="4" t="s">
        <v>776</v>
      </c>
      <c r="D310" s="4">
        <v>1.0</v>
      </c>
      <c r="E310" s="4" t="s">
        <v>66</v>
      </c>
      <c r="F310" s="4" t="s">
        <v>773</v>
      </c>
      <c r="G310" s="12">
        <v>46023.0</v>
      </c>
      <c r="H310" s="8">
        <v>6235.0</v>
      </c>
      <c r="I310" s="8">
        <v>6189.0</v>
      </c>
      <c r="J310" s="8">
        <v>0.0</v>
      </c>
      <c r="K310" s="9">
        <f t="shared" si="1"/>
        <v>0</v>
      </c>
      <c r="L310" s="8">
        <v>0.0</v>
      </c>
      <c r="M310" s="9">
        <f t="shared" si="2"/>
        <v>0</v>
      </c>
      <c r="N310" s="8">
        <v>0.0</v>
      </c>
      <c r="O310" s="9">
        <f t="shared" si="3"/>
        <v>0</v>
      </c>
      <c r="P310" s="10">
        <v>0.0</v>
      </c>
      <c r="Q310" s="11">
        <f t="shared" si="4"/>
        <v>0</v>
      </c>
      <c r="R310" s="8">
        <v>1.0</v>
      </c>
      <c r="S310" s="9">
        <f t="shared" si="5"/>
        <v>0.0001615769914</v>
      </c>
    </row>
    <row r="311" ht="15.75" customHeight="1">
      <c r="A311" s="4" t="s">
        <v>824</v>
      </c>
      <c r="B311" s="4" t="s">
        <v>825</v>
      </c>
      <c r="C311" s="4" t="s">
        <v>776</v>
      </c>
      <c r="D311" s="4">
        <v>1.0</v>
      </c>
      <c r="E311" s="4" t="s">
        <v>66</v>
      </c>
      <c r="F311" s="4" t="s">
        <v>773</v>
      </c>
      <c r="G311" s="12">
        <v>46054.0</v>
      </c>
      <c r="H311" s="8">
        <v>6767.0</v>
      </c>
      <c r="I311" s="8">
        <v>6676.0</v>
      </c>
      <c r="J311" s="8">
        <v>0.0</v>
      </c>
      <c r="K311" s="9">
        <f t="shared" si="1"/>
        <v>0</v>
      </c>
      <c r="L311" s="8">
        <v>0.0</v>
      </c>
      <c r="M311" s="9">
        <f t="shared" si="2"/>
        <v>0</v>
      </c>
      <c r="N311" s="8">
        <v>0.0</v>
      </c>
      <c r="O311" s="9">
        <f t="shared" si="3"/>
        <v>0</v>
      </c>
      <c r="P311" s="10">
        <v>0.0</v>
      </c>
      <c r="Q311" s="11">
        <f t="shared" si="4"/>
        <v>0</v>
      </c>
      <c r="R311" s="8">
        <v>2.0</v>
      </c>
      <c r="S311" s="9">
        <f t="shared" si="5"/>
        <v>0.0002995805872</v>
      </c>
    </row>
    <row r="312" ht="15.75" customHeight="1">
      <c r="A312" s="4" t="s">
        <v>824</v>
      </c>
      <c r="B312" s="4" t="s">
        <v>825</v>
      </c>
      <c r="C312" s="4" t="s">
        <v>776</v>
      </c>
      <c r="D312" s="4">
        <v>1.0</v>
      </c>
      <c r="E312" s="4" t="s">
        <v>66</v>
      </c>
      <c r="F312" s="4" t="s">
        <v>773</v>
      </c>
      <c r="G312" s="12">
        <v>46082.0</v>
      </c>
      <c r="H312" s="8">
        <v>6568.0</v>
      </c>
      <c r="I312" s="8">
        <v>6533.0</v>
      </c>
      <c r="J312" s="8">
        <v>0.0</v>
      </c>
      <c r="K312" s="9">
        <f t="shared" si="1"/>
        <v>0</v>
      </c>
      <c r="L312" s="8">
        <v>0.0</v>
      </c>
      <c r="M312" s="9">
        <f t="shared" si="2"/>
        <v>0</v>
      </c>
      <c r="N312" s="8">
        <v>0.0</v>
      </c>
      <c r="O312" s="9">
        <f t="shared" si="3"/>
        <v>0</v>
      </c>
      <c r="P312" s="10">
        <v>0.0</v>
      </c>
      <c r="Q312" s="11">
        <f t="shared" si="4"/>
        <v>0</v>
      </c>
      <c r="R312" s="8">
        <v>10.0</v>
      </c>
      <c r="S312" s="9">
        <f t="shared" si="5"/>
        <v>0.001530690341</v>
      </c>
    </row>
    <row r="313" ht="15.75" customHeight="1">
      <c r="A313" s="4" t="s">
        <v>824</v>
      </c>
      <c r="B313" s="4" t="s">
        <v>825</v>
      </c>
      <c r="C313" s="4" t="s">
        <v>776</v>
      </c>
      <c r="D313" s="4">
        <v>1.0</v>
      </c>
      <c r="E313" s="4" t="s">
        <v>66</v>
      </c>
      <c r="F313" s="4" t="s">
        <v>773</v>
      </c>
      <c r="G313" s="12">
        <v>46113.0</v>
      </c>
      <c r="H313" s="8">
        <v>7237.0</v>
      </c>
      <c r="I313" s="8">
        <v>7175.0</v>
      </c>
      <c r="J313" s="8">
        <v>0.0</v>
      </c>
      <c r="K313" s="9">
        <f t="shared" si="1"/>
        <v>0</v>
      </c>
      <c r="L313" s="8">
        <v>0.0</v>
      </c>
      <c r="M313" s="9">
        <f t="shared" si="2"/>
        <v>0</v>
      </c>
      <c r="N313" s="8">
        <v>0.0</v>
      </c>
      <c r="O313" s="9">
        <f t="shared" si="3"/>
        <v>0</v>
      </c>
      <c r="P313" s="10">
        <v>0.0</v>
      </c>
      <c r="Q313" s="11">
        <f t="shared" si="4"/>
        <v>0</v>
      </c>
      <c r="R313" s="8">
        <v>10.0</v>
      </c>
      <c r="S313" s="9">
        <f t="shared" si="5"/>
        <v>0.001393728223</v>
      </c>
    </row>
    <row r="314" ht="15.75" customHeight="1">
      <c r="A314" s="4" t="s">
        <v>826</v>
      </c>
      <c r="B314" s="4" t="s">
        <v>827</v>
      </c>
      <c r="C314" s="4" t="s">
        <v>776</v>
      </c>
      <c r="D314" s="4">
        <v>2.0</v>
      </c>
      <c r="E314" s="4" t="s">
        <v>66</v>
      </c>
      <c r="F314" s="4" t="s">
        <v>773</v>
      </c>
      <c r="G314" s="12">
        <v>45778.0</v>
      </c>
      <c r="H314" s="8">
        <v>14411.0</v>
      </c>
      <c r="I314" s="8">
        <v>14227.0</v>
      </c>
      <c r="J314" s="8">
        <v>5283.0</v>
      </c>
      <c r="K314" s="9">
        <f t="shared" si="1"/>
        <v>0.3713361917</v>
      </c>
      <c r="L314" s="8">
        <v>1695.0</v>
      </c>
      <c r="M314" s="9">
        <f t="shared" si="2"/>
        <v>0.119139664</v>
      </c>
      <c r="N314" s="8">
        <v>0.0</v>
      </c>
      <c r="O314" s="9">
        <f t="shared" si="3"/>
        <v>0</v>
      </c>
      <c r="P314" s="10">
        <v>0.0</v>
      </c>
      <c r="Q314" s="11">
        <f t="shared" si="4"/>
        <v>0</v>
      </c>
      <c r="R314" s="8">
        <v>26.0</v>
      </c>
      <c r="S314" s="9">
        <f t="shared" si="5"/>
        <v>0.00182751107</v>
      </c>
    </row>
    <row r="315" ht="15.75" customHeight="1">
      <c r="A315" s="4" t="s">
        <v>826</v>
      </c>
      <c r="B315" s="4" t="s">
        <v>827</v>
      </c>
      <c r="C315" s="4" t="s">
        <v>776</v>
      </c>
      <c r="D315" s="4">
        <v>2.0</v>
      </c>
      <c r="E315" s="4" t="s">
        <v>66</v>
      </c>
      <c r="F315" s="4" t="s">
        <v>773</v>
      </c>
      <c r="G315" s="12">
        <v>45809.0</v>
      </c>
      <c r="H315" s="8">
        <v>11551.0</v>
      </c>
      <c r="I315" s="8">
        <v>11449.0</v>
      </c>
      <c r="J315" s="8">
        <v>4197.0</v>
      </c>
      <c r="K315" s="9">
        <f t="shared" si="1"/>
        <v>0.3665822343</v>
      </c>
      <c r="L315" s="8">
        <v>1451.0</v>
      </c>
      <c r="M315" s="9">
        <f t="shared" si="2"/>
        <v>0.1267359595</v>
      </c>
      <c r="N315" s="8">
        <v>0.0</v>
      </c>
      <c r="O315" s="9">
        <f t="shared" si="3"/>
        <v>0</v>
      </c>
      <c r="P315" s="10">
        <v>0.0</v>
      </c>
      <c r="Q315" s="11">
        <f t="shared" si="4"/>
        <v>0</v>
      </c>
      <c r="R315" s="8">
        <v>19.0</v>
      </c>
      <c r="S315" s="9">
        <f t="shared" si="5"/>
        <v>0.001659533584</v>
      </c>
    </row>
    <row r="316" ht="15.75" customHeight="1">
      <c r="A316" s="4" t="s">
        <v>826</v>
      </c>
      <c r="B316" s="4" t="s">
        <v>827</v>
      </c>
      <c r="C316" s="4" t="s">
        <v>776</v>
      </c>
      <c r="D316" s="4">
        <v>2.0</v>
      </c>
      <c r="E316" s="4" t="s">
        <v>66</v>
      </c>
      <c r="F316" s="4" t="s">
        <v>773</v>
      </c>
      <c r="G316" s="12">
        <v>45839.0</v>
      </c>
      <c r="H316" s="8">
        <v>11329.0</v>
      </c>
      <c r="I316" s="8">
        <v>11221.0</v>
      </c>
      <c r="J316" s="8">
        <v>3940.0</v>
      </c>
      <c r="K316" s="9">
        <f t="shared" si="1"/>
        <v>0.3511273505</v>
      </c>
      <c r="L316" s="8">
        <v>1527.0</v>
      </c>
      <c r="M316" s="9">
        <f t="shared" si="2"/>
        <v>0.136084128</v>
      </c>
      <c r="N316" s="8">
        <v>0.0</v>
      </c>
      <c r="O316" s="9">
        <f t="shared" si="3"/>
        <v>0</v>
      </c>
      <c r="P316" s="10">
        <v>0.0</v>
      </c>
      <c r="Q316" s="11">
        <f t="shared" si="4"/>
        <v>0</v>
      </c>
      <c r="R316" s="8">
        <v>12.0</v>
      </c>
      <c r="S316" s="9">
        <f t="shared" si="5"/>
        <v>0.001069423403</v>
      </c>
    </row>
    <row r="317" ht="15.75" customHeight="1">
      <c r="A317" s="4" t="s">
        <v>826</v>
      </c>
      <c r="B317" s="4" t="s">
        <v>827</v>
      </c>
      <c r="C317" s="4" t="s">
        <v>776</v>
      </c>
      <c r="D317" s="4">
        <v>2.0</v>
      </c>
      <c r="E317" s="4" t="s">
        <v>66</v>
      </c>
      <c r="F317" s="4" t="s">
        <v>773</v>
      </c>
      <c r="G317" s="12">
        <v>45870.0</v>
      </c>
      <c r="H317" s="8">
        <v>10511.0</v>
      </c>
      <c r="I317" s="8">
        <v>10421.0</v>
      </c>
      <c r="J317" s="8">
        <v>3525.0</v>
      </c>
      <c r="K317" s="9">
        <f t="shared" si="1"/>
        <v>0.3382592841</v>
      </c>
      <c r="L317" s="8">
        <v>1366.0</v>
      </c>
      <c r="M317" s="9">
        <f t="shared" si="2"/>
        <v>0.1310814701</v>
      </c>
      <c r="N317" s="8">
        <v>0.0</v>
      </c>
      <c r="O317" s="9">
        <f t="shared" si="3"/>
        <v>0</v>
      </c>
      <c r="P317" s="10">
        <v>0.0</v>
      </c>
      <c r="Q317" s="11">
        <f t="shared" si="4"/>
        <v>0</v>
      </c>
      <c r="R317" s="8">
        <v>11.0</v>
      </c>
      <c r="S317" s="9">
        <f t="shared" si="5"/>
        <v>0.001055560887</v>
      </c>
    </row>
    <row r="318" ht="15.75" customHeight="1">
      <c r="A318" s="4" t="s">
        <v>826</v>
      </c>
      <c r="B318" s="4" t="s">
        <v>827</v>
      </c>
      <c r="C318" s="4" t="s">
        <v>776</v>
      </c>
      <c r="D318" s="4">
        <v>2.0</v>
      </c>
      <c r="E318" s="4" t="s">
        <v>66</v>
      </c>
      <c r="F318" s="4" t="s">
        <v>773</v>
      </c>
      <c r="G318" s="12">
        <v>45901.0</v>
      </c>
      <c r="H318" s="8">
        <v>10619.0</v>
      </c>
      <c r="I318" s="8">
        <v>10522.0</v>
      </c>
      <c r="J318" s="8">
        <v>3891.0</v>
      </c>
      <c r="K318" s="9">
        <f t="shared" si="1"/>
        <v>0.3697966166</v>
      </c>
      <c r="L318" s="8">
        <v>1555.0</v>
      </c>
      <c r="M318" s="9">
        <f t="shared" si="2"/>
        <v>0.1477855921</v>
      </c>
      <c r="N318" s="8">
        <v>0.0</v>
      </c>
      <c r="O318" s="9">
        <f t="shared" si="3"/>
        <v>0</v>
      </c>
      <c r="P318" s="10">
        <v>0.0</v>
      </c>
      <c r="Q318" s="11">
        <f t="shared" si="4"/>
        <v>0</v>
      </c>
      <c r="R318" s="8">
        <v>10.0</v>
      </c>
      <c r="S318" s="9">
        <f t="shared" si="5"/>
        <v>0.0009503896598</v>
      </c>
    </row>
    <row r="319" ht="15.75" customHeight="1">
      <c r="A319" s="4" t="s">
        <v>826</v>
      </c>
      <c r="B319" s="4" t="s">
        <v>827</v>
      </c>
      <c r="C319" s="4" t="s">
        <v>776</v>
      </c>
      <c r="D319" s="4">
        <v>2.0</v>
      </c>
      <c r="E319" s="4" t="s">
        <v>66</v>
      </c>
      <c r="F319" s="4" t="s">
        <v>773</v>
      </c>
      <c r="G319" s="12">
        <v>45931.0</v>
      </c>
      <c r="H319" s="8">
        <v>13860.0</v>
      </c>
      <c r="I319" s="8">
        <v>13729.0</v>
      </c>
      <c r="J319" s="8">
        <v>5216.0</v>
      </c>
      <c r="K319" s="9">
        <f t="shared" si="1"/>
        <v>0.3799257047</v>
      </c>
      <c r="L319" s="8">
        <v>2149.0</v>
      </c>
      <c r="M319" s="9">
        <f t="shared" si="2"/>
        <v>0.156529973</v>
      </c>
      <c r="N319" s="8">
        <v>0.0</v>
      </c>
      <c r="O319" s="9">
        <f t="shared" si="3"/>
        <v>0</v>
      </c>
      <c r="P319" s="10">
        <v>0.0</v>
      </c>
      <c r="Q319" s="11">
        <f t="shared" si="4"/>
        <v>0</v>
      </c>
      <c r="R319" s="8">
        <v>12.0</v>
      </c>
      <c r="S319" s="9">
        <f t="shared" si="5"/>
        <v>0.0008740622041</v>
      </c>
    </row>
    <row r="320" ht="15.75" customHeight="1">
      <c r="A320" s="4" t="s">
        <v>826</v>
      </c>
      <c r="B320" s="4" t="s">
        <v>827</v>
      </c>
      <c r="C320" s="4" t="s">
        <v>776</v>
      </c>
      <c r="D320" s="4">
        <v>2.0</v>
      </c>
      <c r="E320" s="4" t="s">
        <v>66</v>
      </c>
      <c r="F320" s="4" t="s">
        <v>773</v>
      </c>
      <c r="G320" s="12">
        <v>45962.0</v>
      </c>
      <c r="H320" s="8">
        <v>13149.0</v>
      </c>
      <c r="I320" s="8">
        <v>13067.0</v>
      </c>
      <c r="J320" s="8">
        <v>4762.0</v>
      </c>
      <c r="K320" s="9">
        <f t="shared" si="1"/>
        <v>0.3644294788</v>
      </c>
      <c r="L320" s="8">
        <v>1772.0</v>
      </c>
      <c r="M320" s="9">
        <f t="shared" si="2"/>
        <v>0.1356087855</v>
      </c>
      <c r="N320" s="8">
        <v>0.0</v>
      </c>
      <c r="O320" s="9">
        <f t="shared" si="3"/>
        <v>0</v>
      </c>
      <c r="P320" s="10">
        <v>0.0</v>
      </c>
      <c r="Q320" s="11">
        <f t="shared" si="4"/>
        <v>0</v>
      </c>
      <c r="R320" s="8">
        <v>6.0</v>
      </c>
      <c r="S320" s="9">
        <f t="shared" si="5"/>
        <v>0.0004591719599</v>
      </c>
    </row>
    <row r="321" ht="15.75" customHeight="1">
      <c r="A321" s="4" t="s">
        <v>826</v>
      </c>
      <c r="B321" s="4" t="s">
        <v>827</v>
      </c>
      <c r="C321" s="4" t="s">
        <v>776</v>
      </c>
      <c r="D321" s="4">
        <v>2.0</v>
      </c>
      <c r="E321" s="4" t="s">
        <v>66</v>
      </c>
      <c r="F321" s="4" t="s">
        <v>773</v>
      </c>
      <c r="G321" s="12">
        <v>45992.0</v>
      </c>
      <c r="H321" s="8">
        <v>13316.0</v>
      </c>
      <c r="I321" s="8">
        <v>13236.0</v>
      </c>
      <c r="J321" s="8">
        <v>5163.0</v>
      </c>
      <c r="K321" s="9">
        <f t="shared" si="1"/>
        <v>0.3900725295</v>
      </c>
      <c r="L321" s="8">
        <v>1987.0</v>
      </c>
      <c r="M321" s="9">
        <f t="shared" si="2"/>
        <v>0.1501208824</v>
      </c>
      <c r="N321" s="8">
        <v>0.0</v>
      </c>
      <c r="O321" s="9">
        <f t="shared" si="3"/>
        <v>0</v>
      </c>
      <c r="P321" s="10">
        <v>0.0</v>
      </c>
      <c r="Q321" s="11">
        <f t="shared" si="4"/>
        <v>0</v>
      </c>
      <c r="R321" s="8">
        <v>12.0</v>
      </c>
      <c r="S321" s="9">
        <f t="shared" si="5"/>
        <v>0.0009066183137</v>
      </c>
    </row>
    <row r="322" ht="15.75" customHeight="1">
      <c r="A322" s="4" t="s">
        <v>826</v>
      </c>
      <c r="B322" s="4" t="s">
        <v>827</v>
      </c>
      <c r="C322" s="4" t="s">
        <v>776</v>
      </c>
      <c r="D322" s="4">
        <v>2.0</v>
      </c>
      <c r="E322" s="4" t="s">
        <v>66</v>
      </c>
      <c r="F322" s="4" t="s">
        <v>773</v>
      </c>
      <c r="G322" s="12">
        <v>46023.0</v>
      </c>
      <c r="H322" s="8">
        <v>8505.0</v>
      </c>
      <c r="I322" s="8">
        <v>8399.0</v>
      </c>
      <c r="J322" s="8">
        <v>3182.0</v>
      </c>
      <c r="K322" s="9">
        <f t="shared" si="1"/>
        <v>0.3788546256</v>
      </c>
      <c r="L322" s="8">
        <v>1142.0</v>
      </c>
      <c r="M322" s="9">
        <f t="shared" si="2"/>
        <v>0.1359685677</v>
      </c>
      <c r="N322" s="8">
        <v>0.0</v>
      </c>
      <c r="O322" s="9">
        <f t="shared" si="3"/>
        <v>0</v>
      </c>
      <c r="P322" s="10">
        <v>0.0</v>
      </c>
      <c r="Q322" s="11">
        <f t="shared" si="4"/>
        <v>0</v>
      </c>
      <c r="R322" s="8">
        <v>9.0</v>
      </c>
      <c r="S322" s="9">
        <f t="shared" si="5"/>
        <v>0.001071556138</v>
      </c>
    </row>
    <row r="323" ht="15.75" customHeight="1">
      <c r="A323" s="4" t="s">
        <v>826</v>
      </c>
      <c r="B323" s="4" t="s">
        <v>827</v>
      </c>
      <c r="C323" s="4" t="s">
        <v>776</v>
      </c>
      <c r="D323" s="4">
        <v>2.0</v>
      </c>
      <c r="E323" s="4" t="s">
        <v>66</v>
      </c>
      <c r="F323" s="4" t="s">
        <v>773</v>
      </c>
      <c r="G323" s="12">
        <v>46054.0</v>
      </c>
      <c r="H323" s="8">
        <v>13061.0</v>
      </c>
      <c r="I323" s="8">
        <v>12995.0</v>
      </c>
      <c r="J323" s="8">
        <v>4650.0</v>
      </c>
      <c r="K323" s="9">
        <f t="shared" si="1"/>
        <v>0.3578299346</v>
      </c>
      <c r="L323" s="8">
        <v>1959.0</v>
      </c>
      <c r="M323" s="9">
        <f t="shared" si="2"/>
        <v>0.1507502886</v>
      </c>
      <c r="N323" s="8">
        <v>0.0</v>
      </c>
      <c r="O323" s="9">
        <f t="shared" si="3"/>
        <v>0</v>
      </c>
      <c r="P323" s="10">
        <v>0.0</v>
      </c>
      <c r="Q323" s="11">
        <f t="shared" si="4"/>
        <v>0</v>
      </c>
      <c r="R323" s="8">
        <v>11.0</v>
      </c>
      <c r="S323" s="9">
        <f t="shared" si="5"/>
        <v>0.0008464794152</v>
      </c>
    </row>
    <row r="324" ht="15.75" customHeight="1">
      <c r="A324" s="4" t="s">
        <v>826</v>
      </c>
      <c r="B324" s="4" t="s">
        <v>827</v>
      </c>
      <c r="C324" s="4" t="s">
        <v>776</v>
      </c>
      <c r="D324" s="4">
        <v>2.0</v>
      </c>
      <c r="E324" s="4" t="s">
        <v>66</v>
      </c>
      <c r="F324" s="4" t="s">
        <v>773</v>
      </c>
      <c r="G324" s="12">
        <v>46082.0</v>
      </c>
      <c r="H324" s="8">
        <v>12127.0</v>
      </c>
      <c r="I324" s="8">
        <v>12094.0</v>
      </c>
      <c r="J324" s="8">
        <v>4728.0</v>
      </c>
      <c r="K324" s="9">
        <f t="shared" si="1"/>
        <v>0.390937655</v>
      </c>
      <c r="L324" s="8">
        <v>1698.0</v>
      </c>
      <c r="M324" s="9">
        <f t="shared" si="2"/>
        <v>0.1404001984</v>
      </c>
      <c r="N324" s="8">
        <v>0.0</v>
      </c>
      <c r="O324" s="9">
        <f t="shared" si="3"/>
        <v>0</v>
      </c>
      <c r="P324" s="10">
        <v>0.0</v>
      </c>
      <c r="Q324" s="11">
        <f t="shared" si="4"/>
        <v>0</v>
      </c>
      <c r="R324" s="8">
        <v>6.0</v>
      </c>
      <c r="S324" s="9">
        <f t="shared" si="5"/>
        <v>0.0004961137754</v>
      </c>
    </row>
    <row r="325" ht="15.75" customHeight="1">
      <c r="A325" s="4" t="s">
        <v>826</v>
      </c>
      <c r="B325" s="4" t="s">
        <v>827</v>
      </c>
      <c r="C325" s="4" t="s">
        <v>776</v>
      </c>
      <c r="D325" s="4">
        <v>2.0</v>
      </c>
      <c r="E325" s="4" t="s">
        <v>66</v>
      </c>
      <c r="F325" s="4" t="s">
        <v>773</v>
      </c>
      <c r="G325" s="12">
        <v>46113.0</v>
      </c>
      <c r="H325" s="8">
        <v>10964.0</v>
      </c>
      <c r="I325" s="8">
        <v>10832.0</v>
      </c>
      <c r="J325" s="8">
        <v>4193.0</v>
      </c>
      <c r="K325" s="9">
        <f t="shared" si="1"/>
        <v>0.3870937962</v>
      </c>
      <c r="L325" s="8">
        <v>1302.0</v>
      </c>
      <c r="M325" s="9">
        <f t="shared" si="2"/>
        <v>0.1201994092</v>
      </c>
      <c r="N325" s="8">
        <v>0.0</v>
      </c>
      <c r="O325" s="9">
        <f t="shared" si="3"/>
        <v>0</v>
      </c>
      <c r="P325" s="10">
        <v>0.0</v>
      </c>
      <c r="Q325" s="11">
        <f t="shared" si="4"/>
        <v>0</v>
      </c>
      <c r="R325" s="8">
        <v>12.0</v>
      </c>
      <c r="S325" s="9">
        <f t="shared" si="5"/>
        <v>0.001107828656</v>
      </c>
    </row>
    <row r="326" ht="15.75" customHeight="1">
      <c r="A326" s="4" t="s">
        <v>828</v>
      </c>
      <c r="B326" s="4" t="s">
        <v>829</v>
      </c>
      <c r="C326" s="4" t="s">
        <v>776</v>
      </c>
      <c r="D326" s="4">
        <v>3.0</v>
      </c>
      <c r="E326" s="4" t="s">
        <v>66</v>
      </c>
      <c r="F326" s="4" t="s">
        <v>773</v>
      </c>
      <c r="G326" s="12">
        <v>45778.0</v>
      </c>
      <c r="H326" s="8">
        <v>2762.0</v>
      </c>
      <c r="I326" s="8">
        <v>2727.0</v>
      </c>
      <c r="J326" s="8">
        <v>1118.0</v>
      </c>
      <c r="K326" s="9">
        <f t="shared" si="1"/>
        <v>0.4099743308</v>
      </c>
      <c r="L326" s="8">
        <v>180.0</v>
      </c>
      <c r="M326" s="9">
        <f t="shared" si="2"/>
        <v>0.06600660066</v>
      </c>
      <c r="N326" s="8">
        <v>45.0</v>
      </c>
      <c r="O326" s="9">
        <f t="shared" si="3"/>
        <v>0.01650165017</v>
      </c>
      <c r="P326" s="10">
        <v>4241.72</v>
      </c>
      <c r="Q326" s="11">
        <f t="shared" si="4"/>
        <v>1.555452879</v>
      </c>
      <c r="R326" s="8">
        <v>4.0</v>
      </c>
      <c r="S326" s="9">
        <f t="shared" si="5"/>
        <v>0.001466813348</v>
      </c>
    </row>
    <row r="327" ht="15.75" customHeight="1">
      <c r="A327" s="4" t="s">
        <v>828</v>
      </c>
      <c r="B327" s="4" t="s">
        <v>829</v>
      </c>
      <c r="C327" s="4" t="s">
        <v>776</v>
      </c>
      <c r="D327" s="4">
        <v>3.0</v>
      </c>
      <c r="E327" s="4" t="s">
        <v>66</v>
      </c>
      <c r="F327" s="4" t="s">
        <v>773</v>
      </c>
      <c r="G327" s="12">
        <v>45809.0</v>
      </c>
      <c r="H327" s="8">
        <v>2788.0</v>
      </c>
      <c r="I327" s="8">
        <v>2765.0</v>
      </c>
      <c r="J327" s="8">
        <v>1103.0</v>
      </c>
      <c r="K327" s="9">
        <f t="shared" si="1"/>
        <v>0.398915009</v>
      </c>
      <c r="L327" s="8">
        <v>191.0</v>
      </c>
      <c r="M327" s="9">
        <f t="shared" si="2"/>
        <v>0.06907775769</v>
      </c>
      <c r="N327" s="8">
        <v>45.0</v>
      </c>
      <c r="O327" s="9">
        <f t="shared" si="3"/>
        <v>0.01627486438</v>
      </c>
      <c r="P327" s="10">
        <v>4144.89</v>
      </c>
      <c r="Q327" s="11">
        <f t="shared" si="4"/>
        <v>1.499056058</v>
      </c>
      <c r="R327" s="8">
        <v>3.0</v>
      </c>
      <c r="S327" s="9">
        <f t="shared" si="5"/>
        <v>0.001084990958</v>
      </c>
    </row>
    <row r="328" ht="15.75" customHeight="1">
      <c r="A328" s="4" t="s">
        <v>828</v>
      </c>
      <c r="B328" s="4" t="s">
        <v>829</v>
      </c>
      <c r="C328" s="4" t="s">
        <v>776</v>
      </c>
      <c r="D328" s="4">
        <v>3.0</v>
      </c>
      <c r="E328" s="4" t="s">
        <v>66</v>
      </c>
      <c r="F328" s="4" t="s">
        <v>773</v>
      </c>
      <c r="G328" s="12">
        <v>45839.0</v>
      </c>
      <c r="H328" s="8">
        <v>2552.0</v>
      </c>
      <c r="I328" s="8">
        <v>2540.0</v>
      </c>
      <c r="J328" s="8">
        <v>1025.0</v>
      </c>
      <c r="K328" s="9">
        <f t="shared" si="1"/>
        <v>0.4035433071</v>
      </c>
      <c r="L328" s="8">
        <v>152.0</v>
      </c>
      <c r="M328" s="9">
        <f t="shared" si="2"/>
        <v>0.05984251969</v>
      </c>
      <c r="N328" s="8">
        <v>50.0</v>
      </c>
      <c r="O328" s="9">
        <f t="shared" si="3"/>
        <v>0.01968503937</v>
      </c>
      <c r="P328" s="10">
        <v>4370.88</v>
      </c>
      <c r="Q328" s="11">
        <f t="shared" si="4"/>
        <v>1.720818898</v>
      </c>
      <c r="R328" s="8">
        <v>4.0</v>
      </c>
      <c r="S328" s="9">
        <f t="shared" si="5"/>
        <v>0.00157480315</v>
      </c>
    </row>
    <row r="329" ht="15.75" customHeight="1">
      <c r="A329" s="4" t="s">
        <v>828</v>
      </c>
      <c r="B329" s="4" t="s">
        <v>829</v>
      </c>
      <c r="C329" s="4" t="s">
        <v>776</v>
      </c>
      <c r="D329" s="4">
        <v>3.0</v>
      </c>
      <c r="E329" s="4" t="s">
        <v>66</v>
      </c>
      <c r="F329" s="4" t="s">
        <v>773</v>
      </c>
      <c r="G329" s="12">
        <v>45870.0</v>
      </c>
      <c r="H329" s="8">
        <v>2356.0</v>
      </c>
      <c r="I329" s="8">
        <v>2334.0</v>
      </c>
      <c r="J329" s="8">
        <v>1012.0</v>
      </c>
      <c r="K329" s="9">
        <f t="shared" si="1"/>
        <v>0.4335904027</v>
      </c>
      <c r="L329" s="8">
        <v>160.0</v>
      </c>
      <c r="M329" s="9">
        <f t="shared" si="2"/>
        <v>0.06855184233</v>
      </c>
      <c r="N329" s="8">
        <v>34.0</v>
      </c>
      <c r="O329" s="9">
        <f t="shared" si="3"/>
        <v>0.0145672665</v>
      </c>
      <c r="P329" s="10">
        <v>3161.62</v>
      </c>
      <c r="Q329" s="11">
        <f t="shared" si="4"/>
        <v>1.354592973</v>
      </c>
      <c r="R329" s="8">
        <v>3.0</v>
      </c>
      <c r="S329" s="9">
        <f t="shared" si="5"/>
        <v>0.001285347044</v>
      </c>
    </row>
    <row r="330" ht="15.75" customHeight="1">
      <c r="A330" s="4" t="s">
        <v>828</v>
      </c>
      <c r="B330" s="4" t="s">
        <v>829</v>
      </c>
      <c r="C330" s="4" t="s">
        <v>776</v>
      </c>
      <c r="D330" s="4">
        <v>3.0</v>
      </c>
      <c r="E330" s="4" t="s">
        <v>66</v>
      </c>
      <c r="F330" s="4" t="s">
        <v>773</v>
      </c>
      <c r="G330" s="12">
        <v>45901.0</v>
      </c>
      <c r="H330" s="8">
        <v>3034.0</v>
      </c>
      <c r="I330" s="8">
        <v>3023.0</v>
      </c>
      <c r="J330" s="8">
        <v>1111.0</v>
      </c>
      <c r="K330" s="9">
        <f t="shared" si="1"/>
        <v>0.3675157129</v>
      </c>
      <c r="L330" s="8">
        <v>207.0</v>
      </c>
      <c r="M330" s="9">
        <f t="shared" si="2"/>
        <v>0.06847502481</v>
      </c>
      <c r="N330" s="8">
        <v>50.0</v>
      </c>
      <c r="O330" s="9">
        <f t="shared" si="3"/>
        <v>0.01653986107</v>
      </c>
      <c r="P330" s="10">
        <v>4383.61</v>
      </c>
      <c r="Q330" s="11">
        <f t="shared" si="4"/>
        <v>1.450086007</v>
      </c>
      <c r="R330" s="8">
        <v>4.0</v>
      </c>
      <c r="S330" s="9">
        <f t="shared" si="5"/>
        <v>0.001323188885</v>
      </c>
    </row>
    <row r="331" ht="15.75" customHeight="1">
      <c r="A331" s="4" t="s">
        <v>828</v>
      </c>
      <c r="B331" s="4" t="s">
        <v>829</v>
      </c>
      <c r="C331" s="4" t="s">
        <v>776</v>
      </c>
      <c r="D331" s="4">
        <v>3.0</v>
      </c>
      <c r="E331" s="4" t="s">
        <v>66</v>
      </c>
      <c r="F331" s="4" t="s">
        <v>773</v>
      </c>
      <c r="G331" s="12">
        <v>45931.0</v>
      </c>
      <c r="H331" s="8">
        <v>3143.0</v>
      </c>
      <c r="I331" s="8">
        <v>3115.0</v>
      </c>
      <c r="J331" s="8">
        <v>1262.0</v>
      </c>
      <c r="K331" s="9">
        <f t="shared" si="1"/>
        <v>0.4051364366</v>
      </c>
      <c r="L331" s="8">
        <v>220.0</v>
      </c>
      <c r="M331" s="9">
        <f t="shared" si="2"/>
        <v>0.07062600321</v>
      </c>
      <c r="N331" s="8">
        <v>55.0</v>
      </c>
      <c r="O331" s="9">
        <f t="shared" si="3"/>
        <v>0.0176565008</v>
      </c>
      <c r="P331" s="10">
        <v>4759.77</v>
      </c>
      <c r="Q331" s="11">
        <f t="shared" si="4"/>
        <v>1.528016051</v>
      </c>
      <c r="R331" s="8">
        <v>1.0</v>
      </c>
      <c r="S331" s="9">
        <f t="shared" si="5"/>
        <v>0.0003210272873</v>
      </c>
    </row>
    <row r="332" ht="15.75" customHeight="1">
      <c r="A332" s="4" t="s">
        <v>828</v>
      </c>
      <c r="B332" s="4" t="s">
        <v>829</v>
      </c>
      <c r="C332" s="4" t="s">
        <v>776</v>
      </c>
      <c r="D332" s="4">
        <v>3.0</v>
      </c>
      <c r="E332" s="4" t="s">
        <v>66</v>
      </c>
      <c r="F332" s="4" t="s">
        <v>773</v>
      </c>
      <c r="G332" s="12">
        <v>45962.0</v>
      </c>
      <c r="H332" s="8">
        <v>3397.0</v>
      </c>
      <c r="I332" s="8">
        <v>3357.0</v>
      </c>
      <c r="J332" s="8">
        <v>1372.0</v>
      </c>
      <c r="K332" s="9">
        <f t="shared" si="1"/>
        <v>0.4086982425</v>
      </c>
      <c r="L332" s="8">
        <v>226.0</v>
      </c>
      <c r="M332" s="9">
        <f t="shared" si="2"/>
        <v>0.0673220137</v>
      </c>
      <c r="N332" s="8">
        <v>64.0</v>
      </c>
      <c r="O332" s="9">
        <f t="shared" si="3"/>
        <v>0.01906464105</v>
      </c>
      <c r="P332" s="10">
        <v>5438.04</v>
      </c>
      <c r="Q332" s="11">
        <f t="shared" si="4"/>
        <v>1.619910634</v>
      </c>
      <c r="R332" s="8">
        <v>2.0</v>
      </c>
      <c r="S332" s="9">
        <f t="shared" si="5"/>
        <v>0.0005957700328</v>
      </c>
    </row>
    <row r="333" ht="15.75" customHeight="1">
      <c r="A333" s="4" t="s">
        <v>828</v>
      </c>
      <c r="B333" s="4" t="s">
        <v>829</v>
      </c>
      <c r="C333" s="4" t="s">
        <v>776</v>
      </c>
      <c r="D333" s="4">
        <v>3.0</v>
      </c>
      <c r="E333" s="4" t="s">
        <v>66</v>
      </c>
      <c r="F333" s="4" t="s">
        <v>773</v>
      </c>
      <c r="G333" s="12">
        <v>45992.0</v>
      </c>
      <c r="H333" s="8">
        <v>3039.0</v>
      </c>
      <c r="I333" s="8">
        <v>3016.0</v>
      </c>
      <c r="J333" s="8">
        <v>1098.0</v>
      </c>
      <c r="K333" s="9">
        <f t="shared" si="1"/>
        <v>0.3640583554</v>
      </c>
      <c r="L333" s="8">
        <v>202.0</v>
      </c>
      <c r="M333" s="9">
        <f t="shared" si="2"/>
        <v>0.06697612732</v>
      </c>
      <c r="N333" s="8">
        <v>61.0</v>
      </c>
      <c r="O333" s="9">
        <f t="shared" si="3"/>
        <v>0.02022546419</v>
      </c>
      <c r="P333" s="10">
        <v>4637.96</v>
      </c>
      <c r="Q333" s="11">
        <f t="shared" si="4"/>
        <v>1.537785146</v>
      </c>
      <c r="R333" s="8">
        <v>4.0</v>
      </c>
      <c r="S333" s="9">
        <f t="shared" si="5"/>
        <v>0.001326259947</v>
      </c>
    </row>
    <row r="334" ht="15.75" customHeight="1">
      <c r="A334" s="4" t="s">
        <v>828</v>
      </c>
      <c r="B334" s="4" t="s">
        <v>829</v>
      </c>
      <c r="C334" s="4" t="s">
        <v>776</v>
      </c>
      <c r="D334" s="4">
        <v>3.0</v>
      </c>
      <c r="E334" s="4" t="s">
        <v>66</v>
      </c>
      <c r="F334" s="4" t="s">
        <v>773</v>
      </c>
      <c r="G334" s="12">
        <v>46023.0</v>
      </c>
      <c r="H334" s="8">
        <v>2469.0</v>
      </c>
      <c r="I334" s="8">
        <v>2444.0</v>
      </c>
      <c r="J334" s="8">
        <v>960.0</v>
      </c>
      <c r="K334" s="9">
        <f t="shared" si="1"/>
        <v>0.3927986907</v>
      </c>
      <c r="L334" s="8">
        <v>196.0</v>
      </c>
      <c r="M334" s="9">
        <f t="shared" si="2"/>
        <v>0.08019639935</v>
      </c>
      <c r="N334" s="8">
        <v>42.0</v>
      </c>
      <c r="O334" s="9">
        <f t="shared" si="3"/>
        <v>0.01718494272</v>
      </c>
      <c r="P334" s="10">
        <v>3178.18</v>
      </c>
      <c r="Q334" s="11">
        <f t="shared" si="4"/>
        <v>1.300400982</v>
      </c>
      <c r="R334" s="8">
        <v>1.0</v>
      </c>
      <c r="S334" s="9">
        <f t="shared" si="5"/>
        <v>0.0004091653028</v>
      </c>
    </row>
    <row r="335" ht="15.75" customHeight="1">
      <c r="A335" s="4" t="s">
        <v>828</v>
      </c>
      <c r="B335" s="4" t="s">
        <v>829</v>
      </c>
      <c r="C335" s="4" t="s">
        <v>776</v>
      </c>
      <c r="D335" s="4">
        <v>3.0</v>
      </c>
      <c r="E335" s="4" t="s">
        <v>66</v>
      </c>
      <c r="F335" s="4" t="s">
        <v>773</v>
      </c>
      <c r="G335" s="12">
        <v>46054.0</v>
      </c>
      <c r="H335" s="8">
        <v>2834.0</v>
      </c>
      <c r="I335" s="8">
        <v>2802.0</v>
      </c>
      <c r="J335" s="8">
        <v>1009.0</v>
      </c>
      <c r="K335" s="9">
        <f t="shared" si="1"/>
        <v>0.3600999286</v>
      </c>
      <c r="L335" s="8">
        <v>207.0</v>
      </c>
      <c r="M335" s="9">
        <f t="shared" si="2"/>
        <v>0.073875803</v>
      </c>
      <c r="N335" s="8">
        <v>57.0</v>
      </c>
      <c r="O335" s="9">
        <f t="shared" si="3"/>
        <v>0.02034261242</v>
      </c>
      <c r="P335" s="10">
        <v>3716.89</v>
      </c>
      <c r="Q335" s="11">
        <f t="shared" si="4"/>
        <v>1.326513205</v>
      </c>
      <c r="R335" s="8">
        <v>1.0</v>
      </c>
      <c r="S335" s="9">
        <f t="shared" si="5"/>
        <v>0.0003568879372</v>
      </c>
    </row>
    <row r="336" ht="15.75" customHeight="1">
      <c r="A336" s="4" t="s">
        <v>828</v>
      </c>
      <c r="B336" s="4" t="s">
        <v>829</v>
      </c>
      <c r="C336" s="4" t="s">
        <v>776</v>
      </c>
      <c r="D336" s="4">
        <v>3.0</v>
      </c>
      <c r="E336" s="4" t="s">
        <v>66</v>
      </c>
      <c r="F336" s="4" t="s">
        <v>773</v>
      </c>
      <c r="G336" s="12">
        <v>46082.0</v>
      </c>
      <c r="H336" s="8">
        <v>2973.0</v>
      </c>
      <c r="I336" s="8">
        <v>2929.0</v>
      </c>
      <c r="J336" s="8">
        <v>1215.0</v>
      </c>
      <c r="K336" s="9">
        <f t="shared" si="1"/>
        <v>0.4148173438</v>
      </c>
      <c r="L336" s="8">
        <v>200.0</v>
      </c>
      <c r="M336" s="9">
        <f t="shared" si="2"/>
        <v>0.06828269034</v>
      </c>
      <c r="N336" s="8">
        <v>53.0</v>
      </c>
      <c r="O336" s="9">
        <f t="shared" si="3"/>
        <v>0.01809491294</v>
      </c>
      <c r="P336" s="10">
        <v>4289.6</v>
      </c>
      <c r="Q336" s="11">
        <f t="shared" si="4"/>
        <v>1.464527142</v>
      </c>
      <c r="R336" s="8">
        <v>0.0</v>
      </c>
      <c r="S336" s="9">
        <f t="shared" si="5"/>
        <v>0</v>
      </c>
    </row>
    <row r="337" ht="15.75" customHeight="1">
      <c r="A337" s="4" t="s">
        <v>828</v>
      </c>
      <c r="B337" s="4" t="s">
        <v>829</v>
      </c>
      <c r="C337" s="4" t="s">
        <v>776</v>
      </c>
      <c r="D337" s="4">
        <v>3.0</v>
      </c>
      <c r="E337" s="4" t="s">
        <v>66</v>
      </c>
      <c r="F337" s="4" t="s">
        <v>773</v>
      </c>
      <c r="G337" s="12">
        <v>46113.0</v>
      </c>
      <c r="H337" s="8">
        <v>2774.0</v>
      </c>
      <c r="I337" s="8">
        <v>2733.0</v>
      </c>
      <c r="J337" s="8">
        <v>1045.0</v>
      </c>
      <c r="K337" s="9">
        <f t="shared" si="1"/>
        <v>0.3823637029</v>
      </c>
      <c r="L337" s="8">
        <v>195.0</v>
      </c>
      <c r="M337" s="9">
        <f t="shared" si="2"/>
        <v>0.07135016465</v>
      </c>
      <c r="N337" s="8">
        <v>45.0</v>
      </c>
      <c r="O337" s="9">
        <f t="shared" si="3"/>
        <v>0.01646542261</v>
      </c>
      <c r="P337" s="10">
        <v>3604.76</v>
      </c>
      <c r="Q337" s="11">
        <f t="shared" si="4"/>
        <v>1.318975485</v>
      </c>
      <c r="R337" s="8">
        <v>3.0</v>
      </c>
      <c r="S337" s="9">
        <f t="shared" si="5"/>
        <v>0.001097694841</v>
      </c>
    </row>
    <row r="338" ht="15.75" customHeight="1">
      <c r="A338" s="4" t="s">
        <v>830</v>
      </c>
      <c r="B338" s="4" t="s">
        <v>831</v>
      </c>
      <c r="C338" s="4" t="s">
        <v>776</v>
      </c>
      <c r="D338" s="4">
        <v>2.0</v>
      </c>
      <c r="E338" s="4" t="s">
        <v>66</v>
      </c>
      <c r="F338" s="4" t="s">
        <v>773</v>
      </c>
      <c r="G338" s="12">
        <v>45778.0</v>
      </c>
      <c r="H338" s="8">
        <v>82677.0</v>
      </c>
      <c r="I338" s="8">
        <v>81658.0</v>
      </c>
      <c r="J338" s="8">
        <v>34269.0</v>
      </c>
      <c r="K338" s="9">
        <f t="shared" si="1"/>
        <v>0.419664944</v>
      </c>
      <c r="L338" s="8">
        <v>7143.0</v>
      </c>
      <c r="M338" s="9">
        <f t="shared" si="2"/>
        <v>0.08747458914</v>
      </c>
      <c r="N338" s="8">
        <v>1916.0</v>
      </c>
      <c r="O338" s="9">
        <f t="shared" si="3"/>
        <v>0.02346371452</v>
      </c>
      <c r="P338" s="10">
        <v>69816.67</v>
      </c>
      <c r="Q338" s="11">
        <f t="shared" si="4"/>
        <v>0.8549887335</v>
      </c>
      <c r="R338" s="8">
        <v>66.0</v>
      </c>
      <c r="S338" s="9">
        <f t="shared" si="5"/>
        <v>0.0008082490387</v>
      </c>
    </row>
    <row r="339" ht="15.75" customHeight="1">
      <c r="A339" s="4" t="s">
        <v>830</v>
      </c>
      <c r="B339" s="4" t="s">
        <v>831</v>
      </c>
      <c r="C339" s="4" t="s">
        <v>776</v>
      </c>
      <c r="D339" s="4">
        <v>2.0</v>
      </c>
      <c r="E339" s="4" t="s">
        <v>66</v>
      </c>
      <c r="F339" s="4" t="s">
        <v>773</v>
      </c>
      <c r="G339" s="12">
        <v>45809.0</v>
      </c>
      <c r="H339" s="8">
        <v>73697.0</v>
      </c>
      <c r="I339" s="8">
        <v>72784.0</v>
      </c>
      <c r="J339" s="8">
        <v>31562.0</v>
      </c>
      <c r="K339" s="9">
        <f t="shared" si="1"/>
        <v>0.4336392614</v>
      </c>
      <c r="L339" s="8">
        <v>6650.0</v>
      </c>
      <c r="M339" s="9">
        <f t="shared" si="2"/>
        <v>0.09136623434</v>
      </c>
      <c r="N339" s="8">
        <v>1329.0</v>
      </c>
      <c r="O339" s="9">
        <f t="shared" si="3"/>
        <v>0.01825950758</v>
      </c>
      <c r="P339" s="10">
        <v>76411.94</v>
      </c>
      <c r="Q339" s="11">
        <f t="shared" si="4"/>
        <v>1.049845296</v>
      </c>
      <c r="R339" s="8">
        <v>48.0</v>
      </c>
      <c r="S339" s="9">
        <f t="shared" si="5"/>
        <v>0.0006594856012</v>
      </c>
    </row>
    <row r="340" ht="15.75" customHeight="1">
      <c r="A340" s="4" t="s">
        <v>830</v>
      </c>
      <c r="B340" s="4" t="s">
        <v>831</v>
      </c>
      <c r="C340" s="4" t="s">
        <v>776</v>
      </c>
      <c r="D340" s="4">
        <v>2.0</v>
      </c>
      <c r="E340" s="4" t="s">
        <v>66</v>
      </c>
      <c r="F340" s="4" t="s">
        <v>773</v>
      </c>
      <c r="G340" s="12">
        <v>45839.0</v>
      </c>
      <c r="H340" s="8">
        <v>56888.0</v>
      </c>
      <c r="I340" s="8">
        <v>56254.0</v>
      </c>
      <c r="J340" s="8">
        <v>24043.0</v>
      </c>
      <c r="K340" s="9">
        <f t="shared" si="1"/>
        <v>0.4274007182</v>
      </c>
      <c r="L340" s="8">
        <v>4911.0</v>
      </c>
      <c r="M340" s="9">
        <f t="shared" si="2"/>
        <v>0.08730045863</v>
      </c>
      <c r="N340" s="8">
        <v>1299.0</v>
      </c>
      <c r="O340" s="9">
        <f t="shared" si="3"/>
        <v>0.02309169126</v>
      </c>
      <c r="P340" s="10">
        <v>60783.19</v>
      </c>
      <c r="Q340" s="11">
        <f t="shared" si="4"/>
        <v>1.080513208</v>
      </c>
      <c r="R340" s="8">
        <v>85.0</v>
      </c>
      <c r="S340" s="9">
        <f t="shared" si="5"/>
        <v>0.001511003662</v>
      </c>
    </row>
    <row r="341" ht="15.75" customHeight="1">
      <c r="A341" s="4" t="s">
        <v>830</v>
      </c>
      <c r="B341" s="4" t="s">
        <v>831</v>
      </c>
      <c r="C341" s="4" t="s">
        <v>776</v>
      </c>
      <c r="D341" s="4">
        <v>2.0</v>
      </c>
      <c r="E341" s="4" t="s">
        <v>66</v>
      </c>
      <c r="F341" s="4" t="s">
        <v>773</v>
      </c>
      <c r="G341" s="12">
        <v>45870.0</v>
      </c>
      <c r="H341" s="8">
        <v>66115.0</v>
      </c>
      <c r="I341" s="8">
        <v>65631.0</v>
      </c>
      <c r="J341" s="8">
        <v>26065.0</v>
      </c>
      <c r="K341" s="9">
        <f t="shared" si="1"/>
        <v>0.397144642</v>
      </c>
      <c r="L341" s="8">
        <v>5355.0</v>
      </c>
      <c r="M341" s="9">
        <f t="shared" si="2"/>
        <v>0.08159254011</v>
      </c>
      <c r="N341" s="8">
        <v>1461.0</v>
      </c>
      <c r="O341" s="9">
        <f t="shared" si="3"/>
        <v>0.02226082187</v>
      </c>
      <c r="P341" s="10">
        <v>60985.98</v>
      </c>
      <c r="Q341" s="11">
        <f t="shared" si="4"/>
        <v>0.9292252137</v>
      </c>
      <c r="R341" s="8">
        <v>58.0</v>
      </c>
      <c r="S341" s="9">
        <f t="shared" si="5"/>
        <v>0.0008837287258</v>
      </c>
    </row>
    <row r="342" ht="15.75" customHeight="1">
      <c r="A342" s="4" t="s">
        <v>830</v>
      </c>
      <c r="B342" s="4" t="s">
        <v>831</v>
      </c>
      <c r="C342" s="4" t="s">
        <v>776</v>
      </c>
      <c r="D342" s="4">
        <v>2.0</v>
      </c>
      <c r="E342" s="4" t="s">
        <v>66</v>
      </c>
      <c r="F342" s="4" t="s">
        <v>773</v>
      </c>
      <c r="G342" s="12">
        <v>45901.0</v>
      </c>
      <c r="H342" s="8">
        <v>59363.0</v>
      </c>
      <c r="I342" s="8">
        <v>59108.0</v>
      </c>
      <c r="J342" s="8">
        <v>24853.0</v>
      </c>
      <c r="K342" s="9">
        <f t="shared" si="1"/>
        <v>0.4204676186</v>
      </c>
      <c r="L342" s="8">
        <v>4444.0</v>
      </c>
      <c r="M342" s="9">
        <f t="shared" si="2"/>
        <v>0.0751844082</v>
      </c>
      <c r="N342" s="8">
        <v>1385.0</v>
      </c>
      <c r="O342" s="9">
        <f t="shared" si="3"/>
        <v>0.02343168437</v>
      </c>
      <c r="P342" s="10">
        <v>53008.39</v>
      </c>
      <c r="Q342" s="11">
        <f t="shared" si="4"/>
        <v>0.8968056777</v>
      </c>
      <c r="R342" s="8">
        <v>59.0</v>
      </c>
      <c r="S342" s="9">
        <f t="shared" si="5"/>
        <v>0.0009981728362</v>
      </c>
    </row>
    <row r="343" ht="15.75" customHeight="1">
      <c r="A343" s="4" t="s">
        <v>830</v>
      </c>
      <c r="B343" s="4" t="s">
        <v>831</v>
      </c>
      <c r="C343" s="4" t="s">
        <v>776</v>
      </c>
      <c r="D343" s="4">
        <v>2.0</v>
      </c>
      <c r="E343" s="4" t="s">
        <v>66</v>
      </c>
      <c r="F343" s="4" t="s">
        <v>773</v>
      </c>
      <c r="G343" s="12">
        <v>45931.0</v>
      </c>
      <c r="H343" s="8">
        <v>69218.0</v>
      </c>
      <c r="I343" s="8">
        <v>68643.0</v>
      </c>
      <c r="J343" s="8">
        <v>30017.0</v>
      </c>
      <c r="K343" s="9">
        <f t="shared" si="1"/>
        <v>0.4372914937</v>
      </c>
      <c r="L343" s="8">
        <v>5569.0</v>
      </c>
      <c r="M343" s="9">
        <f t="shared" si="2"/>
        <v>0.081129904</v>
      </c>
      <c r="N343" s="8">
        <v>1740.0</v>
      </c>
      <c r="O343" s="9">
        <f t="shared" si="3"/>
        <v>0.02534854246</v>
      </c>
      <c r="P343" s="10">
        <v>67711.89</v>
      </c>
      <c r="Q343" s="11">
        <f t="shared" si="4"/>
        <v>0.9864354705</v>
      </c>
      <c r="R343" s="8">
        <v>80.0</v>
      </c>
      <c r="S343" s="9">
        <f t="shared" si="5"/>
        <v>0.001165450228</v>
      </c>
    </row>
    <row r="344" ht="15.75" customHeight="1">
      <c r="A344" s="4" t="s">
        <v>830</v>
      </c>
      <c r="B344" s="4" t="s">
        <v>831</v>
      </c>
      <c r="C344" s="4" t="s">
        <v>776</v>
      </c>
      <c r="D344" s="4">
        <v>2.0</v>
      </c>
      <c r="E344" s="4" t="s">
        <v>66</v>
      </c>
      <c r="F344" s="4" t="s">
        <v>773</v>
      </c>
      <c r="G344" s="12">
        <v>45962.0</v>
      </c>
      <c r="H344" s="8">
        <v>86247.0</v>
      </c>
      <c r="I344" s="8">
        <v>85513.0</v>
      </c>
      <c r="J344" s="8">
        <v>37301.0</v>
      </c>
      <c r="K344" s="9">
        <f t="shared" si="1"/>
        <v>0.4362026826</v>
      </c>
      <c r="L344" s="8">
        <v>7505.0</v>
      </c>
      <c r="M344" s="9">
        <f t="shared" si="2"/>
        <v>0.08776443348</v>
      </c>
      <c r="N344" s="8">
        <v>2210.0</v>
      </c>
      <c r="O344" s="9">
        <f t="shared" si="3"/>
        <v>0.02584402372</v>
      </c>
      <c r="P344" s="10">
        <v>75581.67</v>
      </c>
      <c r="Q344" s="11">
        <f t="shared" si="4"/>
        <v>0.883861752</v>
      </c>
      <c r="R344" s="8">
        <v>118.0</v>
      </c>
      <c r="S344" s="9">
        <f t="shared" si="5"/>
        <v>0.001379907149</v>
      </c>
    </row>
    <row r="345" ht="15.75" customHeight="1">
      <c r="A345" s="4" t="s">
        <v>830</v>
      </c>
      <c r="B345" s="4" t="s">
        <v>831</v>
      </c>
      <c r="C345" s="4" t="s">
        <v>776</v>
      </c>
      <c r="D345" s="4">
        <v>2.0</v>
      </c>
      <c r="E345" s="4" t="s">
        <v>66</v>
      </c>
      <c r="F345" s="4" t="s">
        <v>773</v>
      </c>
      <c r="G345" s="12">
        <v>45992.0</v>
      </c>
      <c r="H345" s="8">
        <v>92877.0</v>
      </c>
      <c r="I345" s="8">
        <v>92513.0</v>
      </c>
      <c r="J345" s="8">
        <v>42649.0</v>
      </c>
      <c r="K345" s="9">
        <f t="shared" si="1"/>
        <v>0.4610054803</v>
      </c>
      <c r="L345" s="8">
        <v>8366.0</v>
      </c>
      <c r="M345" s="9">
        <f t="shared" si="2"/>
        <v>0.09043053409</v>
      </c>
      <c r="N345" s="8">
        <v>2219.0</v>
      </c>
      <c r="O345" s="9">
        <f t="shared" si="3"/>
        <v>0.02398581821</v>
      </c>
      <c r="P345" s="10">
        <v>76283.1</v>
      </c>
      <c r="Q345" s="11">
        <f t="shared" si="4"/>
        <v>0.8245662772</v>
      </c>
      <c r="R345" s="8">
        <v>59.0</v>
      </c>
      <c r="S345" s="9">
        <f t="shared" si="5"/>
        <v>0.0006377482084</v>
      </c>
    </row>
    <row r="346" ht="15.75" customHeight="1">
      <c r="A346" s="4" t="s">
        <v>830</v>
      </c>
      <c r="B346" s="4" t="s">
        <v>831</v>
      </c>
      <c r="C346" s="4" t="s">
        <v>776</v>
      </c>
      <c r="D346" s="4">
        <v>2.0</v>
      </c>
      <c r="E346" s="4" t="s">
        <v>66</v>
      </c>
      <c r="F346" s="4" t="s">
        <v>773</v>
      </c>
      <c r="G346" s="12">
        <v>46023.0</v>
      </c>
      <c r="H346" s="8">
        <v>57149.0</v>
      </c>
      <c r="I346" s="8">
        <v>56470.0</v>
      </c>
      <c r="J346" s="8">
        <v>25120.0</v>
      </c>
      <c r="K346" s="9">
        <f t="shared" si="1"/>
        <v>0.4448379671</v>
      </c>
      <c r="L346" s="8">
        <v>4877.0</v>
      </c>
      <c r="M346" s="9">
        <f t="shared" si="2"/>
        <v>0.0863644413</v>
      </c>
      <c r="N346" s="8">
        <v>1413.0</v>
      </c>
      <c r="O346" s="9">
        <f t="shared" si="3"/>
        <v>0.02502213565</v>
      </c>
      <c r="P346" s="10">
        <v>52202.23</v>
      </c>
      <c r="Q346" s="11">
        <f t="shared" si="4"/>
        <v>0.924424119</v>
      </c>
      <c r="R346" s="8">
        <v>99.0</v>
      </c>
      <c r="S346" s="9">
        <f t="shared" si="5"/>
        <v>0.001753143262</v>
      </c>
    </row>
    <row r="347" ht="15.75" customHeight="1">
      <c r="A347" s="4" t="s">
        <v>830</v>
      </c>
      <c r="B347" s="4" t="s">
        <v>831</v>
      </c>
      <c r="C347" s="4" t="s">
        <v>776</v>
      </c>
      <c r="D347" s="4">
        <v>2.0</v>
      </c>
      <c r="E347" s="4" t="s">
        <v>66</v>
      </c>
      <c r="F347" s="4" t="s">
        <v>773</v>
      </c>
      <c r="G347" s="12">
        <v>46054.0</v>
      </c>
      <c r="H347" s="8">
        <v>84025.0</v>
      </c>
      <c r="I347" s="8">
        <v>83457.0</v>
      </c>
      <c r="J347" s="8">
        <v>37962.0</v>
      </c>
      <c r="K347" s="9">
        <f t="shared" si="1"/>
        <v>0.4548689744</v>
      </c>
      <c r="L347" s="8">
        <v>6209.0</v>
      </c>
      <c r="M347" s="9">
        <f t="shared" si="2"/>
        <v>0.07439759397</v>
      </c>
      <c r="N347" s="8">
        <v>1679.0</v>
      </c>
      <c r="O347" s="9">
        <f t="shared" si="3"/>
        <v>0.02011814467</v>
      </c>
      <c r="P347" s="10">
        <v>71211.06</v>
      </c>
      <c r="Q347" s="11">
        <f t="shared" si="4"/>
        <v>0.8532664726</v>
      </c>
      <c r="R347" s="8">
        <v>122.0</v>
      </c>
      <c r="S347" s="9">
        <f t="shared" si="5"/>
        <v>0.001461830643</v>
      </c>
    </row>
    <row r="348" ht="15.75" customHeight="1">
      <c r="A348" s="4" t="s">
        <v>830</v>
      </c>
      <c r="B348" s="4" t="s">
        <v>831</v>
      </c>
      <c r="C348" s="4" t="s">
        <v>776</v>
      </c>
      <c r="D348" s="4">
        <v>2.0</v>
      </c>
      <c r="E348" s="4" t="s">
        <v>66</v>
      </c>
      <c r="F348" s="4" t="s">
        <v>773</v>
      </c>
      <c r="G348" s="12">
        <v>46082.0</v>
      </c>
      <c r="H348" s="8">
        <v>65747.0</v>
      </c>
      <c r="I348" s="8">
        <v>64964.0</v>
      </c>
      <c r="J348" s="8">
        <v>24992.0</v>
      </c>
      <c r="K348" s="9">
        <f t="shared" si="1"/>
        <v>0.3847053753</v>
      </c>
      <c r="L348" s="8">
        <v>4460.0</v>
      </c>
      <c r="M348" s="9">
        <f t="shared" si="2"/>
        <v>0.06865340804</v>
      </c>
      <c r="N348" s="8">
        <v>1599.0</v>
      </c>
      <c r="O348" s="9">
        <f t="shared" si="3"/>
        <v>0.02461363217</v>
      </c>
      <c r="P348" s="10">
        <v>58208.01</v>
      </c>
      <c r="Q348" s="11">
        <f t="shared" si="4"/>
        <v>0.8960040946</v>
      </c>
      <c r="R348" s="8">
        <v>73.0</v>
      </c>
      <c r="S348" s="9">
        <f t="shared" si="5"/>
        <v>0.00112369928</v>
      </c>
    </row>
    <row r="349" ht="15.75" customHeight="1">
      <c r="A349" s="4" t="s">
        <v>830</v>
      </c>
      <c r="B349" s="4" t="s">
        <v>831</v>
      </c>
      <c r="C349" s="4" t="s">
        <v>776</v>
      </c>
      <c r="D349" s="4">
        <v>2.0</v>
      </c>
      <c r="E349" s="4" t="s">
        <v>66</v>
      </c>
      <c r="F349" s="4" t="s">
        <v>773</v>
      </c>
      <c r="G349" s="12">
        <v>46113.0</v>
      </c>
      <c r="H349" s="8">
        <v>78022.0</v>
      </c>
      <c r="I349" s="8">
        <v>77279.0</v>
      </c>
      <c r="J349" s="8">
        <v>35617.0</v>
      </c>
      <c r="K349" s="9">
        <f t="shared" si="1"/>
        <v>0.4608884691</v>
      </c>
      <c r="L349" s="8">
        <v>5629.0</v>
      </c>
      <c r="M349" s="9">
        <f t="shared" si="2"/>
        <v>0.07283996946</v>
      </c>
      <c r="N349" s="8">
        <v>1545.0</v>
      </c>
      <c r="O349" s="9">
        <f t="shared" si="3"/>
        <v>0.01999249473</v>
      </c>
      <c r="P349" s="10">
        <v>63044.63</v>
      </c>
      <c r="Q349" s="11">
        <f t="shared" si="4"/>
        <v>0.8158054581</v>
      </c>
      <c r="R349" s="8">
        <v>126.0</v>
      </c>
      <c r="S349" s="9">
        <f t="shared" si="5"/>
        <v>0.001630455881</v>
      </c>
    </row>
    <row r="350" ht="15.75" customHeight="1">
      <c r="A350" s="4" t="s">
        <v>832</v>
      </c>
      <c r="B350" s="4" t="s">
        <v>833</v>
      </c>
      <c r="C350" s="4" t="s">
        <v>801</v>
      </c>
      <c r="D350" s="4">
        <v>1.0</v>
      </c>
      <c r="E350" s="4" t="s">
        <v>66</v>
      </c>
      <c r="F350" s="4" t="s">
        <v>773</v>
      </c>
      <c r="G350" s="12">
        <v>45778.0</v>
      </c>
      <c r="H350" s="8">
        <v>2253.0</v>
      </c>
      <c r="I350" s="8">
        <v>2235.0</v>
      </c>
      <c r="J350" s="8">
        <v>878.0</v>
      </c>
      <c r="K350" s="9">
        <f t="shared" si="1"/>
        <v>0.3928411633</v>
      </c>
      <c r="L350" s="8">
        <v>154.0</v>
      </c>
      <c r="M350" s="9">
        <f t="shared" si="2"/>
        <v>0.06890380313</v>
      </c>
      <c r="N350" s="8">
        <v>36.0</v>
      </c>
      <c r="O350" s="9">
        <f t="shared" si="3"/>
        <v>0.01610738255</v>
      </c>
      <c r="P350" s="10">
        <v>1939.39</v>
      </c>
      <c r="Q350" s="11">
        <f t="shared" si="4"/>
        <v>0.8677360179</v>
      </c>
      <c r="R350" s="8">
        <v>0.0</v>
      </c>
      <c r="S350" s="9">
        <f t="shared" si="5"/>
        <v>0</v>
      </c>
    </row>
    <row r="351" ht="15.75" customHeight="1">
      <c r="A351" s="4" t="s">
        <v>832</v>
      </c>
      <c r="B351" s="4" t="s">
        <v>833</v>
      </c>
      <c r="C351" s="4" t="s">
        <v>801</v>
      </c>
      <c r="D351" s="4">
        <v>1.0</v>
      </c>
      <c r="E351" s="4" t="s">
        <v>66</v>
      </c>
      <c r="F351" s="4" t="s">
        <v>773</v>
      </c>
      <c r="G351" s="12">
        <v>45809.0</v>
      </c>
      <c r="H351" s="8">
        <v>2232.0</v>
      </c>
      <c r="I351" s="8">
        <v>2207.0</v>
      </c>
      <c r="J351" s="8">
        <v>797.0</v>
      </c>
      <c r="K351" s="9">
        <f t="shared" si="1"/>
        <v>0.3611236973</v>
      </c>
      <c r="L351" s="8">
        <v>153.0</v>
      </c>
      <c r="M351" s="9">
        <f t="shared" si="2"/>
        <v>0.0693248754</v>
      </c>
      <c r="N351" s="8">
        <v>39.0</v>
      </c>
      <c r="O351" s="9">
        <f t="shared" si="3"/>
        <v>0.01767104667</v>
      </c>
      <c r="P351" s="10">
        <v>1975.76</v>
      </c>
      <c r="Q351" s="11">
        <f t="shared" si="4"/>
        <v>0.8952242864</v>
      </c>
      <c r="R351" s="8">
        <v>3.0</v>
      </c>
      <c r="S351" s="9">
        <f t="shared" si="5"/>
        <v>0.001359311282</v>
      </c>
    </row>
    <row r="352" ht="15.75" customHeight="1">
      <c r="A352" s="4" t="s">
        <v>832</v>
      </c>
      <c r="B352" s="4" t="s">
        <v>833</v>
      </c>
      <c r="C352" s="4" t="s">
        <v>801</v>
      </c>
      <c r="D352" s="4">
        <v>1.0</v>
      </c>
      <c r="E352" s="4" t="s">
        <v>66</v>
      </c>
      <c r="F352" s="4" t="s">
        <v>773</v>
      </c>
      <c r="G352" s="12">
        <v>45839.0</v>
      </c>
      <c r="H352" s="8">
        <v>2108.0</v>
      </c>
      <c r="I352" s="8">
        <v>2087.0</v>
      </c>
      <c r="J352" s="8">
        <v>857.0</v>
      </c>
      <c r="K352" s="9">
        <f t="shared" si="1"/>
        <v>0.4106372784</v>
      </c>
      <c r="L352" s="8">
        <v>184.0</v>
      </c>
      <c r="M352" s="9">
        <f t="shared" si="2"/>
        <v>0.0881648299</v>
      </c>
      <c r="N352" s="8">
        <v>27.0</v>
      </c>
      <c r="O352" s="9">
        <f t="shared" si="3"/>
        <v>0.01293723047</v>
      </c>
      <c r="P352" s="10">
        <v>1705.15</v>
      </c>
      <c r="Q352" s="11">
        <f t="shared" si="4"/>
        <v>0.8170340201</v>
      </c>
      <c r="R352" s="8">
        <v>2.0</v>
      </c>
      <c r="S352" s="9">
        <f t="shared" si="5"/>
        <v>0.0009583133685</v>
      </c>
    </row>
    <row r="353" ht="15.75" customHeight="1">
      <c r="A353" s="4" t="s">
        <v>832</v>
      </c>
      <c r="B353" s="4" t="s">
        <v>833</v>
      </c>
      <c r="C353" s="4" t="s">
        <v>801</v>
      </c>
      <c r="D353" s="4">
        <v>1.0</v>
      </c>
      <c r="E353" s="4" t="s">
        <v>66</v>
      </c>
      <c r="F353" s="4" t="s">
        <v>773</v>
      </c>
      <c r="G353" s="12">
        <v>45870.0</v>
      </c>
      <c r="H353" s="8">
        <v>1767.0</v>
      </c>
      <c r="I353" s="8">
        <v>1755.0</v>
      </c>
      <c r="J353" s="8">
        <v>679.0</v>
      </c>
      <c r="K353" s="9">
        <f t="shared" si="1"/>
        <v>0.3868945869</v>
      </c>
      <c r="L353" s="8">
        <v>151.0</v>
      </c>
      <c r="M353" s="9">
        <f t="shared" si="2"/>
        <v>0.08603988604</v>
      </c>
      <c r="N353" s="8">
        <v>26.0</v>
      </c>
      <c r="O353" s="9">
        <f t="shared" si="3"/>
        <v>0.01481481481</v>
      </c>
      <c r="P353" s="10">
        <v>1402.51</v>
      </c>
      <c r="Q353" s="11">
        <f t="shared" si="4"/>
        <v>0.7991509972</v>
      </c>
      <c r="R353" s="8">
        <v>0.0</v>
      </c>
      <c r="S353" s="9">
        <f t="shared" si="5"/>
        <v>0</v>
      </c>
    </row>
    <row r="354" ht="15.75" customHeight="1">
      <c r="A354" s="4" t="s">
        <v>832</v>
      </c>
      <c r="B354" s="4" t="s">
        <v>833</v>
      </c>
      <c r="C354" s="4" t="s">
        <v>801</v>
      </c>
      <c r="D354" s="4">
        <v>1.0</v>
      </c>
      <c r="E354" s="4" t="s">
        <v>66</v>
      </c>
      <c r="F354" s="4" t="s">
        <v>773</v>
      </c>
      <c r="G354" s="12">
        <v>45901.0</v>
      </c>
      <c r="H354" s="8">
        <v>2162.0</v>
      </c>
      <c r="I354" s="8">
        <v>2151.0</v>
      </c>
      <c r="J354" s="8">
        <v>780.0</v>
      </c>
      <c r="K354" s="9">
        <f t="shared" si="1"/>
        <v>0.3626220363</v>
      </c>
      <c r="L354" s="8">
        <v>189.0</v>
      </c>
      <c r="M354" s="9">
        <f t="shared" si="2"/>
        <v>0.08786610879</v>
      </c>
      <c r="N354" s="8">
        <v>35.0</v>
      </c>
      <c r="O354" s="9">
        <f t="shared" si="3"/>
        <v>0.01627150163</v>
      </c>
      <c r="P354" s="10">
        <v>1878.69</v>
      </c>
      <c r="Q354" s="11">
        <f t="shared" si="4"/>
        <v>0.8734030683</v>
      </c>
      <c r="R354" s="8">
        <v>3.0</v>
      </c>
      <c r="S354" s="9">
        <f t="shared" si="5"/>
        <v>0.001394700139</v>
      </c>
    </row>
    <row r="355" ht="15.75" customHeight="1">
      <c r="A355" s="4" t="s">
        <v>832</v>
      </c>
      <c r="B355" s="4" t="s">
        <v>833</v>
      </c>
      <c r="C355" s="4" t="s">
        <v>801</v>
      </c>
      <c r="D355" s="4">
        <v>1.0</v>
      </c>
      <c r="E355" s="4" t="s">
        <v>66</v>
      </c>
      <c r="F355" s="4" t="s">
        <v>773</v>
      </c>
      <c r="G355" s="12">
        <v>45931.0</v>
      </c>
      <c r="H355" s="8">
        <v>2611.0</v>
      </c>
      <c r="I355" s="8">
        <v>2579.0</v>
      </c>
      <c r="J355" s="8">
        <v>887.0</v>
      </c>
      <c r="K355" s="9">
        <f t="shared" si="1"/>
        <v>0.3439317565</v>
      </c>
      <c r="L355" s="8">
        <v>188.0</v>
      </c>
      <c r="M355" s="9">
        <f t="shared" si="2"/>
        <v>0.0728964715</v>
      </c>
      <c r="N355" s="8">
        <v>35.0</v>
      </c>
      <c r="O355" s="9">
        <f t="shared" si="3"/>
        <v>0.01357115161</v>
      </c>
      <c r="P355" s="10">
        <v>2006.49</v>
      </c>
      <c r="Q355" s="11">
        <f t="shared" si="4"/>
        <v>0.7780108569</v>
      </c>
      <c r="R355" s="8">
        <v>4.0</v>
      </c>
      <c r="S355" s="9">
        <f t="shared" si="5"/>
        <v>0.001550988755</v>
      </c>
    </row>
    <row r="356" ht="15.75" customHeight="1">
      <c r="A356" s="4" t="s">
        <v>832</v>
      </c>
      <c r="B356" s="4" t="s">
        <v>833</v>
      </c>
      <c r="C356" s="4" t="s">
        <v>801</v>
      </c>
      <c r="D356" s="4">
        <v>1.0</v>
      </c>
      <c r="E356" s="4" t="s">
        <v>66</v>
      </c>
      <c r="F356" s="4" t="s">
        <v>773</v>
      </c>
      <c r="G356" s="12">
        <v>45962.0</v>
      </c>
      <c r="H356" s="8">
        <v>2548.0</v>
      </c>
      <c r="I356" s="8">
        <v>2527.0</v>
      </c>
      <c r="J356" s="8">
        <v>1006.0</v>
      </c>
      <c r="K356" s="9">
        <f t="shared" si="1"/>
        <v>0.3981005144</v>
      </c>
      <c r="L356" s="8">
        <v>178.0</v>
      </c>
      <c r="M356" s="9">
        <f t="shared" si="2"/>
        <v>0.07043925603</v>
      </c>
      <c r="N356" s="8">
        <v>38.0</v>
      </c>
      <c r="O356" s="9">
        <f t="shared" si="3"/>
        <v>0.01503759398</v>
      </c>
      <c r="P356" s="10">
        <v>2006.35</v>
      </c>
      <c r="Q356" s="11">
        <f t="shared" si="4"/>
        <v>0.7939651761</v>
      </c>
      <c r="R356" s="8">
        <v>1.0</v>
      </c>
      <c r="S356" s="9">
        <f t="shared" si="5"/>
        <v>0.0003957261575</v>
      </c>
    </row>
    <row r="357" ht="15.75" customHeight="1">
      <c r="A357" s="4" t="s">
        <v>832</v>
      </c>
      <c r="B357" s="4" t="s">
        <v>833</v>
      </c>
      <c r="C357" s="4" t="s">
        <v>801</v>
      </c>
      <c r="D357" s="4">
        <v>1.0</v>
      </c>
      <c r="E357" s="4" t="s">
        <v>66</v>
      </c>
      <c r="F357" s="4" t="s">
        <v>773</v>
      </c>
      <c r="G357" s="12">
        <v>45992.0</v>
      </c>
      <c r="H357" s="8">
        <v>2449.0</v>
      </c>
      <c r="I357" s="8">
        <v>2437.0</v>
      </c>
      <c r="J357" s="8">
        <v>847.0</v>
      </c>
      <c r="K357" s="9">
        <f t="shared" si="1"/>
        <v>0.3475584735</v>
      </c>
      <c r="L357" s="8">
        <v>193.0</v>
      </c>
      <c r="M357" s="9">
        <f t="shared" si="2"/>
        <v>0.07919573246</v>
      </c>
      <c r="N357" s="8">
        <v>34.0</v>
      </c>
      <c r="O357" s="9">
        <f t="shared" si="3"/>
        <v>0.01395157981</v>
      </c>
      <c r="P357" s="10">
        <v>1837.4</v>
      </c>
      <c r="Q357" s="11">
        <f t="shared" si="4"/>
        <v>0.7539597866</v>
      </c>
      <c r="R357" s="8">
        <v>3.0</v>
      </c>
      <c r="S357" s="9">
        <f t="shared" si="5"/>
        <v>0.001231021748</v>
      </c>
    </row>
    <row r="358" ht="15.75" customHeight="1">
      <c r="A358" s="4" t="s">
        <v>832</v>
      </c>
      <c r="B358" s="4" t="s">
        <v>833</v>
      </c>
      <c r="C358" s="4" t="s">
        <v>801</v>
      </c>
      <c r="D358" s="4">
        <v>1.0</v>
      </c>
      <c r="E358" s="4" t="s">
        <v>66</v>
      </c>
      <c r="F358" s="4" t="s">
        <v>773</v>
      </c>
      <c r="G358" s="12">
        <v>46023.0</v>
      </c>
      <c r="H358" s="8">
        <v>2002.0</v>
      </c>
      <c r="I358" s="8">
        <v>1972.0</v>
      </c>
      <c r="J358" s="8">
        <v>792.0</v>
      </c>
      <c r="K358" s="9">
        <f t="shared" si="1"/>
        <v>0.4016227181</v>
      </c>
      <c r="L358" s="8">
        <v>171.0</v>
      </c>
      <c r="M358" s="9">
        <f t="shared" si="2"/>
        <v>0.08671399594</v>
      </c>
      <c r="N358" s="8">
        <v>24.0</v>
      </c>
      <c r="O358" s="9">
        <f t="shared" si="3"/>
        <v>0.0121703854</v>
      </c>
      <c r="P358" s="10">
        <v>1775.17</v>
      </c>
      <c r="Q358" s="11">
        <f t="shared" si="4"/>
        <v>0.9001876268</v>
      </c>
      <c r="R358" s="8">
        <v>2.0</v>
      </c>
      <c r="S358" s="9">
        <f t="shared" si="5"/>
        <v>0.001014198783</v>
      </c>
    </row>
    <row r="359" ht="15.75" customHeight="1">
      <c r="A359" s="4" t="s">
        <v>832</v>
      </c>
      <c r="B359" s="4" t="s">
        <v>833</v>
      </c>
      <c r="C359" s="4" t="s">
        <v>801</v>
      </c>
      <c r="D359" s="4">
        <v>1.0</v>
      </c>
      <c r="E359" s="4" t="s">
        <v>66</v>
      </c>
      <c r="F359" s="4" t="s">
        <v>773</v>
      </c>
      <c r="G359" s="12">
        <v>46054.0</v>
      </c>
      <c r="H359" s="8">
        <v>2138.0</v>
      </c>
      <c r="I359" s="8">
        <v>2116.0</v>
      </c>
      <c r="J359" s="8">
        <v>830.0</v>
      </c>
      <c r="K359" s="9">
        <f t="shared" si="1"/>
        <v>0.3922495274</v>
      </c>
      <c r="L359" s="8">
        <v>179.0</v>
      </c>
      <c r="M359" s="9">
        <f t="shared" si="2"/>
        <v>0.08459357278</v>
      </c>
      <c r="N359" s="8">
        <v>36.0</v>
      </c>
      <c r="O359" s="9">
        <f t="shared" si="3"/>
        <v>0.01701323251</v>
      </c>
      <c r="P359" s="10">
        <v>1786.88</v>
      </c>
      <c r="Q359" s="11">
        <f t="shared" si="4"/>
        <v>0.8444612476</v>
      </c>
      <c r="R359" s="8">
        <v>2.0</v>
      </c>
      <c r="S359" s="9">
        <f t="shared" si="5"/>
        <v>0.0009451795841</v>
      </c>
    </row>
    <row r="360" ht="15.75" customHeight="1">
      <c r="A360" s="4" t="s">
        <v>832</v>
      </c>
      <c r="B360" s="4" t="s">
        <v>833</v>
      </c>
      <c r="C360" s="4" t="s">
        <v>801</v>
      </c>
      <c r="D360" s="4">
        <v>1.0</v>
      </c>
      <c r="E360" s="4" t="s">
        <v>66</v>
      </c>
      <c r="F360" s="4" t="s">
        <v>773</v>
      </c>
      <c r="G360" s="12">
        <v>46082.0</v>
      </c>
      <c r="H360" s="8">
        <v>2030.0</v>
      </c>
      <c r="I360" s="8">
        <v>2011.0</v>
      </c>
      <c r="J360" s="8">
        <v>673.0</v>
      </c>
      <c r="K360" s="9">
        <f t="shared" si="1"/>
        <v>0.3346593734</v>
      </c>
      <c r="L360" s="8">
        <v>183.0</v>
      </c>
      <c r="M360" s="9">
        <f t="shared" si="2"/>
        <v>0.09099950273</v>
      </c>
      <c r="N360" s="8">
        <v>35.0</v>
      </c>
      <c r="O360" s="9">
        <f t="shared" si="3"/>
        <v>0.01740427648</v>
      </c>
      <c r="P360" s="10">
        <v>1810.51</v>
      </c>
      <c r="Q360" s="11">
        <f t="shared" si="4"/>
        <v>0.9003033317</v>
      </c>
      <c r="R360" s="8">
        <v>1.0</v>
      </c>
      <c r="S360" s="9">
        <f t="shared" si="5"/>
        <v>0.0004972650423</v>
      </c>
    </row>
    <row r="361" ht="15.75" customHeight="1">
      <c r="A361" s="4" t="s">
        <v>832</v>
      </c>
      <c r="B361" s="4" t="s">
        <v>833</v>
      </c>
      <c r="C361" s="4" t="s">
        <v>801</v>
      </c>
      <c r="D361" s="4">
        <v>1.0</v>
      </c>
      <c r="E361" s="4" t="s">
        <v>66</v>
      </c>
      <c r="F361" s="4" t="s">
        <v>773</v>
      </c>
      <c r="G361" s="12">
        <v>46113.0</v>
      </c>
      <c r="H361" s="8">
        <v>2374.0</v>
      </c>
      <c r="I361" s="8">
        <v>2361.0</v>
      </c>
      <c r="J361" s="8">
        <v>853.0</v>
      </c>
      <c r="K361" s="9">
        <f t="shared" si="1"/>
        <v>0.36128759</v>
      </c>
      <c r="L361" s="8">
        <v>209.0</v>
      </c>
      <c r="M361" s="9">
        <f t="shared" si="2"/>
        <v>0.08852181279</v>
      </c>
      <c r="N361" s="8">
        <v>30.0</v>
      </c>
      <c r="O361" s="9">
        <f t="shared" si="3"/>
        <v>0.0127064803</v>
      </c>
      <c r="P361" s="10">
        <v>1854.15</v>
      </c>
      <c r="Q361" s="11">
        <f t="shared" si="4"/>
        <v>0.7853240152</v>
      </c>
      <c r="R361" s="8">
        <v>1.0</v>
      </c>
      <c r="S361" s="9">
        <f t="shared" si="5"/>
        <v>0.0004235493435</v>
      </c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4.0"/>
    <col customWidth="1" min="3" max="3" width="12.0"/>
    <col customWidth="1" min="4" max="4" width="30.0"/>
    <col customWidth="1" min="5" max="6" width="12.0"/>
    <col customWidth="1" min="7" max="7" width="16.0"/>
    <col customWidth="1" min="8" max="8" width="15.0"/>
    <col customWidth="1" min="9" max="9" width="14.0"/>
    <col customWidth="1" min="10" max="10" width="21.0"/>
    <col customWidth="1" min="11" max="11" width="15.0"/>
    <col customWidth="1" min="12" max="12" width="21.0"/>
    <col customWidth="1" min="13" max="13" width="20.0"/>
    <col customWidth="1" min="14" max="14" width="21.0"/>
    <col customWidth="1" min="15" max="15" width="12.0"/>
    <col customWidth="1" min="16" max="16" width="21.0"/>
    <col customWidth="1" min="17" max="26" width="8.71"/>
  </cols>
  <sheetData>
    <row r="1" ht="31.5" customHeight="1">
      <c r="A1" s="5" t="s">
        <v>764</v>
      </c>
      <c r="B1" s="5" t="s">
        <v>765</v>
      </c>
      <c r="C1" s="5" t="s">
        <v>834</v>
      </c>
      <c r="D1" s="5" t="s">
        <v>835</v>
      </c>
      <c r="E1" s="5" t="s">
        <v>836</v>
      </c>
      <c r="F1" s="5" t="s">
        <v>25</v>
      </c>
      <c r="G1" s="5" t="s">
        <v>837</v>
      </c>
      <c r="H1" s="5" t="s">
        <v>838</v>
      </c>
      <c r="I1" s="5" t="s">
        <v>36</v>
      </c>
      <c r="J1" s="5" t="s">
        <v>37</v>
      </c>
      <c r="K1" s="5" t="s">
        <v>39</v>
      </c>
      <c r="L1" s="5" t="s">
        <v>40</v>
      </c>
      <c r="M1" s="5" t="s">
        <v>43</v>
      </c>
      <c r="N1" s="5" t="s">
        <v>44</v>
      </c>
      <c r="O1" s="5" t="s">
        <v>45</v>
      </c>
      <c r="P1" s="5" t="s">
        <v>47</v>
      </c>
    </row>
    <row r="2">
      <c r="A2" s="4" t="s">
        <v>770</v>
      </c>
      <c r="B2" s="4" t="s">
        <v>771</v>
      </c>
      <c r="C2" s="4" t="s">
        <v>839</v>
      </c>
      <c r="D2" s="4" t="s">
        <v>840</v>
      </c>
      <c r="E2" s="4">
        <v>1.0</v>
      </c>
      <c r="F2" s="4" t="s">
        <v>66</v>
      </c>
      <c r="G2" s="8">
        <v>89245.0</v>
      </c>
      <c r="H2" s="8">
        <v>88653.0</v>
      </c>
      <c r="I2" s="8">
        <v>49300.0</v>
      </c>
      <c r="J2" s="9">
        <f t="shared" ref="J2:J68" si="1">IFERROR(I2/H2,0)</f>
        <v>0.5561007524</v>
      </c>
      <c r="K2" s="8">
        <v>9090.0</v>
      </c>
      <c r="L2" s="9">
        <f t="shared" ref="L2:L68" si="2">IFERROR(K2/H2,0)</f>
        <v>0.1025346012</v>
      </c>
      <c r="M2" s="8">
        <v>2581.0</v>
      </c>
      <c r="N2" s="9">
        <f t="shared" ref="N2:N68" si="3">IFERROR(M2/H2,0)</f>
        <v>0.02911350998</v>
      </c>
      <c r="O2" s="10">
        <v>177757.99</v>
      </c>
      <c r="P2" s="11">
        <f t="shared" ref="P2:P68" si="4">IFERROR(O2/H2,0)</f>
        <v>2.005098417</v>
      </c>
    </row>
    <row r="3">
      <c r="A3" s="4" t="s">
        <v>770</v>
      </c>
      <c r="B3" s="4" t="s">
        <v>771</v>
      </c>
      <c r="C3" s="4" t="s">
        <v>841</v>
      </c>
      <c r="D3" s="4" t="s">
        <v>842</v>
      </c>
      <c r="E3" s="4">
        <v>2.0</v>
      </c>
      <c r="F3" s="4" t="s">
        <v>66</v>
      </c>
      <c r="G3" s="8">
        <v>50316.0</v>
      </c>
      <c r="H3" s="8">
        <v>50043.0</v>
      </c>
      <c r="I3" s="8">
        <v>27251.0</v>
      </c>
      <c r="J3" s="9">
        <f t="shared" si="1"/>
        <v>0.5445516856</v>
      </c>
      <c r="K3" s="8">
        <v>4444.0</v>
      </c>
      <c r="L3" s="9">
        <f t="shared" si="2"/>
        <v>0.08880362888</v>
      </c>
      <c r="M3" s="8">
        <v>1272.0</v>
      </c>
      <c r="N3" s="9">
        <f t="shared" si="3"/>
        <v>0.0254181404</v>
      </c>
      <c r="O3" s="10">
        <v>72942.94</v>
      </c>
      <c r="P3" s="11">
        <f t="shared" si="4"/>
        <v>1.457605259</v>
      </c>
    </row>
    <row r="4">
      <c r="A4" s="4" t="s">
        <v>770</v>
      </c>
      <c r="B4" s="4" t="s">
        <v>771</v>
      </c>
      <c r="C4" s="4" t="s">
        <v>843</v>
      </c>
      <c r="D4" s="4" t="s">
        <v>844</v>
      </c>
      <c r="E4" s="4">
        <v>3.0</v>
      </c>
      <c r="F4" s="4" t="s">
        <v>66</v>
      </c>
      <c r="G4" s="8">
        <v>27823.0</v>
      </c>
      <c r="H4" s="8">
        <v>27463.0</v>
      </c>
      <c r="I4" s="8">
        <v>12149.0</v>
      </c>
      <c r="J4" s="9">
        <f t="shared" si="1"/>
        <v>0.4423770163</v>
      </c>
      <c r="K4" s="8">
        <v>1898.0</v>
      </c>
      <c r="L4" s="9">
        <f t="shared" si="2"/>
        <v>0.06911116775</v>
      </c>
      <c r="M4" s="8">
        <v>523.0</v>
      </c>
      <c r="N4" s="9">
        <f t="shared" si="3"/>
        <v>0.01904380439</v>
      </c>
      <c r="O4" s="10">
        <v>26607.24</v>
      </c>
      <c r="P4" s="11">
        <f t="shared" si="4"/>
        <v>0.9688395295</v>
      </c>
    </row>
    <row r="5">
      <c r="A5" s="4" t="s">
        <v>770</v>
      </c>
      <c r="B5" s="4" t="s">
        <v>771</v>
      </c>
      <c r="C5" s="4" t="s">
        <v>845</v>
      </c>
      <c r="D5" s="4" t="s">
        <v>846</v>
      </c>
      <c r="E5" s="4">
        <v>4.0</v>
      </c>
      <c r="F5" s="4" t="s">
        <v>66</v>
      </c>
      <c r="G5" s="8">
        <v>18317.0</v>
      </c>
      <c r="H5" s="8">
        <v>18120.0</v>
      </c>
      <c r="I5" s="8">
        <v>8457.0</v>
      </c>
      <c r="J5" s="9">
        <f t="shared" si="1"/>
        <v>0.4667218543</v>
      </c>
      <c r="K5" s="8">
        <v>1320.0</v>
      </c>
      <c r="L5" s="9">
        <f t="shared" si="2"/>
        <v>0.07284768212</v>
      </c>
      <c r="M5" s="8">
        <v>282.0</v>
      </c>
      <c r="N5" s="9">
        <f t="shared" si="3"/>
        <v>0.01556291391</v>
      </c>
      <c r="O5" s="10">
        <v>10407.13</v>
      </c>
      <c r="P5" s="11">
        <f t="shared" si="4"/>
        <v>0.5743449227</v>
      </c>
    </row>
    <row r="6">
      <c r="A6" s="4" t="s">
        <v>770</v>
      </c>
      <c r="B6" s="4" t="s">
        <v>771</v>
      </c>
      <c r="C6" s="4" t="s">
        <v>847</v>
      </c>
      <c r="D6" s="4" t="s">
        <v>848</v>
      </c>
      <c r="E6" s="4">
        <v>5.0</v>
      </c>
      <c r="F6" s="4" t="s">
        <v>66</v>
      </c>
      <c r="G6" s="8">
        <v>10763.0</v>
      </c>
      <c r="H6" s="8">
        <v>10691.0</v>
      </c>
      <c r="I6" s="8">
        <v>3988.0</v>
      </c>
      <c r="J6" s="9">
        <f t="shared" si="1"/>
        <v>0.3730240389</v>
      </c>
      <c r="K6" s="8">
        <v>558.0</v>
      </c>
      <c r="L6" s="9">
        <f t="shared" si="2"/>
        <v>0.05219343373</v>
      </c>
      <c r="M6" s="8">
        <v>109.0</v>
      </c>
      <c r="N6" s="9">
        <f t="shared" si="3"/>
        <v>0.01019549153</v>
      </c>
      <c r="O6" s="10">
        <v>4856.78</v>
      </c>
      <c r="P6" s="11">
        <f t="shared" si="4"/>
        <v>0.4542867833</v>
      </c>
    </row>
    <row r="7">
      <c r="A7" s="4" t="s">
        <v>770</v>
      </c>
      <c r="B7" s="4" t="s">
        <v>771</v>
      </c>
      <c r="C7" s="4" t="s">
        <v>849</v>
      </c>
      <c r="D7" s="4" t="s">
        <v>850</v>
      </c>
      <c r="E7" s="4">
        <v>6.0</v>
      </c>
      <c r="F7" s="4" t="s">
        <v>66</v>
      </c>
      <c r="G7" s="8">
        <v>6023.0</v>
      </c>
      <c r="H7" s="8">
        <v>5952.0</v>
      </c>
      <c r="I7" s="8">
        <v>2517.0</v>
      </c>
      <c r="J7" s="9">
        <f t="shared" si="1"/>
        <v>0.4228830645</v>
      </c>
      <c r="K7" s="8">
        <v>313.0</v>
      </c>
      <c r="L7" s="9">
        <f t="shared" si="2"/>
        <v>0.05258736559</v>
      </c>
      <c r="M7" s="8">
        <v>52.0</v>
      </c>
      <c r="N7" s="9">
        <f t="shared" si="3"/>
        <v>0.00873655914</v>
      </c>
      <c r="O7" s="10">
        <v>1645.28</v>
      </c>
      <c r="P7" s="11">
        <f t="shared" si="4"/>
        <v>0.2764247312</v>
      </c>
    </row>
    <row r="8">
      <c r="A8" s="4" t="s">
        <v>774</v>
      </c>
      <c r="B8" s="4" t="s">
        <v>775</v>
      </c>
      <c r="C8" s="4" t="s">
        <v>851</v>
      </c>
      <c r="D8" s="4" t="s">
        <v>840</v>
      </c>
      <c r="E8" s="4">
        <v>1.0</v>
      </c>
      <c r="F8" s="4" t="s">
        <v>57</v>
      </c>
      <c r="G8" s="8">
        <v>85579.0</v>
      </c>
      <c r="H8" s="8">
        <v>84751.0</v>
      </c>
      <c r="I8" s="8">
        <v>0.0</v>
      </c>
      <c r="J8" s="9">
        <f t="shared" si="1"/>
        <v>0</v>
      </c>
      <c r="K8" s="8">
        <v>11510.0</v>
      </c>
      <c r="L8" s="9">
        <f t="shared" si="2"/>
        <v>0.135809607</v>
      </c>
      <c r="M8" s="8">
        <v>3324.0</v>
      </c>
      <c r="N8" s="9">
        <f t="shared" si="3"/>
        <v>0.03922077616</v>
      </c>
      <c r="O8" s="10">
        <v>113097.0</v>
      </c>
      <c r="P8" s="11">
        <f t="shared" si="4"/>
        <v>1.33446213</v>
      </c>
    </row>
    <row r="9">
      <c r="A9" s="4" t="s">
        <v>774</v>
      </c>
      <c r="B9" s="4" t="s">
        <v>775</v>
      </c>
      <c r="C9" s="4" t="s">
        <v>852</v>
      </c>
      <c r="D9" s="4" t="s">
        <v>842</v>
      </c>
      <c r="E9" s="4">
        <v>2.0</v>
      </c>
      <c r="F9" s="4" t="s">
        <v>57</v>
      </c>
      <c r="G9" s="8">
        <v>46705.0</v>
      </c>
      <c r="H9" s="8">
        <v>46109.0</v>
      </c>
      <c r="I9" s="8">
        <v>0.0</v>
      </c>
      <c r="J9" s="9">
        <f t="shared" si="1"/>
        <v>0</v>
      </c>
      <c r="K9" s="8">
        <v>4834.0</v>
      </c>
      <c r="L9" s="9">
        <f t="shared" si="2"/>
        <v>0.1048385348</v>
      </c>
      <c r="M9" s="8">
        <v>1287.0</v>
      </c>
      <c r="N9" s="9">
        <f t="shared" si="3"/>
        <v>0.02791212128</v>
      </c>
      <c r="O9" s="10">
        <v>36196.16</v>
      </c>
      <c r="P9" s="11">
        <f t="shared" si="4"/>
        <v>0.7850129042</v>
      </c>
    </row>
    <row r="10">
      <c r="A10" s="4" t="s">
        <v>774</v>
      </c>
      <c r="B10" s="4" t="s">
        <v>775</v>
      </c>
      <c r="C10" s="4" t="s">
        <v>853</v>
      </c>
      <c r="D10" s="4" t="s">
        <v>844</v>
      </c>
      <c r="E10" s="4">
        <v>3.0</v>
      </c>
      <c r="F10" s="4" t="s">
        <v>57</v>
      </c>
      <c r="G10" s="8">
        <v>27726.0</v>
      </c>
      <c r="H10" s="8">
        <v>27442.0</v>
      </c>
      <c r="I10" s="8">
        <v>0.0</v>
      </c>
      <c r="J10" s="9">
        <f t="shared" si="1"/>
        <v>0</v>
      </c>
      <c r="K10" s="8">
        <v>2303.0</v>
      </c>
      <c r="L10" s="9">
        <f t="shared" si="2"/>
        <v>0.08392245463</v>
      </c>
      <c r="M10" s="8">
        <v>587.0</v>
      </c>
      <c r="N10" s="9">
        <f t="shared" si="3"/>
        <v>0.0213905692</v>
      </c>
      <c r="O10" s="10">
        <v>17756.0</v>
      </c>
      <c r="P10" s="11">
        <f t="shared" si="4"/>
        <v>0.6470373879</v>
      </c>
    </row>
    <row r="11">
      <c r="A11" s="4" t="s">
        <v>777</v>
      </c>
      <c r="B11" s="4" t="s">
        <v>778</v>
      </c>
      <c r="C11" s="4" t="s">
        <v>854</v>
      </c>
      <c r="D11" s="4" t="s">
        <v>855</v>
      </c>
      <c r="E11" s="4">
        <v>1.0</v>
      </c>
      <c r="F11" s="4" t="s">
        <v>66</v>
      </c>
      <c r="G11" s="8">
        <v>127773.0</v>
      </c>
      <c r="H11" s="8">
        <v>125890.0</v>
      </c>
      <c r="I11" s="8">
        <v>53509.0</v>
      </c>
      <c r="J11" s="9">
        <f t="shared" si="1"/>
        <v>0.4250456748</v>
      </c>
      <c r="K11" s="8">
        <v>17934.0</v>
      </c>
      <c r="L11" s="9">
        <f t="shared" si="2"/>
        <v>0.1424577012</v>
      </c>
      <c r="M11" s="8">
        <v>11180.0</v>
      </c>
      <c r="N11" s="9">
        <f t="shared" si="3"/>
        <v>0.08880768925</v>
      </c>
      <c r="O11" s="10">
        <v>485705.16</v>
      </c>
      <c r="P11" s="11">
        <f t="shared" si="4"/>
        <v>3.858171102</v>
      </c>
    </row>
    <row r="12">
      <c r="A12" s="4" t="s">
        <v>777</v>
      </c>
      <c r="B12" s="4" t="s">
        <v>778</v>
      </c>
      <c r="C12" s="4" t="s">
        <v>856</v>
      </c>
      <c r="D12" s="4" t="s">
        <v>857</v>
      </c>
      <c r="E12" s="4">
        <v>2.0</v>
      </c>
      <c r="F12" s="4" t="s">
        <v>66</v>
      </c>
      <c r="G12" s="8">
        <v>69385.0</v>
      </c>
      <c r="H12" s="8">
        <v>68761.0</v>
      </c>
      <c r="I12" s="8">
        <v>29562.0</v>
      </c>
      <c r="J12" s="9">
        <f t="shared" si="1"/>
        <v>0.4299239394</v>
      </c>
      <c r="K12" s="8">
        <v>9046.0</v>
      </c>
      <c r="L12" s="9">
        <f t="shared" si="2"/>
        <v>0.1315571327</v>
      </c>
      <c r="M12" s="8">
        <v>3594.0</v>
      </c>
      <c r="N12" s="9">
        <f t="shared" si="3"/>
        <v>0.05226800076</v>
      </c>
      <c r="O12" s="10">
        <v>209313.96</v>
      </c>
      <c r="P12" s="11">
        <f t="shared" si="4"/>
        <v>3.044079638</v>
      </c>
    </row>
    <row r="13">
      <c r="A13" s="4" t="s">
        <v>777</v>
      </c>
      <c r="B13" s="4" t="s">
        <v>778</v>
      </c>
      <c r="C13" s="4" t="s">
        <v>858</v>
      </c>
      <c r="D13" s="4" t="s">
        <v>859</v>
      </c>
      <c r="E13" s="4">
        <v>3.0</v>
      </c>
      <c r="F13" s="4" t="s">
        <v>66</v>
      </c>
      <c r="G13" s="8">
        <v>46270.0</v>
      </c>
      <c r="H13" s="8">
        <v>45665.0</v>
      </c>
      <c r="I13" s="8">
        <v>21956.0</v>
      </c>
      <c r="J13" s="9">
        <f t="shared" si="1"/>
        <v>0.4808058688</v>
      </c>
      <c r="K13" s="8">
        <v>4161.0</v>
      </c>
      <c r="L13" s="9">
        <f t="shared" si="2"/>
        <v>0.09112011387</v>
      </c>
      <c r="M13" s="8">
        <v>2242.0</v>
      </c>
      <c r="N13" s="9">
        <f t="shared" si="3"/>
        <v>0.04909668236</v>
      </c>
      <c r="O13" s="10">
        <v>80279.73</v>
      </c>
      <c r="P13" s="11">
        <f t="shared" si="4"/>
        <v>1.758014453</v>
      </c>
    </row>
    <row r="14">
      <c r="A14" s="4" t="s">
        <v>777</v>
      </c>
      <c r="B14" s="4" t="s">
        <v>778</v>
      </c>
      <c r="C14" s="4" t="s">
        <v>860</v>
      </c>
      <c r="D14" s="4" t="s">
        <v>861</v>
      </c>
      <c r="E14" s="4">
        <v>4.0</v>
      </c>
      <c r="F14" s="4" t="s">
        <v>66</v>
      </c>
      <c r="G14" s="8">
        <v>27356.0</v>
      </c>
      <c r="H14" s="8">
        <v>27220.0</v>
      </c>
      <c r="I14" s="8">
        <v>12353.0</v>
      </c>
      <c r="J14" s="9">
        <f t="shared" si="1"/>
        <v>0.4538207201</v>
      </c>
      <c r="K14" s="8">
        <v>2570.0</v>
      </c>
      <c r="L14" s="9">
        <f t="shared" si="2"/>
        <v>0.09441587068</v>
      </c>
      <c r="M14" s="8">
        <v>973.0</v>
      </c>
      <c r="N14" s="9">
        <f t="shared" si="3"/>
        <v>0.03574577517</v>
      </c>
      <c r="O14" s="10">
        <v>35971.98</v>
      </c>
      <c r="P14" s="11">
        <f t="shared" si="4"/>
        <v>1.321527553</v>
      </c>
    </row>
    <row r="15">
      <c r="A15" s="4" t="s">
        <v>779</v>
      </c>
      <c r="B15" s="4" t="s">
        <v>780</v>
      </c>
      <c r="C15" s="4" t="s">
        <v>862</v>
      </c>
      <c r="D15" s="4" t="s">
        <v>855</v>
      </c>
      <c r="E15" s="4">
        <v>1.0</v>
      </c>
      <c r="F15" s="4" t="s">
        <v>57</v>
      </c>
      <c r="G15" s="8">
        <v>118519.0</v>
      </c>
      <c r="H15" s="8">
        <v>118198.0</v>
      </c>
      <c r="I15" s="8">
        <v>0.0</v>
      </c>
      <c r="J15" s="9">
        <f t="shared" si="1"/>
        <v>0</v>
      </c>
      <c r="K15" s="8">
        <v>15517.0</v>
      </c>
      <c r="L15" s="9">
        <f t="shared" si="2"/>
        <v>0.1312797171</v>
      </c>
      <c r="M15" s="8">
        <v>4285.0</v>
      </c>
      <c r="N15" s="9">
        <f t="shared" si="3"/>
        <v>0.03625272847</v>
      </c>
      <c r="O15" s="10">
        <v>152324.07</v>
      </c>
      <c r="P15" s="11">
        <f t="shared" si="4"/>
        <v>1.288719521</v>
      </c>
    </row>
    <row r="16">
      <c r="A16" s="4" t="s">
        <v>779</v>
      </c>
      <c r="B16" s="4" t="s">
        <v>780</v>
      </c>
      <c r="C16" s="4" t="s">
        <v>863</v>
      </c>
      <c r="D16" s="4" t="s">
        <v>857</v>
      </c>
      <c r="E16" s="4">
        <v>2.0</v>
      </c>
      <c r="F16" s="4" t="s">
        <v>57</v>
      </c>
      <c r="G16" s="8">
        <v>73816.0</v>
      </c>
      <c r="H16" s="8">
        <v>73122.0</v>
      </c>
      <c r="I16" s="8">
        <v>0.0</v>
      </c>
      <c r="J16" s="9">
        <f t="shared" si="1"/>
        <v>0</v>
      </c>
      <c r="K16" s="8">
        <v>6801.0</v>
      </c>
      <c r="L16" s="9">
        <f t="shared" si="2"/>
        <v>0.09300894396</v>
      </c>
      <c r="M16" s="8">
        <v>1944.0</v>
      </c>
      <c r="N16" s="9">
        <f t="shared" si="3"/>
        <v>0.02658570608</v>
      </c>
      <c r="O16" s="10">
        <v>67394.38</v>
      </c>
      <c r="P16" s="11">
        <f t="shared" si="4"/>
        <v>0.9216703591</v>
      </c>
    </row>
    <row r="17">
      <c r="A17" s="4" t="s">
        <v>781</v>
      </c>
      <c r="B17" s="4" t="s">
        <v>782</v>
      </c>
      <c r="C17" s="4" t="s">
        <v>864</v>
      </c>
      <c r="D17" s="4" t="s">
        <v>865</v>
      </c>
      <c r="E17" s="4">
        <v>1.0</v>
      </c>
      <c r="F17" s="4" t="s">
        <v>66</v>
      </c>
      <c r="G17" s="8">
        <v>37632.0</v>
      </c>
      <c r="H17" s="8">
        <v>37160.0</v>
      </c>
      <c r="I17" s="8">
        <v>18870.0</v>
      </c>
      <c r="J17" s="9">
        <f t="shared" si="1"/>
        <v>0.5078040904</v>
      </c>
      <c r="K17" s="8">
        <v>7275.0</v>
      </c>
      <c r="L17" s="9">
        <f t="shared" si="2"/>
        <v>0.1957750269</v>
      </c>
      <c r="M17" s="8">
        <v>4221.0</v>
      </c>
      <c r="N17" s="9">
        <f t="shared" si="3"/>
        <v>0.1135898816</v>
      </c>
      <c r="O17" s="10">
        <v>331249.44</v>
      </c>
      <c r="P17" s="11">
        <f t="shared" si="4"/>
        <v>8.914139935</v>
      </c>
    </row>
    <row r="18">
      <c r="A18" s="4" t="s">
        <v>781</v>
      </c>
      <c r="B18" s="4" t="s">
        <v>782</v>
      </c>
      <c r="C18" s="4" t="s">
        <v>866</v>
      </c>
      <c r="D18" s="4" t="s">
        <v>867</v>
      </c>
      <c r="E18" s="4">
        <v>2.0</v>
      </c>
      <c r="F18" s="4" t="s">
        <v>66</v>
      </c>
      <c r="G18" s="8">
        <v>20457.0</v>
      </c>
      <c r="H18" s="8">
        <v>20270.0</v>
      </c>
      <c r="I18" s="8">
        <v>9951.0</v>
      </c>
      <c r="J18" s="9">
        <f t="shared" si="1"/>
        <v>0.4909225456</v>
      </c>
      <c r="K18" s="8">
        <v>3178.0</v>
      </c>
      <c r="L18" s="9">
        <f t="shared" si="2"/>
        <v>0.1567834238</v>
      </c>
      <c r="M18" s="8">
        <v>2253.0</v>
      </c>
      <c r="N18" s="9">
        <f t="shared" si="3"/>
        <v>0.111149482</v>
      </c>
      <c r="O18" s="10">
        <v>96919.79</v>
      </c>
      <c r="P18" s="11">
        <f t="shared" si="4"/>
        <v>4.781440059</v>
      </c>
    </row>
    <row r="19">
      <c r="A19" s="4" t="s">
        <v>781</v>
      </c>
      <c r="B19" s="4" t="s">
        <v>782</v>
      </c>
      <c r="C19" s="4" t="s">
        <v>868</v>
      </c>
      <c r="D19" s="4" t="s">
        <v>869</v>
      </c>
      <c r="E19" s="4">
        <v>3.0</v>
      </c>
      <c r="F19" s="4" t="s">
        <v>66</v>
      </c>
      <c r="G19" s="8">
        <v>12879.0</v>
      </c>
      <c r="H19" s="8">
        <v>12831.0</v>
      </c>
      <c r="I19" s="8">
        <v>7094.0</v>
      </c>
      <c r="J19" s="9">
        <f t="shared" si="1"/>
        <v>0.5528797444</v>
      </c>
      <c r="K19" s="8">
        <v>1617.0</v>
      </c>
      <c r="L19" s="9">
        <f t="shared" si="2"/>
        <v>0.1260229133</v>
      </c>
      <c r="M19" s="8">
        <v>894.0</v>
      </c>
      <c r="N19" s="9">
        <f t="shared" si="3"/>
        <v>0.06967500585</v>
      </c>
      <c r="O19" s="10">
        <v>47326.06</v>
      </c>
      <c r="P19" s="11">
        <f t="shared" si="4"/>
        <v>3.688415556</v>
      </c>
    </row>
    <row r="20">
      <c r="A20" s="4" t="s">
        <v>783</v>
      </c>
      <c r="B20" s="4" t="s">
        <v>784</v>
      </c>
      <c r="C20" s="4" t="s">
        <v>870</v>
      </c>
      <c r="D20" s="4" t="s">
        <v>871</v>
      </c>
      <c r="E20" s="4">
        <v>1.0</v>
      </c>
      <c r="F20" s="4" t="s">
        <v>66</v>
      </c>
      <c r="G20" s="8">
        <v>200870.0</v>
      </c>
      <c r="H20" s="8">
        <v>199416.0</v>
      </c>
      <c r="I20" s="8">
        <v>75172.0</v>
      </c>
      <c r="J20" s="9">
        <f t="shared" si="1"/>
        <v>0.3769607253</v>
      </c>
      <c r="K20" s="8">
        <v>16226.0</v>
      </c>
      <c r="L20" s="9">
        <f t="shared" si="2"/>
        <v>0.08136759337</v>
      </c>
      <c r="M20" s="8">
        <v>3601.0</v>
      </c>
      <c r="N20" s="9">
        <f t="shared" si="3"/>
        <v>0.01805772857</v>
      </c>
      <c r="O20" s="10">
        <v>213944.14</v>
      </c>
      <c r="P20" s="11">
        <f t="shared" si="4"/>
        <v>1.072853432</v>
      </c>
    </row>
    <row r="21" ht="15.75" customHeight="1">
      <c r="A21" s="4" t="s">
        <v>783</v>
      </c>
      <c r="B21" s="4" t="s">
        <v>784</v>
      </c>
      <c r="C21" s="4" t="s">
        <v>872</v>
      </c>
      <c r="D21" s="4" t="s">
        <v>873</v>
      </c>
      <c r="E21" s="4">
        <v>2.0</v>
      </c>
      <c r="F21" s="4" t="s">
        <v>66</v>
      </c>
      <c r="G21" s="8">
        <v>121688.0</v>
      </c>
      <c r="H21" s="8">
        <v>120423.0</v>
      </c>
      <c r="I21" s="8">
        <v>49275.0</v>
      </c>
      <c r="J21" s="9">
        <f t="shared" si="1"/>
        <v>0.4091826312</v>
      </c>
      <c r="K21" s="8">
        <v>8608.0</v>
      </c>
      <c r="L21" s="9">
        <f t="shared" si="2"/>
        <v>0.07148136153</v>
      </c>
      <c r="M21" s="8">
        <v>2227.0</v>
      </c>
      <c r="N21" s="9">
        <f t="shared" si="3"/>
        <v>0.018493145</v>
      </c>
      <c r="O21" s="10">
        <v>85115.99</v>
      </c>
      <c r="P21" s="11">
        <f t="shared" si="4"/>
        <v>0.706808417</v>
      </c>
    </row>
    <row r="22" ht="15.75" customHeight="1">
      <c r="A22" s="4" t="s">
        <v>783</v>
      </c>
      <c r="B22" s="4" t="s">
        <v>784</v>
      </c>
      <c r="C22" s="4" t="s">
        <v>874</v>
      </c>
      <c r="D22" s="4" t="s">
        <v>875</v>
      </c>
      <c r="E22" s="4">
        <v>3.0</v>
      </c>
      <c r="F22" s="4" t="s">
        <v>66</v>
      </c>
      <c r="G22" s="8">
        <v>77991.0</v>
      </c>
      <c r="H22" s="8">
        <v>76826.0</v>
      </c>
      <c r="I22" s="8">
        <v>29152.0</v>
      </c>
      <c r="J22" s="9">
        <f t="shared" si="1"/>
        <v>0.379454872</v>
      </c>
      <c r="K22" s="8">
        <v>4281.0</v>
      </c>
      <c r="L22" s="9">
        <f t="shared" si="2"/>
        <v>0.05572332283</v>
      </c>
      <c r="M22" s="8">
        <v>1132.0</v>
      </c>
      <c r="N22" s="9">
        <f t="shared" si="3"/>
        <v>0.01473459506</v>
      </c>
      <c r="O22" s="10">
        <v>37599.93</v>
      </c>
      <c r="P22" s="11">
        <f t="shared" si="4"/>
        <v>0.4894167339</v>
      </c>
    </row>
    <row r="23" ht="15.75" customHeight="1">
      <c r="A23" s="4" t="s">
        <v>785</v>
      </c>
      <c r="B23" s="4" t="s">
        <v>786</v>
      </c>
      <c r="C23" s="4" t="s">
        <v>876</v>
      </c>
      <c r="D23" s="4" t="s">
        <v>871</v>
      </c>
      <c r="E23" s="4">
        <v>1.0</v>
      </c>
      <c r="F23" s="4" t="s">
        <v>57</v>
      </c>
      <c r="G23" s="8">
        <v>188995.0</v>
      </c>
      <c r="H23" s="8">
        <v>188352.0</v>
      </c>
      <c r="I23" s="8">
        <v>0.0</v>
      </c>
      <c r="J23" s="9">
        <f t="shared" si="1"/>
        <v>0</v>
      </c>
      <c r="K23" s="8">
        <v>19490.0</v>
      </c>
      <c r="L23" s="9">
        <f t="shared" si="2"/>
        <v>0.1034764696</v>
      </c>
      <c r="M23" s="8">
        <v>6567.0</v>
      </c>
      <c r="N23" s="9">
        <f t="shared" si="3"/>
        <v>0.03486557085</v>
      </c>
      <c r="O23" s="10">
        <v>203637.13</v>
      </c>
      <c r="P23" s="11">
        <f t="shared" si="4"/>
        <v>1.081151939</v>
      </c>
    </row>
    <row r="24" ht="15.75" customHeight="1">
      <c r="A24" s="4" t="s">
        <v>785</v>
      </c>
      <c r="B24" s="4" t="s">
        <v>786</v>
      </c>
      <c r="C24" s="4" t="s">
        <v>877</v>
      </c>
      <c r="D24" s="4" t="s">
        <v>873</v>
      </c>
      <c r="E24" s="4">
        <v>2.0</v>
      </c>
      <c r="F24" s="4" t="s">
        <v>57</v>
      </c>
      <c r="G24" s="8">
        <v>122224.0</v>
      </c>
      <c r="H24" s="8">
        <v>120929.0</v>
      </c>
      <c r="I24" s="8">
        <v>0.0</v>
      </c>
      <c r="J24" s="9">
        <f t="shared" si="1"/>
        <v>0</v>
      </c>
      <c r="K24" s="8">
        <v>12216.0</v>
      </c>
      <c r="L24" s="9">
        <f t="shared" si="2"/>
        <v>0.1010179527</v>
      </c>
      <c r="M24" s="8">
        <v>3032.0</v>
      </c>
      <c r="N24" s="9">
        <f t="shared" si="3"/>
        <v>0.02507256324</v>
      </c>
      <c r="O24" s="10">
        <v>107987.71</v>
      </c>
      <c r="P24" s="11">
        <f t="shared" si="4"/>
        <v>0.8929843958</v>
      </c>
    </row>
    <row r="25" ht="15.75" customHeight="1">
      <c r="A25" s="4" t="s">
        <v>787</v>
      </c>
      <c r="B25" s="4" t="s">
        <v>788</v>
      </c>
      <c r="C25" s="4" t="s">
        <v>878</v>
      </c>
      <c r="D25" s="4" t="s">
        <v>879</v>
      </c>
      <c r="E25" s="4">
        <v>1.0</v>
      </c>
      <c r="F25" s="4" t="s">
        <v>66</v>
      </c>
      <c r="G25" s="8">
        <v>25157.0</v>
      </c>
      <c r="H25" s="8">
        <v>24864.0</v>
      </c>
      <c r="I25" s="8">
        <v>13774.0</v>
      </c>
      <c r="J25" s="9">
        <f t="shared" si="1"/>
        <v>0.5539736165</v>
      </c>
      <c r="K25" s="8">
        <v>6255.0</v>
      </c>
      <c r="L25" s="9">
        <f t="shared" si="2"/>
        <v>0.2515685328</v>
      </c>
      <c r="M25" s="8">
        <v>2982.0</v>
      </c>
      <c r="N25" s="9">
        <f t="shared" si="3"/>
        <v>0.1199324324</v>
      </c>
      <c r="O25" s="10">
        <v>153332.85</v>
      </c>
      <c r="P25" s="11">
        <f t="shared" si="4"/>
        <v>6.166861728</v>
      </c>
    </row>
    <row r="26" ht="15.75" customHeight="1">
      <c r="A26" s="4" t="s">
        <v>787</v>
      </c>
      <c r="B26" s="4" t="s">
        <v>788</v>
      </c>
      <c r="C26" s="4" t="s">
        <v>880</v>
      </c>
      <c r="D26" s="4" t="s">
        <v>881</v>
      </c>
      <c r="E26" s="4">
        <v>2.0</v>
      </c>
      <c r="F26" s="4" t="s">
        <v>66</v>
      </c>
      <c r="G26" s="8">
        <v>14629.0</v>
      </c>
      <c r="H26" s="8">
        <v>14478.0</v>
      </c>
      <c r="I26" s="8">
        <v>7843.0</v>
      </c>
      <c r="J26" s="9">
        <f t="shared" si="1"/>
        <v>0.5417184694</v>
      </c>
      <c r="K26" s="8">
        <v>3034.0</v>
      </c>
      <c r="L26" s="9">
        <f t="shared" si="2"/>
        <v>0.2095593314</v>
      </c>
      <c r="M26" s="8">
        <v>1179.0</v>
      </c>
      <c r="N26" s="9">
        <f t="shared" si="3"/>
        <v>0.08143389971</v>
      </c>
      <c r="O26" s="10">
        <v>60138.05</v>
      </c>
      <c r="P26" s="11">
        <f t="shared" si="4"/>
        <v>4.153753972</v>
      </c>
    </row>
    <row r="27" ht="15.75" customHeight="1">
      <c r="A27" s="4" t="s">
        <v>789</v>
      </c>
      <c r="B27" s="4" t="s">
        <v>790</v>
      </c>
      <c r="C27" s="4" t="s">
        <v>882</v>
      </c>
      <c r="D27" s="4" t="s">
        <v>840</v>
      </c>
      <c r="E27" s="4">
        <v>1.0</v>
      </c>
      <c r="F27" s="4" t="s">
        <v>66</v>
      </c>
      <c r="G27" s="8">
        <v>91168.0</v>
      </c>
      <c r="H27" s="8">
        <v>90413.0</v>
      </c>
      <c r="I27" s="8">
        <v>46290.0</v>
      </c>
      <c r="J27" s="9">
        <f t="shared" si="1"/>
        <v>0.5119838961</v>
      </c>
      <c r="K27" s="8">
        <v>8945.0</v>
      </c>
      <c r="L27" s="9">
        <f t="shared" si="2"/>
        <v>0.09893488768</v>
      </c>
      <c r="M27" s="8">
        <v>3464.0</v>
      </c>
      <c r="N27" s="9">
        <f t="shared" si="3"/>
        <v>0.03831307445</v>
      </c>
      <c r="O27" s="10">
        <v>166826.23</v>
      </c>
      <c r="P27" s="11">
        <f t="shared" si="4"/>
        <v>1.845157555</v>
      </c>
    </row>
    <row r="28" ht="15.75" customHeight="1">
      <c r="A28" s="4" t="s">
        <v>789</v>
      </c>
      <c r="B28" s="4" t="s">
        <v>790</v>
      </c>
      <c r="C28" s="4" t="s">
        <v>883</v>
      </c>
      <c r="D28" s="4" t="s">
        <v>842</v>
      </c>
      <c r="E28" s="4">
        <v>2.0</v>
      </c>
      <c r="F28" s="4" t="s">
        <v>66</v>
      </c>
      <c r="G28" s="8">
        <v>54936.0</v>
      </c>
      <c r="H28" s="8">
        <v>54508.0</v>
      </c>
      <c r="I28" s="8">
        <v>29659.0</v>
      </c>
      <c r="J28" s="9">
        <f t="shared" si="1"/>
        <v>0.5441219637</v>
      </c>
      <c r="K28" s="8">
        <v>5305.0</v>
      </c>
      <c r="L28" s="9">
        <f t="shared" si="2"/>
        <v>0.09732516328</v>
      </c>
      <c r="M28" s="8">
        <v>1396.0</v>
      </c>
      <c r="N28" s="9">
        <f t="shared" si="3"/>
        <v>0.0256109195</v>
      </c>
      <c r="O28" s="10">
        <v>64000.32</v>
      </c>
      <c r="P28" s="11">
        <f t="shared" si="4"/>
        <v>1.174145447</v>
      </c>
    </row>
    <row r="29" ht="15.75" customHeight="1">
      <c r="A29" s="4" t="s">
        <v>789</v>
      </c>
      <c r="B29" s="4" t="s">
        <v>790</v>
      </c>
      <c r="C29" s="4" t="s">
        <v>884</v>
      </c>
      <c r="D29" s="4" t="s">
        <v>844</v>
      </c>
      <c r="E29" s="4">
        <v>3.0</v>
      </c>
      <c r="F29" s="4" t="s">
        <v>66</v>
      </c>
      <c r="G29" s="8">
        <v>27546.0</v>
      </c>
      <c r="H29" s="8">
        <v>27198.0</v>
      </c>
      <c r="I29" s="8">
        <v>12672.0</v>
      </c>
      <c r="J29" s="9">
        <f t="shared" si="1"/>
        <v>0.4659166115</v>
      </c>
      <c r="K29" s="8">
        <v>1943.0</v>
      </c>
      <c r="L29" s="9">
        <f t="shared" si="2"/>
        <v>0.0714390764</v>
      </c>
      <c r="M29" s="8">
        <v>528.0</v>
      </c>
      <c r="N29" s="9">
        <f t="shared" si="3"/>
        <v>0.01941319215</v>
      </c>
      <c r="O29" s="10">
        <v>21814.91</v>
      </c>
      <c r="P29" s="11">
        <f t="shared" si="4"/>
        <v>0.8020777263</v>
      </c>
    </row>
    <row r="30" ht="15.75" customHeight="1">
      <c r="A30" s="4" t="s">
        <v>789</v>
      </c>
      <c r="B30" s="4" t="s">
        <v>790</v>
      </c>
      <c r="C30" s="4" t="s">
        <v>885</v>
      </c>
      <c r="D30" s="4" t="s">
        <v>846</v>
      </c>
      <c r="E30" s="4">
        <v>4.0</v>
      </c>
      <c r="F30" s="4" t="s">
        <v>66</v>
      </c>
      <c r="G30" s="8">
        <v>19578.0</v>
      </c>
      <c r="H30" s="8">
        <v>19410.0</v>
      </c>
      <c r="I30" s="8">
        <v>8532.0</v>
      </c>
      <c r="J30" s="9">
        <f t="shared" si="1"/>
        <v>0.4395672334</v>
      </c>
      <c r="K30" s="8">
        <v>1503.0</v>
      </c>
      <c r="L30" s="9">
        <f t="shared" si="2"/>
        <v>0.07743431221</v>
      </c>
      <c r="M30" s="8">
        <v>293.0</v>
      </c>
      <c r="N30" s="9">
        <f t="shared" si="3"/>
        <v>0.0150953117</v>
      </c>
      <c r="O30" s="10">
        <v>12160.54</v>
      </c>
      <c r="P30" s="11">
        <f t="shared" si="4"/>
        <v>0.626509016</v>
      </c>
    </row>
    <row r="31" ht="15.75" customHeight="1">
      <c r="A31" s="4" t="s">
        <v>791</v>
      </c>
      <c r="B31" s="4" t="s">
        <v>792</v>
      </c>
      <c r="C31" s="4" t="s">
        <v>886</v>
      </c>
      <c r="D31" s="4" t="s">
        <v>887</v>
      </c>
      <c r="E31" s="4">
        <v>1.0</v>
      </c>
      <c r="F31" s="4" t="s">
        <v>66</v>
      </c>
      <c r="G31" s="8">
        <v>38744.0</v>
      </c>
      <c r="H31" s="8">
        <v>38525.0</v>
      </c>
      <c r="I31" s="8">
        <v>17988.0</v>
      </c>
      <c r="J31" s="9">
        <f t="shared" si="1"/>
        <v>0.466917586</v>
      </c>
      <c r="K31" s="8">
        <v>3310.0</v>
      </c>
      <c r="L31" s="9">
        <f t="shared" si="2"/>
        <v>0.08591823491</v>
      </c>
      <c r="M31" s="8">
        <v>611.0</v>
      </c>
      <c r="N31" s="9">
        <f t="shared" si="3"/>
        <v>0.01585983128</v>
      </c>
      <c r="O31" s="10">
        <v>39632.92</v>
      </c>
      <c r="P31" s="11">
        <f t="shared" si="4"/>
        <v>1.028758469</v>
      </c>
    </row>
    <row r="32" ht="15.75" customHeight="1">
      <c r="A32" s="4" t="s">
        <v>791</v>
      </c>
      <c r="B32" s="4" t="s">
        <v>792</v>
      </c>
      <c r="C32" s="4" t="s">
        <v>888</v>
      </c>
      <c r="D32" s="4" t="s">
        <v>889</v>
      </c>
      <c r="E32" s="4">
        <v>2.0</v>
      </c>
      <c r="F32" s="4" t="s">
        <v>66</v>
      </c>
      <c r="G32" s="8">
        <v>26888.0</v>
      </c>
      <c r="H32" s="8">
        <v>26746.0</v>
      </c>
      <c r="I32" s="8">
        <v>13961.0</v>
      </c>
      <c r="J32" s="9">
        <f t="shared" si="1"/>
        <v>0.5219845958</v>
      </c>
      <c r="K32" s="8">
        <v>2084.0</v>
      </c>
      <c r="L32" s="9">
        <f t="shared" si="2"/>
        <v>0.07791819337</v>
      </c>
      <c r="M32" s="8">
        <v>384.0</v>
      </c>
      <c r="N32" s="9">
        <f t="shared" si="3"/>
        <v>0.01435728707</v>
      </c>
      <c r="O32" s="10">
        <v>18817.51</v>
      </c>
      <c r="P32" s="11">
        <f t="shared" si="4"/>
        <v>0.7035635235</v>
      </c>
    </row>
    <row r="33" ht="15.75" customHeight="1">
      <c r="A33" s="4" t="s">
        <v>791</v>
      </c>
      <c r="B33" s="4" t="s">
        <v>792</v>
      </c>
      <c r="C33" s="4" t="s">
        <v>890</v>
      </c>
      <c r="D33" s="4" t="s">
        <v>891</v>
      </c>
      <c r="E33" s="4">
        <v>3.0</v>
      </c>
      <c r="F33" s="4" t="s">
        <v>66</v>
      </c>
      <c r="G33" s="8">
        <v>16625.0</v>
      </c>
      <c r="H33" s="8">
        <v>16376.0</v>
      </c>
      <c r="I33" s="8">
        <v>8020.0</v>
      </c>
      <c r="J33" s="9">
        <f t="shared" si="1"/>
        <v>0.4897410845</v>
      </c>
      <c r="K33" s="8">
        <v>962.0</v>
      </c>
      <c r="L33" s="9">
        <f t="shared" si="2"/>
        <v>0.05874450415</v>
      </c>
      <c r="M33" s="8">
        <v>193.0</v>
      </c>
      <c r="N33" s="9">
        <f t="shared" si="3"/>
        <v>0.01178553981</v>
      </c>
      <c r="O33" s="10">
        <v>8154.49</v>
      </c>
      <c r="P33" s="11">
        <f t="shared" si="4"/>
        <v>0.4979537128</v>
      </c>
    </row>
    <row r="34" ht="15.75" customHeight="1">
      <c r="A34" s="4" t="s">
        <v>793</v>
      </c>
      <c r="B34" s="4" t="s">
        <v>794</v>
      </c>
      <c r="C34" s="4" t="s">
        <v>892</v>
      </c>
      <c r="D34" s="4" t="s">
        <v>887</v>
      </c>
      <c r="E34" s="4">
        <v>1.0</v>
      </c>
      <c r="F34" s="4" t="s">
        <v>66</v>
      </c>
      <c r="G34" s="8">
        <v>41984.0</v>
      </c>
      <c r="H34" s="8">
        <v>41405.0</v>
      </c>
      <c r="I34" s="8">
        <v>20248.0</v>
      </c>
      <c r="J34" s="9">
        <f t="shared" si="1"/>
        <v>0.4890230648</v>
      </c>
      <c r="K34" s="8">
        <v>3485.0</v>
      </c>
      <c r="L34" s="9">
        <f t="shared" si="2"/>
        <v>0.08416857867</v>
      </c>
      <c r="M34" s="8">
        <v>888.0</v>
      </c>
      <c r="N34" s="9">
        <f t="shared" si="3"/>
        <v>0.02144668518</v>
      </c>
      <c r="O34" s="10">
        <v>40380.52</v>
      </c>
      <c r="P34" s="11">
        <f t="shared" si="4"/>
        <v>0.9752570946</v>
      </c>
    </row>
    <row r="35" ht="15.75" customHeight="1">
      <c r="A35" s="4" t="s">
        <v>793</v>
      </c>
      <c r="B35" s="4" t="s">
        <v>794</v>
      </c>
      <c r="C35" s="4" t="s">
        <v>893</v>
      </c>
      <c r="D35" s="4" t="s">
        <v>889</v>
      </c>
      <c r="E35" s="4">
        <v>2.0</v>
      </c>
      <c r="F35" s="4" t="s">
        <v>66</v>
      </c>
      <c r="G35" s="8">
        <v>24562.0</v>
      </c>
      <c r="H35" s="8">
        <v>24490.0</v>
      </c>
      <c r="I35" s="8">
        <v>10743.0</v>
      </c>
      <c r="J35" s="9">
        <f t="shared" si="1"/>
        <v>0.4386688444</v>
      </c>
      <c r="K35" s="8">
        <v>1774.0</v>
      </c>
      <c r="L35" s="9">
        <f t="shared" si="2"/>
        <v>0.07243772969</v>
      </c>
      <c r="M35" s="8">
        <v>268.0</v>
      </c>
      <c r="N35" s="9">
        <f t="shared" si="3"/>
        <v>0.01094324214</v>
      </c>
      <c r="O35" s="10">
        <v>18632.33</v>
      </c>
      <c r="P35" s="11">
        <f t="shared" si="4"/>
        <v>0.7608138016</v>
      </c>
    </row>
    <row r="36" ht="15.75" customHeight="1">
      <c r="A36" s="4" t="s">
        <v>793</v>
      </c>
      <c r="B36" s="4" t="s">
        <v>794</v>
      </c>
      <c r="C36" s="4" t="s">
        <v>894</v>
      </c>
      <c r="D36" s="4" t="s">
        <v>891</v>
      </c>
      <c r="E36" s="4">
        <v>3.0</v>
      </c>
      <c r="F36" s="4" t="s">
        <v>66</v>
      </c>
      <c r="G36" s="8">
        <v>15748.0</v>
      </c>
      <c r="H36" s="8">
        <v>15610.0</v>
      </c>
      <c r="I36" s="8">
        <v>7406.0</v>
      </c>
      <c r="J36" s="9">
        <f t="shared" si="1"/>
        <v>0.4744394619</v>
      </c>
      <c r="K36" s="8">
        <v>944.0</v>
      </c>
      <c r="L36" s="9">
        <f t="shared" si="2"/>
        <v>0.06047405509</v>
      </c>
      <c r="M36" s="8">
        <v>168.0</v>
      </c>
      <c r="N36" s="9">
        <f t="shared" si="3"/>
        <v>0.01076233184</v>
      </c>
      <c r="O36" s="10">
        <v>7983.24</v>
      </c>
      <c r="P36" s="11">
        <f t="shared" si="4"/>
        <v>0.5114183216</v>
      </c>
    </row>
    <row r="37" ht="15.75" customHeight="1">
      <c r="A37" s="4" t="s">
        <v>795</v>
      </c>
      <c r="B37" s="4" t="s">
        <v>796</v>
      </c>
      <c r="C37" s="4" t="s">
        <v>895</v>
      </c>
      <c r="D37" s="4" t="s">
        <v>887</v>
      </c>
      <c r="E37" s="4">
        <v>1.0</v>
      </c>
      <c r="F37" s="4" t="s">
        <v>66</v>
      </c>
      <c r="G37" s="8">
        <v>38168.0</v>
      </c>
      <c r="H37" s="8">
        <v>37904.0</v>
      </c>
      <c r="I37" s="8">
        <v>19113.0</v>
      </c>
      <c r="J37" s="9">
        <f t="shared" si="1"/>
        <v>0.5042475728</v>
      </c>
      <c r="K37" s="8">
        <v>3869.0</v>
      </c>
      <c r="L37" s="9">
        <f t="shared" si="2"/>
        <v>0.1020736598</v>
      </c>
      <c r="M37" s="8">
        <v>818.0</v>
      </c>
      <c r="N37" s="9">
        <f t="shared" si="3"/>
        <v>0.0215808358</v>
      </c>
      <c r="O37" s="10">
        <v>46783.76</v>
      </c>
      <c r="P37" s="11">
        <f t="shared" si="4"/>
        <v>1.234269734</v>
      </c>
    </row>
    <row r="38" ht="15.75" customHeight="1">
      <c r="A38" s="4" t="s">
        <v>795</v>
      </c>
      <c r="B38" s="4" t="s">
        <v>796</v>
      </c>
      <c r="C38" s="4" t="s">
        <v>896</v>
      </c>
      <c r="D38" s="4" t="s">
        <v>889</v>
      </c>
      <c r="E38" s="4">
        <v>2.0</v>
      </c>
      <c r="F38" s="4" t="s">
        <v>66</v>
      </c>
      <c r="G38" s="8">
        <v>26697.0</v>
      </c>
      <c r="H38" s="8">
        <v>26341.0</v>
      </c>
      <c r="I38" s="8">
        <v>13874.0</v>
      </c>
      <c r="J38" s="9">
        <f t="shared" si="1"/>
        <v>0.5267074143</v>
      </c>
      <c r="K38" s="8">
        <v>2197.0</v>
      </c>
      <c r="L38" s="9">
        <f t="shared" si="2"/>
        <v>0.08340609696</v>
      </c>
      <c r="M38" s="8">
        <v>324.0</v>
      </c>
      <c r="N38" s="9">
        <f t="shared" si="3"/>
        <v>0.01230021639</v>
      </c>
      <c r="O38" s="10">
        <v>22096.73</v>
      </c>
      <c r="P38" s="11">
        <f t="shared" si="4"/>
        <v>0.8388721005</v>
      </c>
    </row>
    <row r="39" ht="15.75" customHeight="1">
      <c r="A39" s="4" t="s">
        <v>795</v>
      </c>
      <c r="B39" s="4" t="s">
        <v>796</v>
      </c>
      <c r="C39" s="4" t="s">
        <v>897</v>
      </c>
      <c r="D39" s="4" t="s">
        <v>891</v>
      </c>
      <c r="E39" s="4">
        <v>3.0</v>
      </c>
      <c r="F39" s="4" t="s">
        <v>66</v>
      </c>
      <c r="G39" s="8">
        <v>15857.0</v>
      </c>
      <c r="H39" s="8">
        <v>15731.0</v>
      </c>
      <c r="I39" s="8">
        <v>7418.0</v>
      </c>
      <c r="J39" s="9">
        <f t="shared" si="1"/>
        <v>0.4715529846</v>
      </c>
      <c r="K39" s="8">
        <v>897.0</v>
      </c>
      <c r="L39" s="9">
        <f t="shared" si="2"/>
        <v>0.05702116839</v>
      </c>
      <c r="M39" s="8">
        <v>143.0</v>
      </c>
      <c r="N39" s="9">
        <f t="shared" si="3"/>
        <v>0.009090331193</v>
      </c>
      <c r="O39" s="10">
        <v>7817.85</v>
      </c>
      <c r="P39" s="11">
        <f t="shared" si="4"/>
        <v>0.4969709491</v>
      </c>
    </row>
    <row r="40" ht="15.75" customHeight="1">
      <c r="A40" s="4" t="s">
        <v>797</v>
      </c>
      <c r="B40" s="4" t="s">
        <v>798</v>
      </c>
      <c r="C40" s="4" t="s">
        <v>898</v>
      </c>
      <c r="D40" s="4" t="s">
        <v>887</v>
      </c>
      <c r="E40" s="4">
        <v>1.0</v>
      </c>
      <c r="F40" s="4" t="s">
        <v>66</v>
      </c>
      <c r="G40" s="8">
        <v>44275.0</v>
      </c>
      <c r="H40" s="8">
        <v>43840.0</v>
      </c>
      <c r="I40" s="8">
        <v>19785.0</v>
      </c>
      <c r="J40" s="9">
        <f t="shared" si="1"/>
        <v>0.4513001825</v>
      </c>
      <c r="K40" s="8">
        <v>3600.0</v>
      </c>
      <c r="L40" s="9">
        <f t="shared" si="2"/>
        <v>0.08211678832</v>
      </c>
      <c r="M40" s="8">
        <v>753.0</v>
      </c>
      <c r="N40" s="9">
        <f t="shared" si="3"/>
        <v>0.01717609489</v>
      </c>
      <c r="O40" s="10">
        <v>46811.95</v>
      </c>
      <c r="P40" s="11">
        <f t="shared" si="4"/>
        <v>1.06779083</v>
      </c>
    </row>
    <row r="41" ht="15.75" customHeight="1">
      <c r="A41" s="4" t="s">
        <v>797</v>
      </c>
      <c r="B41" s="4" t="s">
        <v>798</v>
      </c>
      <c r="C41" s="4" t="s">
        <v>899</v>
      </c>
      <c r="D41" s="4" t="s">
        <v>889</v>
      </c>
      <c r="E41" s="4">
        <v>2.0</v>
      </c>
      <c r="F41" s="4" t="s">
        <v>66</v>
      </c>
      <c r="G41" s="8">
        <v>25941.0</v>
      </c>
      <c r="H41" s="8">
        <v>25873.0</v>
      </c>
      <c r="I41" s="8">
        <v>11494.0</v>
      </c>
      <c r="J41" s="9">
        <f t="shared" si="1"/>
        <v>0.4442468983</v>
      </c>
      <c r="K41" s="8">
        <v>1859.0</v>
      </c>
      <c r="L41" s="9">
        <f t="shared" si="2"/>
        <v>0.07185096433</v>
      </c>
      <c r="M41" s="8">
        <v>391.0</v>
      </c>
      <c r="N41" s="9">
        <f t="shared" si="3"/>
        <v>0.01511227921</v>
      </c>
      <c r="O41" s="10">
        <v>21332.04</v>
      </c>
      <c r="P41" s="11">
        <f t="shared" si="4"/>
        <v>0.8244903954</v>
      </c>
    </row>
    <row r="42" ht="15.75" customHeight="1">
      <c r="A42" s="4" t="s">
        <v>797</v>
      </c>
      <c r="B42" s="4" t="s">
        <v>798</v>
      </c>
      <c r="C42" s="4" t="s">
        <v>900</v>
      </c>
      <c r="D42" s="4" t="s">
        <v>891</v>
      </c>
      <c r="E42" s="4">
        <v>3.0</v>
      </c>
      <c r="F42" s="4" t="s">
        <v>66</v>
      </c>
      <c r="G42" s="8">
        <v>16395.0</v>
      </c>
      <c r="H42" s="8">
        <v>16341.0</v>
      </c>
      <c r="I42" s="8">
        <v>7708.0</v>
      </c>
      <c r="J42" s="9">
        <f t="shared" si="1"/>
        <v>0.4716969586</v>
      </c>
      <c r="K42" s="8">
        <v>1017.0</v>
      </c>
      <c r="L42" s="9">
        <f t="shared" si="2"/>
        <v>0.06223609326</v>
      </c>
      <c r="M42" s="8">
        <v>138.0</v>
      </c>
      <c r="N42" s="9">
        <f t="shared" si="3"/>
        <v>0.008445015605</v>
      </c>
      <c r="O42" s="10">
        <v>8457.57</v>
      </c>
      <c r="P42" s="11">
        <f t="shared" si="4"/>
        <v>0.5175674683</v>
      </c>
    </row>
    <row r="43" ht="15.75" customHeight="1">
      <c r="A43" s="4" t="s">
        <v>799</v>
      </c>
      <c r="B43" s="4" t="s">
        <v>800</v>
      </c>
      <c r="C43" s="4" t="s">
        <v>901</v>
      </c>
      <c r="D43" s="4" t="s">
        <v>902</v>
      </c>
      <c r="E43" s="4">
        <v>1.0</v>
      </c>
      <c r="F43" s="4" t="s">
        <v>66</v>
      </c>
      <c r="G43" s="8">
        <v>9023.0</v>
      </c>
      <c r="H43" s="8">
        <v>8939.0</v>
      </c>
      <c r="I43" s="8">
        <v>4262.0</v>
      </c>
      <c r="J43" s="9">
        <f t="shared" si="1"/>
        <v>0.4767871127</v>
      </c>
      <c r="K43" s="8">
        <v>1081.0</v>
      </c>
      <c r="L43" s="9">
        <f t="shared" si="2"/>
        <v>0.1209307529</v>
      </c>
      <c r="M43" s="8">
        <v>371.0</v>
      </c>
      <c r="N43" s="9">
        <f t="shared" si="3"/>
        <v>0.04150352388</v>
      </c>
      <c r="O43" s="10">
        <v>18032.23</v>
      </c>
      <c r="P43" s="11">
        <f t="shared" si="4"/>
        <v>2.017253608</v>
      </c>
    </row>
    <row r="44" ht="15.75" customHeight="1">
      <c r="A44" s="4" t="s">
        <v>799</v>
      </c>
      <c r="B44" s="4" t="s">
        <v>800</v>
      </c>
      <c r="C44" s="4" t="s">
        <v>903</v>
      </c>
      <c r="D44" s="4" t="s">
        <v>904</v>
      </c>
      <c r="E44" s="4">
        <v>2.0</v>
      </c>
      <c r="F44" s="4" t="s">
        <v>66</v>
      </c>
      <c r="G44" s="8">
        <v>5670.0</v>
      </c>
      <c r="H44" s="8">
        <v>5612.0</v>
      </c>
      <c r="I44" s="8">
        <v>2415.0</v>
      </c>
      <c r="J44" s="9">
        <f t="shared" si="1"/>
        <v>0.4303278689</v>
      </c>
      <c r="K44" s="8">
        <v>644.0</v>
      </c>
      <c r="L44" s="9">
        <f t="shared" si="2"/>
        <v>0.1147540984</v>
      </c>
      <c r="M44" s="8">
        <v>140.0</v>
      </c>
      <c r="N44" s="9">
        <f t="shared" si="3"/>
        <v>0.02494654312</v>
      </c>
      <c r="O44" s="10">
        <v>9071.48</v>
      </c>
      <c r="P44" s="11">
        <f t="shared" si="4"/>
        <v>1.616443336</v>
      </c>
    </row>
    <row r="45" ht="15.75" customHeight="1">
      <c r="A45" s="4" t="s">
        <v>802</v>
      </c>
      <c r="B45" s="4" t="s">
        <v>803</v>
      </c>
      <c r="C45" s="4" t="s">
        <v>905</v>
      </c>
      <c r="D45" s="4" t="s">
        <v>906</v>
      </c>
      <c r="E45" s="4">
        <v>1.0</v>
      </c>
      <c r="F45" s="4" t="s">
        <v>66</v>
      </c>
      <c r="G45" s="8">
        <v>59111.0</v>
      </c>
      <c r="H45" s="8">
        <v>58744.0</v>
      </c>
      <c r="I45" s="8">
        <v>26763.0</v>
      </c>
      <c r="J45" s="9">
        <f t="shared" si="1"/>
        <v>0.4555869536</v>
      </c>
      <c r="K45" s="8">
        <v>3750.0</v>
      </c>
      <c r="L45" s="9">
        <f t="shared" si="2"/>
        <v>0.06383630669</v>
      </c>
      <c r="M45" s="8">
        <v>826.0</v>
      </c>
      <c r="N45" s="9">
        <f t="shared" si="3"/>
        <v>0.01406101049</v>
      </c>
      <c r="O45" s="10">
        <v>35534.84</v>
      </c>
      <c r="P45" s="11">
        <f t="shared" si="4"/>
        <v>0.6049101185</v>
      </c>
    </row>
    <row r="46" ht="15.75" customHeight="1">
      <c r="A46" s="4" t="s">
        <v>802</v>
      </c>
      <c r="B46" s="4" t="s">
        <v>803</v>
      </c>
      <c r="C46" s="4" t="s">
        <v>907</v>
      </c>
      <c r="D46" s="4" t="s">
        <v>908</v>
      </c>
      <c r="E46" s="4">
        <v>2.0</v>
      </c>
      <c r="F46" s="4" t="s">
        <v>66</v>
      </c>
      <c r="G46" s="8">
        <v>33354.0</v>
      </c>
      <c r="H46" s="8">
        <v>32890.0</v>
      </c>
      <c r="I46" s="8">
        <v>13643.0</v>
      </c>
      <c r="J46" s="9">
        <f t="shared" si="1"/>
        <v>0.4148069322</v>
      </c>
      <c r="K46" s="8">
        <v>1465.0</v>
      </c>
      <c r="L46" s="9">
        <f t="shared" si="2"/>
        <v>0.04454241411</v>
      </c>
      <c r="M46" s="8">
        <v>331.0</v>
      </c>
      <c r="N46" s="9">
        <f t="shared" si="3"/>
        <v>0.01006384919</v>
      </c>
      <c r="O46" s="10">
        <v>12986.6</v>
      </c>
      <c r="P46" s="11">
        <f t="shared" si="4"/>
        <v>0.3948494983</v>
      </c>
    </row>
    <row r="47" ht="15.75" customHeight="1">
      <c r="A47" s="4" t="s">
        <v>802</v>
      </c>
      <c r="B47" s="4" t="s">
        <v>803</v>
      </c>
      <c r="C47" s="4" t="s">
        <v>909</v>
      </c>
      <c r="D47" s="4" t="s">
        <v>910</v>
      </c>
      <c r="E47" s="4">
        <v>3.0</v>
      </c>
      <c r="F47" s="4" t="s">
        <v>66</v>
      </c>
      <c r="G47" s="8">
        <v>21322.0</v>
      </c>
      <c r="H47" s="8">
        <v>21191.0</v>
      </c>
      <c r="I47" s="8">
        <v>8011.0</v>
      </c>
      <c r="J47" s="9">
        <f t="shared" si="1"/>
        <v>0.3780378463</v>
      </c>
      <c r="K47" s="8">
        <v>849.0</v>
      </c>
      <c r="L47" s="9">
        <f t="shared" si="2"/>
        <v>0.04006417819</v>
      </c>
      <c r="M47" s="8">
        <v>138.0</v>
      </c>
      <c r="N47" s="9">
        <f t="shared" si="3"/>
        <v>0.006512198575</v>
      </c>
      <c r="O47" s="10">
        <v>6358.25</v>
      </c>
      <c r="P47" s="11">
        <f t="shared" si="4"/>
        <v>0.3000448304</v>
      </c>
    </row>
    <row r="48" ht="15.75" customHeight="1">
      <c r="A48" s="4" t="s">
        <v>804</v>
      </c>
      <c r="B48" s="4" t="s">
        <v>805</v>
      </c>
      <c r="C48" s="4" t="s">
        <v>911</v>
      </c>
      <c r="D48" s="4" t="s">
        <v>912</v>
      </c>
      <c r="E48" s="4">
        <v>1.0</v>
      </c>
      <c r="F48" s="4" t="s">
        <v>66</v>
      </c>
      <c r="G48" s="8">
        <v>166682.0</v>
      </c>
      <c r="H48" s="8">
        <v>166169.0</v>
      </c>
      <c r="I48" s="8">
        <v>103356.0</v>
      </c>
      <c r="J48" s="9">
        <f t="shared" si="1"/>
        <v>0.6219932719</v>
      </c>
      <c r="K48" s="8">
        <v>11668.0</v>
      </c>
      <c r="L48" s="9">
        <f t="shared" si="2"/>
        <v>0.07021766996</v>
      </c>
      <c r="M48" s="8">
        <v>320.0</v>
      </c>
      <c r="N48" s="9">
        <f t="shared" si="3"/>
        <v>0.00192575029</v>
      </c>
      <c r="O48" s="10">
        <v>24661.07</v>
      </c>
      <c r="P48" s="11">
        <f t="shared" si="4"/>
        <v>0.148409571</v>
      </c>
    </row>
    <row r="49" ht="15.75" customHeight="1">
      <c r="A49" s="4" t="s">
        <v>804</v>
      </c>
      <c r="B49" s="4" t="s">
        <v>805</v>
      </c>
      <c r="C49" s="4" t="s">
        <v>913</v>
      </c>
      <c r="D49" s="4" t="s">
        <v>914</v>
      </c>
      <c r="E49" s="4">
        <v>2.0</v>
      </c>
      <c r="F49" s="4" t="s">
        <v>66</v>
      </c>
      <c r="G49" s="8">
        <v>103362.0</v>
      </c>
      <c r="H49" s="8">
        <v>102903.0</v>
      </c>
      <c r="I49" s="8">
        <v>58507.0</v>
      </c>
      <c r="J49" s="9">
        <f t="shared" si="1"/>
        <v>0.5685645705</v>
      </c>
      <c r="K49" s="8">
        <v>6279.0</v>
      </c>
      <c r="L49" s="9">
        <f t="shared" si="2"/>
        <v>0.06101862919</v>
      </c>
      <c r="M49" s="8">
        <v>170.0</v>
      </c>
      <c r="N49" s="9">
        <f t="shared" si="3"/>
        <v>0.001652041243</v>
      </c>
      <c r="O49" s="10">
        <v>9236.83</v>
      </c>
      <c r="P49" s="11">
        <f t="shared" si="4"/>
        <v>0.08976249478</v>
      </c>
    </row>
    <row r="50" ht="15.75" customHeight="1">
      <c r="A50" s="4" t="s">
        <v>806</v>
      </c>
      <c r="B50" s="4" t="s">
        <v>807</v>
      </c>
      <c r="C50" s="4" t="s">
        <v>915</v>
      </c>
      <c r="D50" s="4" t="s">
        <v>912</v>
      </c>
      <c r="E50" s="4">
        <v>1.0</v>
      </c>
      <c r="F50" s="4" t="s">
        <v>66</v>
      </c>
      <c r="G50" s="8">
        <v>172937.0</v>
      </c>
      <c r="H50" s="8">
        <v>171383.0</v>
      </c>
      <c r="I50" s="8">
        <v>113555.0</v>
      </c>
      <c r="J50" s="9">
        <f t="shared" si="1"/>
        <v>0.6625803026</v>
      </c>
      <c r="K50" s="8">
        <v>13230.0</v>
      </c>
      <c r="L50" s="9">
        <f t="shared" si="2"/>
        <v>0.07719552114</v>
      </c>
      <c r="M50" s="8">
        <v>280.0</v>
      </c>
      <c r="N50" s="9">
        <f t="shared" si="3"/>
        <v>0.001633767643</v>
      </c>
      <c r="O50" s="10">
        <v>25061.56</v>
      </c>
      <c r="P50" s="11">
        <f t="shared" si="4"/>
        <v>0.1462313065</v>
      </c>
    </row>
    <row r="51" ht="15.75" customHeight="1">
      <c r="A51" s="4" t="s">
        <v>808</v>
      </c>
      <c r="B51" s="4" t="s">
        <v>809</v>
      </c>
      <c r="C51" s="4" t="s">
        <v>916</v>
      </c>
      <c r="D51" s="4" t="s">
        <v>912</v>
      </c>
      <c r="E51" s="4">
        <v>1.0</v>
      </c>
      <c r="F51" s="4" t="s">
        <v>66</v>
      </c>
      <c r="G51" s="8">
        <v>171744.0</v>
      </c>
      <c r="H51" s="8">
        <v>169868.0</v>
      </c>
      <c r="I51" s="8">
        <v>110982.0</v>
      </c>
      <c r="J51" s="9">
        <f t="shared" si="1"/>
        <v>0.6533425954</v>
      </c>
      <c r="K51" s="8">
        <v>12808.0</v>
      </c>
      <c r="L51" s="9">
        <f t="shared" si="2"/>
        <v>0.07539972214</v>
      </c>
      <c r="M51" s="8">
        <v>332.0</v>
      </c>
      <c r="N51" s="9">
        <f t="shared" si="3"/>
        <v>0.001954458756</v>
      </c>
      <c r="O51" s="10">
        <v>27833.3</v>
      </c>
      <c r="P51" s="11">
        <f t="shared" si="4"/>
        <v>0.1638525208</v>
      </c>
    </row>
    <row r="52" ht="15.75" customHeight="1">
      <c r="A52" s="4" t="s">
        <v>810</v>
      </c>
      <c r="B52" s="4" t="s">
        <v>811</v>
      </c>
      <c r="C52" s="4" t="s">
        <v>917</v>
      </c>
      <c r="D52" s="4" t="s">
        <v>912</v>
      </c>
      <c r="E52" s="4">
        <v>1.0</v>
      </c>
      <c r="F52" s="4" t="s">
        <v>66</v>
      </c>
      <c r="G52" s="8">
        <v>159764.0</v>
      </c>
      <c r="H52" s="8">
        <v>159274.0</v>
      </c>
      <c r="I52" s="8">
        <v>106097.0</v>
      </c>
      <c r="J52" s="9">
        <f t="shared" si="1"/>
        <v>0.6661288095</v>
      </c>
      <c r="K52" s="8">
        <v>10182.0</v>
      </c>
      <c r="L52" s="9">
        <f t="shared" si="2"/>
        <v>0.06392757136</v>
      </c>
      <c r="M52" s="8">
        <v>264.0</v>
      </c>
      <c r="N52" s="9">
        <f t="shared" si="3"/>
        <v>0.001657521002</v>
      </c>
      <c r="O52" s="10">
        <v>27347.09</v>
      </c>
      <c r="P52" s="11">
        <f t="shared" si="4"/>
        <v>0.171698394</v>
      </c>
    </row>
    <row r="53" ht="15.75" customHeight="1">
      <c r="A53" s="4" t="s">
        <v>812</v>
      </c>
      <c r="B53" s="4" t="s">
        <v>813</v>
      </c>
      <c r="C53" s="4" t="s">
        <v>918</v>
      </c>
      <c r="D53" s="4" t="s">
        <v>919</v>
      </c>
      <c r="E53" s="4">
        <v>1.0</v>
      </c>
      <c r="F53" s="4" t="s">
        <v>66</v>
      </c>
      <c r="G53" s="8">
        <v>12850.0</v>
      </c>
      <c r="H53" s="8">
        <v>12769.0</v>
      </c>
      <c r="I53" s="8">
        <v>8293.0</v>
      </c>
      <c r="J53" s="9">
        <f t="shared" si="1"/>
        <v>0.6494635445</v>
      </c>
      <c r="K53" s="8">
        <v>983.0</v>
      </c>
      <c r="L53" s="9">
        <f t="shared" si="2"/>
        <v>0.07698331898</v>
      </c>
      <c r="M53" s="8">
        <v>0.0</v>
      </c>
      <c r="N53" s="9">
        <f t="shared" si="3"/>
        <v>0</v>
      </c>
      <c r="O53" s="10">
        <v>0.0</v>
      </c>
      <c r="P53" s="11">
        <f t="shared" si="4"/>
        <v>0</v>
      </c>
    </row>
    <row r="54" ht="15.75" customHeight="1">
      <c r="A54" s="4" t="s">
        <v>812</v>
      </c>
      <c r="B54" s="4" t="s">
        <v>813</v>
      </c>
      <c r="C54" s="4" t="s">
        <v>920</v>
      </c>
      <c r="D54" s="4" t="s">
        <v>919</v>
      </c>
      <c r="E54" s="4">
        <v>2.0</v>
      </c>
      <c r="F54" s="4" t="s">
        <v>66</v>
      </c>
      <c r="G54" s="8">
        <v>8352.0</v>
      </c>
      <c r="H54" s="8">
        <v>8276.0</v>
      </c>
      <c r="I54" s="8">
        <v>5070.0</v>
      </c>
      <c r="J54" s="9">
        <f t="shared" si="1"/>
        <v>0.6126147898</v>
      </c>
      <c r="K54" s="8">
        <v>663.0</v>
      </c>
      <c r="L54" s="9">
        <f t="shared" si="2"/>
        <v>0.08011116481</v>
      </c>
      <c r="M54" s="8">
        <v>0.0</v>
      </c>
      <c r="N54" s="9">
        <f t="shared" si="3"/>
        <v>0</v>
      </c>
      <c r="O54" s="10">
        <v>0.0</v>
      </c>
      <c r="P54" s="11">
        <f t="shared" si="4"/>
        <v>0</v>
      </c>
    </row>
    <row r="55" ht="15.75" customHeight="1">
      <c r="A55" s="4" t="s">
        <v>814</v>
      </c>
      <c r="B55" s="4" t="s">
        <v>815</v>
      </c>
      <c r="C55" s="4" t="s">
        <v>921</v>
      </c>
      <c r="D55" s="4" t="s">
        <v>919</v>
      </c>
      <c r="E55" s="4">
        <v>1.0</v>
      </c>
      <c r="F55" s="4" t="s">
        <v>66</v>
      </c>
      <c r="G55" s="8">
        <v>12967.0</v>
      </c>
      <c r="H55" s="8">
        <v>12909.0</v>
      </c>
      <c r="I55" s="8">
        <v>8758.0</v>
      </c>
      <c r="J55" s="9">
        <f t="shared" si="1"/>
        <v>0.6784413975</v>
      </c>
      <c r="K55" s="8">
        <v>1228.0</v>
      </c>
      <c r="L55" s="9">
        <f t="shared" si="2"/>
        <v>0.09512743047</v>
      </c>
      <c r="M55" s="8">
        <v>0.0</v>
      </c>
      <c r="N55" s="9">
        <f t="shared" si="3"/>
        <v>0</v>
      </c>
      <c r="O55" s="10">
        <v>0.0</v>
      </c>
      <c r="P55" s="11">
        <f t="shared" si="4"/>
        <v>0</v>
      </c>
    </row>
    <row r="56" ht="15.75" customHeight="1">
      <c r="A56" s="4" t="s">
        <v>816</v>
      </c>
      <c r="B56" s="4" t="s">
        <v>817</v>
      </c>
      <c r="C56" s="4" t="s">
        <v>922</v>
      </c>
      <c r="D56" s="4" t="s">
        <v>919</v>
      </c>
      <c r="E56" s="4">
        <v>1.0</v>
      </c>
      <c r="F56" s="4" t="s">
        <v>66</v>
      </c>
      <c r="G56" s="8">
        <v>14322.0</v>
      </c>
      <c r="H56" s="8">
        <v>14123.0</v>
      </c>
      <c r="I56" s="8">
        <v>8504.0</v>
      </c>
      <c r="J56" s="9">
        <f t="shared" si="1"/>
        <v>0.6021383559</v>
      </c>
      <c r="K56" s="8">
        <v>1153.0</v>
      </c>
      <c r="L56" s="9">
        <f t="shared" si="2"/>
        <v>0.08163987821</v>
      </c>
      <c r="M56" s="8">
        <v>0.0</v>
      </c>
      <c r="N56" s="9">
        <f t="shared" si="3"/>
        <v>0</v>
      </c>
      <c r="O56" s="10">
        <v>0.0</v>
      </c>
      <c r="P56" s="11">
        <f t="shared" si="4"/>
        <v>0</v>
      </c>
    </row>
    <row r="57" ht="15.75" customHeight="1">
      <c r="A57" s="4" t="s">
        <v>818</v>
      </c>
      <c r="B57" s="4" t="s">
        <v>819</v>
      </c>
      <c r="C57" s="4" t="s">
        <v>923</v>
      </c>
      <c r="D57" s="4" t="s">
        <v>919</v>
      </c>
      <c r="E57" s="4">
        <v>1.0</v>
      </c>
      <c r="F57" s="4" t="s">
        <v>66</v>
      </c>
      <c r="G57" s="8">
        <v>12658.0</v>
      </c>
      <c r="H57" s="8">
        <v>12472.0</v>
      </c>
      <c r="I57" s="8">
        <v>8194.0</v>
      </c>
      <c r="J57" s="9">
        <f t="shared" si="1"/>
        <v>0.6569916613</v>
      </c>
      <c r="K57" s="8">
        <v>1002.0</v>
      </c>
      <c r="L57" s="9">
        <f t="shared" si="2"/>
        <v>0.08033996151</v>
      </c>
      <c r="M57" s="8">
        <v>0.0</v>
      </c>
      <c r="N57" s="9">
        <f t="shared" si="3"/>
        <v>0</v>
      </c>
      <c r="O57" s="10">
        <v>0.0</v>
      </c>
      <c r="P57" s="11">
        <f t="shared" si="4"/>
        <v>0</v>
      </c>
    </row>
    <row r="58" ht="15.75" customHeight="1">
      <c r="A58" s="4" t="s">
        <v>820</v>
      </c>
      <c r="B58" s="4" t="s">
        <v>821</v>
      </c>
      <c r="C58" s="4" t="s">
        <v>924</v>
      </c>
      <c r="D58" s="4" t="s">
        <v>925</v>
      </c>
      <c r="E58" s="4">
        <v>1.0</v>
      </c>
      <c r="F58" s="4" t="s">
        <v>66</v>
      </c>
      <c r="G58" s="8">
        <v>28934.0</v>
      </c>
      <c r="H58" s="8">
        <v>28702.0</v>
      </c>
      <c r="I58" s="8">
        <v>11891.0</v>
      </c>
      <c r="J58" s="9">
        <f t="shared" si="1"/>
        <v>0.414291687</v>
      </c>
      <c r="K58" s="8">
        <v>3102.0</v>
      </c>
      <c r="L58" s="9">
        <f t="shared" si="2"/>
        <v>0.1080760923</v>
      </c>
      <c r="M58" s="8">
        <v>690.0</v>
      </c>
      <c r="N58" s="9">
        <f t="shared" si="3"/>
        <v>0.02404013658</v>
      </c>
      <c r="O58" s="10">
        <v>58861.6</v>
      </c>
      <c r="P58" s="11">
        <f t="shared" si="4"/>
        <v>2.050783917</v>
      </c>
    </row>
    <row r="59" ht="15.75" customHeight="1">
      <c r="A59" s="4" t="s">
        <v>820</v>
      </c>
      <c r="B59" s="4" t="s">
        <v>821</v>
      </c>
      <c r="C59" s="4" t="s">
        <v>926</v>
      </c>
      <c r="D59" s="4" t="s">
        <v>927</v>
      </c>
      <c r="E59" s="4">
        <v>2.0</v>
      </c>
      <c r="F59" s="4" t="s">
        <v>66</v>
      </c>
      <c r="G59" s="8">
        <v>14957.0</v>
      </c>
      <c r="H59" s="8">
        <v>14908.0</v>
      </c>
      <c r="I59" s="8">
        <v>6888.0</v>
      </c>
      <c r="J59" s="9">
        <f t="shared" si="1"/>
        <v>0.4620338074</v>
      </c>
      <c r="K59" s="8">
        <v>1246.0</v>
      </c>
      <c r="L59" s="9">
        <f t="shared" si="2"/>
        <v>0.08357928629</v>
      </c>
      <c r="M59" s="8">
        <v>311.0</v>
      </c>
      <c r="N59" s="9">
        <f t="shared" si="3"/>
        <v>0.02086128253</v>
      </c>
      <c r="O59" s="10">
        <v>18756.59</v>
      </c>
      <c r="P59" s="11">
        <f t="shared" si="4"/>
        <v>1.258156024</v>
      </c>
    </row>
    <row r="60" ht="15.75" customHeight="1">
      <c r="A60" s="4" t="s">
        <v>820</v>
      </c>
      <c r="B60" s="4" t="s">
        <v>821</v>
      </c>
      <c r="C60" s="4" t="s">
        <v>928</v>
      </c>
      <c r="D60" s="4" t="s">
        <v>929</v>
      </c>
      <c r="E60" s="4">
        <v>3.0</v>
      </c>
      <c r="F60" s="4" t="s">
        <v>66</v>
      </c>
      <c r="G60" s="8">
        <v>9621.0</v>
      </c>
      <c r="H60" s="8">
        <v>9507.0</v>
      </c>
      <c r="I60" s="8">
        <v>3752.0</v>
      </c>
      <c r="J60" s="9">
        <f t="shared" si="1"/>
        <v>0.3946565688</v>
      </c>
      <c r="K60" s="8">
        <v>754.0</v>
      </c>
      <c r="L60" s="9">
        <f t="shared" si="2"/>
        <v>0.07930998212</v>
      </c>
      <c r="M60" s="8">
        <v>143.0</v>
      </c>
      <c r="N60" s="9">
        <f t="shared" si="3"/>
        <v>0.01504154833</v>
      </c>
      <c r="O60" s="10">
        <v>9295.08</v>
      </c>
      <c r="P60" s="11">
        <f t="shared" si="4"/>
        <v>0.9777090565</v>
      </c>
    </row>
    <row r="61" ht="15.75" customHeight="1">
      <c r="A61" s="4" t="s">
        <v>826</v>
      </c>
      <c r="B61" s="4" t="s">
        <v>827</v>
      </c>
      <c r="C61" s="4" t="s">
        <v>930</v>
      </c>
      <c r="D61" s="4" t="s">
        <v>931</v>
      </c>
      <c r="E61" s="4">
        <v>1.0</v>
      </c>
      <c r="F61" s="4" t="s">
        <v>66</v>
      </c>
      <c r="G61" s="8">
        <v>30377.0</v>
      </c>
      <c r="H61" s="8">
        <v>30256.0</v>
      </c>
      <c r="I61" s="8">
        <v>10416.0</v>
      </c>
      <c r="J61" s="9">
        <f t="shared" si="1"/>
        <v>0.3442622951</v>
      </c>
      <c r="K61" s="8">
        <v>4128.0</v>
      </c>
      <c r="L61" s="9">
        <f t="shared" si="2"/>
        <v>0.1364357483</v>
      </c>
      <c r="M61" s="8">
        <v>0.0</v>
      </c>
      <c r="N61" s="9">
        <f t="shared" si="3"/>
        <v>0</v>
      </c>
      <c r="O61" s="10">
        <v>0.0</v>
      </c>
      <c r="P61" s="11">
        <f t="shared" si="4"/>
        <v>0</v>
      </c>
    </row>
    <row r="62" ht="15.75" customHeight="1">
      <c r="A62" s="4" t="s">
        <v>826</v>
      </c>
      <c r="B62" s="4" t="s">
        <v>827</v>
      </c>
      <c r="C62" s="4" t="s">
        <v>932</v>
      </c>
      <c r="D62" s="4" t="s">
        <v>933</v>
      </c>
      <c r="E62" s="4">
        <v>2.0</v>
      </c>
      <c r="F62" s="4" t="s">
        <v>66</v>
      </c>
      <c r="G62" s="8">
        <v>20715.0</v>
      </c>
      <c r="H62" s="8">
        <v>20673.0</v>
      </c>
      <c r="I62" s="8">
        <v>6109.0</v>
      </c>
      <c r="J62" s="9">
        <f t="shared" si="1"/>
        <v>0.2955062158</v>
      </c>
      <c r="K62" s="8">
        <v>2386.0</v>
      </c>
      <c r="L62" s="9">
        <f t="shared" si="2"/>
        <v>0.1154162434</v>
      </c>
      <c r="M62" s="8">
        <v>0.0</v>
      </c>
      <c r="N62" s="9">
        <f t="shared" si="3"/>
        <v>0</v>
      </c>
      <c r="O62" s="10">
        <v>0.0</v>
      </c>
      <c r="P62" s="11">
        <f t="shared" si="4"/>
        <v>0</v>
      </c>
    </row>
    <row r="63" ht="15.75" customHeight="1">
      <c r="A63" s="4" t="s">
        <v>828</v>
      </c>
      <c r="B63" s="4" t="s">
        <v>829</v>
      </c>
      <c r="C63" s="4" t="s">
        <v>934</v>
      </c>
      <c r="D63" s="4" t="s">
        <v>935</v>
      </c>
      <c r="E63" s="4">
        <v>1.0</v>
      </c>
      <c r="F63" s="4" t="s">
        <v>66</v>
      </c>
      <c r="G63" s="8">
        <v>9131.0</v>
      </c>
      <c r="H63" s="8">
        <v>9101.0</v>
      </c>
      <c r="I63" s="8">
        <v>3961.0</v>
      </c>
      <c r="J63" s="9">
        <f t="shared" si="1"/>
        <v>0.4352268981</v>
      </c>
      <c r="K63" s="8">
        <v>585.0</v>
      </c>
      <c r="L63" s="9">
        <f t="shared" si="2"/>
        <v>0.0642786507</v>
      </c>
      <c r="M63" s="8">
        <v>135.0</v>
      </c>
      <c r="N63" s="9">
        <f t="shared" si="3"/>
        <v>0.01483353478</v>
      </c>
      <c r="O63" s="10">
        <v>11681.67</v>
      </c>
      <c r="P63" s="11">
        <f t="shared" si="4"/>
        <v>1.28355895</v>
      </c>
    </row>
    <row r="64" ht="15.75" customHeight="1">
      <c r="A64" s="4" t="s">
        <v>828</v>
      </c>
      <c r="B64" s="4" t="s">
        <v>829</v>
      </c>
      <c r="C64" s="4" t="s">
        <v>936</v>
      </c>
      <c r="D64" s="4" t="s">
        <v>937</v>
      </c>
      <c r="E64" s="4">
        <v>2.0</v>
      </c>
      <c r="F64" s="4" t="s">
        <v>66</v>
      </c>
      <c r="G64" s="8">
        <v>5117.0</v>
      </c>
      <c r="H64" s="8">
        <v>5077.0</v>
      </c>
      <c r="I64" s="8">
        <v>1821.0</v>
      </c>
      <c r="J64" s="9">
        <f t="shared" si="1"/>
        <v>0.3586763837</v>
      </c>
      <c r="K64" s="8">
        <v>315.0</v>
      </c>
      <c r="L64" s="9">
        <f t="shared" si="2"/>
        <v>0.06204451448</v>
      </c>
      <c r="M64" s="8">
        <v>79.0</v>
      </c>
      <c r="N64" s="9">
        <f t="shared" si="3"/>
        <v>0.0155603703</v>
      </c>
      <c r="O64" s="10">
        <v>4718.24</v>
      </c>
      <c r="P64" s="11">
        <f t="shared" si="4"/>
        <v>0.9293362222</v>
      </c>
    </row>
    <row r="65" ht="15.75" customHeight="1">
      <c r="A65" s="4" t="s">
        <v>828</v>
      </c>
      <c r="B65" s="4" t="s">
        <v>829</v>
      </c>
      <c r="C65" s="4" t="s">
        <v>938</v>
      </c>
      <c r="D65" s="4" t="s">
        <v>939</v>
      </c>
      <c r="E65" s="4">
        <v>3.0</v>
      </c>
      <c r="F65" s="4" t="s">
        <v>66</v>
      </c>
      <c r="G65" s="8">
        <v>3098.0</v>
      </c>
      <c r="H65" s="8">
        <v>3077.0</v>
      </c>
      <c r="I65" s="8">
        <v>1097.0</v>
      </c>
      <c r="J65" s="9">
        <f t="shared" si="1"/>
        <v>0.3565160871</v>
      </c>
      <c r="K65" s="8">
        <v>152.0</v>
      </c>
      <c r="L65" s="9">
        <f t="shared" si="2"/>
        <v>0.04939876503</v>
      </c>
      <c r="M65" s="8">
        <v>26.0</v>
      </c>
      <c r="N65" s="9">
        <f t="shared" si="3"/>
        <v>0.008449788755</v>
      </c>
      <c r="O65" s="10">
        <v>2415.07</v>
      </c>
      <c r="P65" s="11">
        <f t="shared" si="4"/>
        <v>0.784878128</v>
      </c>
    </row>
    <row r="66" ht="15.75" customHeight="1">
      <c r="A66" s="4" t="s">
        <v>830</v>
      </c>
      <c r="B66" s="4" t="s">
        <v>831</v>
      </c>
      <c r="C66" s="4" t="s">
        <v>940</v>
      </c>
      <c r="D66" s="4" t="s">
        <v>871</v>
      </c>
      <c r="E66" s="4">
        <v>1.0</v>
      </c>
      <c r="F66" s="4" t="s">
        <v>66</v>
      </c>
      <c r="G66" s="8">
        <v>202745.0</v>
      </c>
      <c r="H66" s="8">
        <v>200858.0</v>
      </c>
      <c r="I66" s="8">
        <v>84514.0</v>
      </c>
      <c r="J66" s="9">
        <f t="shared" si="1"/>
        <v>0.4207649185</v>
      </c>
      <c r="K66" s="8">
        <v>16491.0</v>
      </c>
      <c r="L66" s="9">
        <f t="shared" si="2"/>
        <v>0.08210277908</v>
      </c>
      <c r="M66" s="8">
        <v>4745.0</v>
      </c>
      <c r="N66" s="9">
        <f t="shared" si="3"/>
        <v>0.02362365452</v>
      </c>
      <c r="O66" s="10">
        <v>214957.16</v>
      </c>
      <c r="P66" s="11">
        <f t="shared" si="4"/>
        <v>1.070194665</v>
      </c>
    </row>
    <row r="67" ht="15.75" customHeight="1">
      <c r="A67" s="4" t="s">
        <v>830</v>
      </c>
      <c r="B67" s="4" t="s">
        <v>831</v>
      </c>
      <c r="C67" s="4" t="s">
        <v>941</v>
      </c>
      <c r="D67" s="4" t="s">
        <v>873</v>
      </c>
      <c r="E67" s="4">
        <v>2.0</v>
      </c>
      <c r="F67" s="4" t="s">
        <v>66</v>
      </c>
      <c r="G67" s="8">
        <v>131052.0</v>
      </c>
      <c r="H67" s="8">
        <v>130304.0</v>
      </c>
      <c r="I67" s="8">
        <v>51597.0</v>
      </c>
      <c r="J67" s="9">
        <f t="shared" si="1"/>
        <v>0.39597403</v>
      </c>
      <c r="K67" s="8">
        <v>9879.0</v>
      </c>
      <c r="L67" s="9">
        <f t="shared" si="2"/>
        <v>0.07581501719</v>
      </c>
      <c r="M67" s="8">
        <v>2341.0</v>
      </c>
      <c r="N67" s="9">
        <f t="shared" si="3"/>
        <v>0.01796568026</v>
      </c>
      <c r="O67" s="10">
        <v>83802.29</v>
      </c>
      <c r="P67" s="11">
        <f t="shared" si="4"/>
        <v>0.6431290674</v>
      </c>
    </row>
    <row r="68" ht="15.75" customHeight="1">
      <c r="A68" s="4" t="s">
        <v>832</v>
      </c>
      <c r="B68" s="4" t="s">
        <v>833</v>
      </c>
      <c r="C68" s="4" t="s">
        <v>942</v>
      </c>
      <c r="D68" s="4" t="s">
        <v>943</v>
      </c>
      <c r="E68" s="4">
        <v>1.0</v>
      </c>
      <c r="F68" s="4" t="s">
        <v>66</v>
      </c>
      <c r="G68" s="8">
        <v>6195.0</v>
      </c>
      <c r="H68" s="8">
        <v>6177.0</v>
      </c>
      <c r="I68" s="8">
        <v>2433.0</v>
      </c>
      <c r="J68" s="9">
        <f t="shared" si="1"/>
        <v>0.3938805245</v>
      </c>
      <c r="K68" s="8">
        <v>473.0</v>
      </c>
      <c r="L68" s="9">
        <f t="shared" si="2"/>
        <v>0.07657438886</v>
      </c>
      <c r="M68" s="8">
        <v>91.0</v>
      </c>
      <c r="N68" s="9">
        <f t="shared" si="3"/>
        <v>0.01473207058</v>
      </c>
      <c r="O68" s="10">
        <v>5639.76</v>
      </c>
      <c r="P68" s="11">
        <f t="shared" si="4"/>
        <v>0.9130257407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3.0"/>
    <col customWidth="1" min="3" max="3" width="15.0"/>
    <col customWidth="1" min="4" max="4" width="14.0"/>
    <col customWidth="1" min="5" max="5" width="15.0"/>
    <col customWidth="1" min="6" max="6" width="12.0"/>
    <col customWidth="1" min="7" max="7" width="18.0"/>
    <col customWidth="1" min="8" max="8" width="17.0"/>
    <col customWidth="1" min="9" max="9" width="13.0"/>
    <col customWidth="1" min="10" max="10" width="12.0"/>
    <col customWidth="1" min="11" max="11" width="16.0"/>
    <col customWidth="1" min="12" max="12" width="15.0"/>
    <col customWidth="1" min="13" max="26" width="8.71"/>
  </cols>
  <sheetData>
    <row r="1" ht="31.5" customHeight="1">
      <c r="A1" s="5" t="s">
        <v>944</v>
      </c>
      <c r="B1" s="5" t="s">
        <v>28</v>
      </c>
      <c r="C1" s="5" t="s">
        <v>945</v>
      </c>
      <c r="D1" s="5" t="s">
        <v>946</v>
      </c>
      <c r="E1" s="5" t="s">
        <v>947</v>
      </c>
      <c r="F1" s="5" t="s">
        <v>948</v>
      </c>
      <c r="G1" s="5" t="s">
        <v>949</v>
      </c>
      <c r="H1" s="5" t="s">
        <v>950</v>
      </c>
      <c r="I1" s="5" t="s">
        <v>951</v>
      </c>
      <c r="J1" s="5" t="s">
        <v>952</v>
      </c>
      <c r="K1" s="5" t="s">
        <v>953</v>
      </c>
      <c r="L1" s="5" t="s">
        <v>954</v>
      </c>
    </row>
    <row r="2">
      <c r="A2" s="7">
        <v>45689.0</v>
      </c>
      <c r="B2" s="4" t="s">
        <v>105</v>
      </c>
      <c r="C2" s="8">
        <v>1430.0</v>
      </c>
      <c r="D2" s="8">
        <v>226.0</v>
      </c>
      <c r="E2" s="8">
        <v>62.0</v>
      </c>
      <c r="F2" s="8">
        <v>10.0</v>
      </c>
      <c r="G2" s="8">
        <v>1142.0</v>
      </c>
      <c r="H2" s="8">
        <v>686142.0</v>
      </c>
      <c r="I2" s="8">
        <v>629.0</v>
      </c>
      <c r="J2" s="8">
        <v>76.0</v>
      </c>
      <c r="K2" s="8">
        <v>553.0</v>
      </c>
      <c r="L2" s="8">
        <v>142553.0</v>
      </c>
    </row>
    <row r="3">
      <c r="A3" s="7">
        <v>45690.0</v>
      </c>
      <c r="B3" s="4" t="s">
        <v>59</v>
      </c>
      <c r="C3" s="8">
        <v>1416.0</v>
      </c>
      <c r="D3" s="8">
        <v>371.0</v>
      </c>
      <c r="E3" s="8">
        <v>146.0</v>
      </c>
      <c r="F3" s="8">
        <v>7.0</v>
      </c>
      <c r="G3" s="8">
        <v>899.0</v>
      </c>
      <c r="H3" s="8">
        <v>687041.0</v>
      </c>
      <c r="I3" s="8">
        <v>619.0</v>
      </c>
      <c r="J3" s="8">
        <v>52.0</v>
      </c>
      <c r="K3" s="8">
        <v>567.0</v>
      </c>
      <c r="L3" s="8">
        <v>143120.0</v>
      </c>
    </row>
    <row r="4">
      <c r="A4" s="7">
        <v>45691.0</v>
      </c>
      <c r="B4" s="4" t="s">
        <v>98</v>
      </c>
      <c r="C4" s="8">
        <v>985.0</v>
      </c>
      <c r="D4" s="8">
        <v>303.0</v>
      </c>
      <c r="E4" s="8">
        <v>131.0</v>
      </c>
      <c r="F4" s="8">
        <v>10.0</v>
      </c>
      <c r="G4" s="8">
        <v>551.0</v>
      </c>
      <c r="H4" s="8">
        <v>687592.0</v>
      </c>
      <c r="I4" s="8">
        <v>207.0</v>
      </c>
      <c r="J4" s="8">
        <v>73.0</v>
      </c>
      <c r="K4" s="8">
        <v>134.0</v>
      </c>
      <c r="L4" s="8">
        <v>143254.0</v>
      </c>
    </row>
    <row r="5">
      <c r="A5" s="7">
        <v>45692.0</v>
      </c>
      <c r="B5" s="4" t="s">
        <v>91</v>
      </c>
      <c r="C5" s="8">
        <v>2014.0</v>
      </c>
      <c r="D5" s="8">
        <v>152.0</v>
      </c>
      <c r="E5" s="8">
        <v>150.0</v>
      </c>
      <c r="F5" s="8">
        <v>1.0</v>
      </c>
      <c r="G5" s="8">
        <v>1712.0</v>
      </c>
      <c r="H5" s="8">
        <v>689304.0</v>
      </c>
      <c r="I5" s="8">
        <v>215.0</v>
      </c>
      <c r="J5" s="8">
        <v>83.0</v>
      </c>
      <c r="K5" s="8">
        <v>132.0</v>
      </c>
      <c r="L5" s="8">
        <v>143386.0</v>
      </c>
    </row>
    <row r="6">
      <c r="A6" s="7">
        <v>45693.0</v>
      </c>
      <c r="B6" s="4" t="s">
        <v>82</v>
      </c>
      <c r="C6" s="8">
        <v>1383.0</v>
      </c>
      <c r="D6" s="8">
        <v>252.0</v>
      </c>
      <c r="E6" s="8">
        <v>130.0</v>
      </c>
      <c r="F6" s="8">
        <v>12.0</v>
      </c>
      <c r="G6" s="8">
        <v>1001.0</v>
      </c>
      <c r="H6" s="8">
        <v>690305.0</v>
      </c>
      <c r="I6" s="8">
        <v>471.0</v>
      </c>
      <c r="J6" s="8">
        <v>83.0</v>
      </c>
      <c r="K6" s="8">
        <v>388.0</v>
      </c>
      <c r="L6" s="8">
        <v>143774.0</v>
      </c>
    </row>
    <row r="7">
      <c r="A7" s="7">
        <v>45694.0</v>
      </c>
      <c r="B7" s="4" t="s">
        <v>75</v>
      </c>
      <c r="C7" s="8">
        <v>1481.0</v>
      </c>
      <c r="D7" s="8">
        <v>173.0</v>
      </c>
      <c r="E7" s="8">
        <v>52.0</v>
      </c>
      <c r="F7" s="8">
        <v>7.0</v>
      </c>
      <c r="G7" s="8">
        <v>1256.0</v>
      </c>
      <c r="H7" s="8">
        <v>691561.0</v>
      </c>
      <c r="I7" s="8">
        <v>282.0</v>
      </c>
      <c r="J7" s="8">
        <v>130.0</v>
      </c>
      <c r="K7" s="8">
        <v>152.0</v>
      </c>
      <c r="L7" s="8">
        <v>143926.0</v>
      </c>
    </row>
    <row r="8">
      <c r="A8" s="7">
        <v>45695.0</v>
      </c>
      <c r="B8" s="4" t="s">
        <v>135</v>
      </c>
      <c r="C8" s="8">
        <v>2581.0</v>
      </c>
      <c r="D8" s="8">
        <v>174.0</v>
      </c>
      <c r="E8" s="8">
        <v>66.0</v>
      </c>
      <c r="F8" s="8">
        <v>8.0</v>
      </c>
      <c r="G8" s="8">
        <v>2341.0</v>
      </c>
      <c r="H8" s="8">
        <v>693902.0</v>
      </c>
      <c r="I8" s="8">
        <v>259.0</v>
      </c>
      <c r="J8" s="8">
        <v>140.0</v>
      </c>
      <c r="K8" s="8">
        <v>119.0</v>
      </c>
      <c r="L8" s="8">
        <v>144045.0</v>
      </c>
    </row>
    <row r="9">
      <c r="A9" s="7">
        <v>45696.0</v>
      </c>
      <c r="B9" s="4" t="s">
        <v>105</v>
      </c>
      <c r="C9" s="8">
        <v>2643.0</v>
      </c>
      <c r="D9" s="8">
        <v>225.0</v>
      </c>
      <c r="E9" s="8">
        <v>80.0</v>
      </c>
      <c r="F9" s="8">
        <v>11.0</v>
      </c>
      <c r="G9" s="8">
        <v>2338.0</v>
      </c>
      <c r="H9" s="8">
        <v>696240.0</v>
      </c>
      <c r="I9" s="8">
        <v>303.0</v>
      </c>
      <c r="J9" s="8">
        <v>86.0</v>
      </c>
      <c r="K9" s="8">
        <v>217.0</v>
      </c>
      <c r="L9" s="8">
        <v>144262.0</v>
      </c>
    </row>
    <row r="10">
      <c r="A10" s="7">
        <v>45697.0</v>
      </c>
      <c r="B10" s="4" t="s">
        <v>59</v>
      </c>
      <c r="C10" s="8">
        <v>2322.0</v>
      </c>
      <c r="D10" s="8">
        <v>170.0</v>
      </c>
      <c r="E10" s="8">
        <v>133.0</v>
      </c>
      <c r="F10" s="8">
        <v>5.0</v>
      </c>
      <c r="G10" s="8">
        <v>2019.0</v>
      </c>
      <c r="H10" s="8">
        <v>698259.0</v>
      </c>
      <c r="I10" s="8">
        <v>550.0</v>
      </c>
      <c r="J10" s="8">
        <v>59.0</v>
      </c>
      <c r="K10" s="8">
        <v>491.0</v>
      </c>
      <c r="L10" s="8">
        <v>144753.0</v>
      </c>
    </row>
    <row r="11">
      <c r="A11" s="7">
        <v>45698.0</v>
      </c>
      <c r="B11" s="4" t="s">
        <v>98</v>
      </c>
      <c r="C11" s="8">
        <v>1334.0</v>
      </c>
      <c r="D11" s="8">
        <v>332.0</v>
      </c>
      <c r="E11" s="8">
        <v>41.0</v>
      </c>
      <c r="F11" s="8">
        <v>3.0</v>
      </c>
      <c r="G11" s="8">
        <v>961.0</v>
      </c>
      <c r="H11" s="8">
        <v>699220.0</v>
      </c>
      <c r="I11" s="8">
        <v>444.0</v>
      </c>
      <c r="J11" s="8">
        <v>138.0</v>
      </c>
      <c r="K11" s="8">
        <v>306.0</v>
      </c>
      <c r="L11" s="8">
        <v>145059.0</v>
      </c>
    </row>
    <row r="12">
      <c r="A12" s="7">
        <v>45699.0</v>
      </c>
      <c r="B12" s="4" t="s">
        <v>91</v>
      </c>
      <c r="C12" s="8">
        <v>1525.0</v>
      </c>
      <c r="D12" s="8">
        <v>207.0</v>
      </c>
      <c r="E12" s="8">
        <v>108.0</v>
      </c>
      <c r="F12" s="8">
        <v>5.0</v>
      </c>
      <c r="G12" s="8">
        <v>1210.0</v>
      </c>
      <c r="H12" s="8">
        <v>700430.0</v>
      </c>
      <c r="I12" s="8">
        <v>481.0</v>
      </c>
      <c r="J12" s="8">
        <v>50.0</v>
      </c>
      <c r="K12" s="8">
        <v>431.0</v>
      </c>
      <c r="L12" s="8">
        <v>145490.0</v>
      </c>
    </row>
    <row r="13">
      <c r="A13" s="7">
        <v>45700.0</v>
      </c>
      <c r="B13" s="4" t="s">
        <v>82</v>
      </c>
      <c r="C13" s="8">
        <v>2297.0</v>
      </c>
      <c r="D13" s="8">
        <v>245.0</v>
      </c>
      <c r="E13" s="8">
        <v>175.0</v>
      </c>
      <c r="F13" s="8">
        <v>6.0</v>
      </c>
      <c r="G13" s="8">
        <v>1877.0</v>
      </c>
      <c r="H13" s="8">
        <v>702307.0</v>
      </c>
      <c r="I13" s="8">
        <v>572.0</v>
      </c>
      <c r="J13" s="8">
        <v>59.0</v>
      </c>
      <c r="K13" s="8">
        <v>513.0</v>
      </c>
      <c r="L13" s="8">
        <v>146003.0</v>
      </c>
    </row>
    <row r="14">
      <c r="A14" s="7">
        <v>45701.0</v>
      </c>
      <c r="B14" s="4" t="s">
        <v>75</v>
      </c>
      <c r="C14" s="8">
        <v>1845.0</v>
      </c>
      <c r="D14" s="8">
        <v>329.0</v>
      </c>
      <c r="E14" s="8">
        <v>172.0</v>
      </c>
      <c r="F14" s="8">
        <v>12.0</v>
      </c>
      <c r="G14" s="8">
        <v>1344.0</v>
      </c>
      <c r="H14" s="8">
        <v>703651.0</v>
      </c>
      <c r="I14" s="8">
        <v>430.0</v>
      </c>
      <c r="J14" s="8">
        <v>98.0</v>
      </c>
      <c r="K14" s="8">
        <v>332.0</v>
      </c>
      <c r="L14" s="8">
        <v>146335.0</v>
      </c>
    </row>
    <row r="15">
      <c r="A15" s="7">
        <v>45702.0</v>
      </c>
      <c r="B15" s="4" t="s">
        <v>135</v>
      </c>
      <c r="C15" s="8">
        <v>1876.0</v>
      </c>
      <c r="D15" s="8">
        <v>125.0</v>
      </c>
      <c r="E15" s="8">
        <v>172.0</v>
      </c>
      <c r="F15" s="8">
        <v>1.0</v>
      </c>
      <c r="G15" s="8">
        <v>1579.0</v>
      </c>
      <c r="H15" s="8">
        <v>705230.0</v>
      </c>
      <c r="I15" s="8">
        <v>279.0</v>
      </c>
      <c r="J15" s="8">
        <v>131.0</v>
      </c>
      <c r="K15" s="8">
        <v>148.0</v>
      </c>
      <c r="L15" s="8">
        <v>146483.0</v>
      </c>
    </row>
    <row r="16">
      <c r="A16" s="7">
        <v>45703.0</v>
      </c>
      <c r="B16" s="4" t="s">
        <v>105</v>
      </c>
      <c r="C16" s="8">
        <v>3011.0</v>
      </c>
      <c r="D16" s="8">
        <v>342.0</v>
      </c>
      <c r="E16" s="8">
        <v>140.0</v>
      </c>
      <c r="F16" s="8">
        <v>12.0</v>
      </c>
      <c r="G16" s="8">
        <v>2529.0</v>
      </c>
      <c r="H16" s="8">
        <v>707759.0</v>
      </c>
      <c r="I16" s="8">
        <v>333.0</v>
      </c>
      <c r="J16" s="8">
        <v>47.0</v>
      </c>
      <c r="K16" s="8">
        <v>286.0</v>
      </c>
      <c r="L16" s="8">
        <v>146769.0</v>
      </c>
    </row>
    <row r="17">
      <c r="A17" s="7">
        <v>45704.0</v>
      </c>
      <c r="B17" s="4" t="s">
        <v>59</v>
      </c>
      <c r="C17" s="8">
        <v>1402.0</v>
      </c>
      <c r="D17" s="8">
        <v>149.0</v>
      </c>
      <c r="E17" s="8">
        <v>173.0</v>
      </c>
      <c r="F17" s="8">
        <v>4.0</v>
      </c>
      <c r="G17" s="8">
        <v>1080.0</v>
      </c>
      <c r="H17" s="8">
        <v>708839.0</v>
      </c>
      <c r="I17" s="8">
        <v>599.0</v>
      </c>
      <c r="J17" s="8">
        <v>120.0</v>
      </c>
      <c r="K17" s="8">
        <v>479.0</v>
      </c>
      <c r="L17" s="8">
        <v>147248.0</v>
      </c>
    </row>
    <row r="18">
      <c r="A18" s="7">
        <v>45705.0</v>
      </c>
      <c r="B18" s="4" t="s">
        <v>98</v>
      </c>
      <c r="C18" s="8">
        <v>9437.0</v>
      </c>
      <c r="D18" s="8">
        <v>275.0</v>
      </c>
      <c r="E18" s="8">
        <v>120.0</v>
      </c>
      <c r="F18" s="8">
        <v>5.0</v>
      </c>
      <c r="G18" s="8">
        <v>9042.0</v>
      </c>
      <c r="H18" s="8">
        <v>717881.0</v>
      </c>
      <c r="I18" s="8">
        <v>509.0</v>
      </c>
      <c r="J18" s="8">
        <v>132.0</v>
      </c>
      <c r="K18" s="8">
        <v>377.0</v>
      </c>
      <c r="L18" s="8">
        <v>147625.0</v>
      </c>
    </row>
    <row r="19">
      <c r="A19" s="7">
        <v>45706.0</v>
      </c>
      <c r="B19" s="4" t="s">
        <v>91</v>
      </c>
      <c r="C19" s="8">
        <v>1210.0</v>
      </c>
      <c r="D19" s="8">
        <v>326.0</v>
      </c>
      <c r="E19" s="8">
        <v>92.0</v>
      </c>
      <c r="F19" s="8">
        <v>8.0</v>
      </c>
      <c r="G19" s="8">
        <v>792.0</v>
      </c>
      <c r="H19" s="8">
        <v>718673.0</v>
      </c>
      <c r="I19" s="8">
        <v>591.0</v>
      </c>
      <c r="J19" s="8">
        <v>97.0</v>
      </c>
      <c r="K19" s="8">
        <v>494.0</v>
      </c>
      <c r="L19" s="8">
        <v>148119.0</v>
      </c>
    </row>
    <row r="20">
      <c r="A20" s="7">
        <v>45707.0</v>
      </c>
      <c r="B20" s="4" t="s">
        <v>82</v>
      </c>
      <c r="C20" s="8">
        <v>1875.0</v>
      </c>
      <c r="D20" s="8">
        <v>296.0</v>
      </c>
      <c r="E20" s="8">
        <v>143.0</v>
      </c>
      <c r="F20" s="8">
        <v>12.0</v>
      </c>
      <c r="G20" s="8">
        <v>1436.0</v>
      </c>
      <c r="H20" s="8">
        <v>720109.0</v>
      </c>
      <c r="I20" s="8">
        <v>590.0</v>
      </c>
      <c r="J20" s="8">
        <v>140.0</v>
      </c>
      <c r="K20" s="8">
        <v>450.0</v>
      </c>
      <c r="L20" s="8">
        <v>148569.0</v>
      </c>
    </row>
    <row r="21" ht="15.75" customHeight="1">
      <c r="A21" s="7">
        <v>45708.0</v>
      </c>
      <c r="B21" s="4" t="s">
        <v>75</v>
      </c>
      <c r="C21" s="8">
        <v>962.0</v>
      </c>
      <c r="D21" s="8">
        <v>291.0</v>
      </c>
      <c r="E21" s="8">
        <v>72.0</v>
      </c>
      <c r="F21" s="8">
        <v>8.0</v>
      </c>
      <c r="G21" s="8">
        <v>599.0</v>
      </c>
      <c r="H21" s="8">
        <v>720708.0</v>
      </c>
      <c r="I21" s="8">
        <v>500.0</v>
      </c>
      <c r="J21" s="8">
        <v>89.0</v>
      </c>
      <c r="K21" s="8">
        <v>411.0</v>
      </c>
      <c r="L21" s="8">
        <v>148980.0</v>
      </c>
    </row>
    <row r="22" ht="15.75" customHeight="1">
      <c r="A22" s="7">
        <v>45709.0</v>
      </c>
      <c r="B22" s="4" t="s">
        <v>135</v>
      </c>
      <c r="C22" s="8">
        <v>1089.0</v>
      </c>
      <c r="D22" s="8">
        <v>279.0</v>
      </c>
      <c r="E22" s="8">
        <v>127.0</v>
      </c>
      <c r="F22" s="8">
        <v>12.0</v>
      </c>
      <c r="G22" s="8">
        <v>683.0</v>
      </c>
      <c r="H22" s="8">
        <v>721391.0</v>
      </c>
      <c r="I22" s="8">
        <v>485.0</v>
      </c>
      <c r="J22" s="8">
        <v>106.0</v>
      </c>
      <c r="K22" s="8">
        <v>379.0</v>
      </c>
      <c r="L22" s="8">
        <v>149359.0</v>
      </c>
    </row>
    <row r="23" ht="15.75" customHeight="1">
      <c r="A23" s="7">
        <v>45710.0</v>
      </c>
      <c r="B23" s="4" t="s">
        <v>105</v>
      </c>
      <c r="C23" s="8">
        <v>2409.0</v>
      </c>
      <c r="D23" s="8">
        <v>252.0</v>
      </c>
      <c r="E23" s="8">
        <v>117.0</v>
      </c>
      <c r="F23" s="8">
        <v>11.0</v>
      </c>
      <c r="G23" s="8">
        <v>2040.0</v>
      </c>
      <c r="H23" s="8">
        <v>723431.0</v>
      </c>
      <c r="I23" s="8">
        <v>610.0</v>
      </c>
      <c r="J23" s="8">
        <v>70.0</v>
      </c>
      <c r="K23" s="8">
        <v>540.0</v>
      </c>
      <c r="L23" s="8">
        <v>149899.0</v>
      </c>
    </row>
    <row r="24" ht="15.75" customHeight="1">
      <c r="A24" s="7">
        <v>45711.0</v>
      </c>
      <c r="B24" s="4" t="s">
        <v>59</v>
      </c>
      <c r="C24" s="8">
        <v>2908.0</v>
      </c>
      <c r="D24" s="8">
        <v>310.0</v>
      </c>
      <c r="E24" s="8">
        <v>169.0</v>
      </c>
      <c r="F24" s="8">
        <v>5.0</v>
      </c>
      <c r="G24" s="8">
        <v>2429.0</v>
      </c>
      <c r="H24" s="8">
        <v>725860.0</v>
      </c>
      <c r="I24" s="8">
        <v>265.0</v>
      </c>
      <c r="J24" s="8">
        <v>73.0</v>
      </c>
      <c r="K24" s="8">
        <v>192.0</v>
      </c>
      <c r="L24" s="8">
        <v>150091.0</v>
      </c>
    </row>
    <row r="25" ht="15.75" customHeight="1">
      <c r="A25" s="7">
        <v>45712.0</v>
      </c>
      <c r="B25" s="4" t="s">
        <v>98</v>
      </c>
      <c r="C25" s="8">
        <v>1160.0</v>
      </c>
      <c r="D25" s="8">
        <v>272.0</v>
      </c>
      <c r="E25" s="8">
        <v>41.0</v>
      </c>
      <c r="F25" s="8">
        <v>7.0</v>
      </c>
      <c r="G25" s="8">
        <v>847.0</v>
      </c>
      <c r="H25" s="8">
        <v>726707.0</v>
      </c>
      <c r="I25" s="8">
        <v>449.0</v>
      </c>
      <c r="J25" s="8">
        <v>113.0</v>
      </c>
      <c r="K25" s="8">
        <v>336.0</v>
      </c>
      <c r="L25" s="8">
        <v>150427.0</v>
      </c>
    </row>
    <row r="26" ht="15.75" customHeight="1">
      <c r="A26" s="7">
        <v>45713.0</v>
      </c>
      <c r="B26" s="4" t="s">
        <v>91</v>
      </c>
      <c r="C26" s="8">
        <v>2559.0</v>
      </c>
      <c r="D26" s="8">
        <v>239.0</v>
      </c>
      <c r="E26" s="8">
        <v>116.0</v>
      </c>
      <c r="F26" s="8">
        <v>4.0</v>
      </c>
      <c r="G26" s="8">
        <v>2204.0</v>
      </c>
      <c r="H26" s="8">
        <v>728911.0</v>
      </c>
      <c r="I26" s="8">
        <v>524.0</v>
      </c>
      <c r="J26" s="8">
        <v>84.0</v>
      </c>
      <c r="K26" s="8">
        <v>440.0</v>
      </c>
      <c r="L26" s="8">
        <v>150867.0</v>
      </c>
    </row>
    <row r="27" ht="15.75" customHeight="1">
      <c r="A27" s="7">
        <v>45714.0</v>
      </c>
      <c r="B27" s="4" t="s">
        <v>82</v>
      </c>
      <c r="C27" s="8">
        <v>2170.0</v>
      </c>
      <c r="D27" s="8">
        <v>191.0</v>
      </c>
      <c r="E27" s="8">
        <v>136.0</v>
      </c>
      <c r="F27" s="8">
        <v>8.0</v>
      </c>
      <c r="G27" s="8">
        <v>1843.0</v>
      </c>
      <c r="H27" s="8">
        <v>730754.0</v>
      </c>
      <c r="I27" s="8">
        <v>576.0</v>
      </c>
      <c r="J27" s="8">
        <v>131.0</v>
      </c>
      <c r="K27" s="8">
        <v>445.0</v>
      </c>
      <c r="L27" s="8">
        <v>151312.0</v>
      </c>
    </row>
    <row r="28" ht="15.75" customHeight="1">
      <c r="A28" s="7">
        <v>45715.0</v>
      </c>
      <c r="B28" s="4" t="s">
        <v>75</v>
      </c>
      <c r="C28" s="8">
        <v>2042.0</v>
      </c>
      <c r="D28" s="8">
        <v>218.0</v>
      </c>
      <c r="E28" s="8">
        <v>132.0</v>
      </c>
      <c r="F28" s="8">
        <v>7.0</v>
      </c>
      <c r="G28" s="8">
        <v>1692.0</v>
      </c>
      <c r="H28" s="8">
        <v>732446.0</v>
      </c>
      <c r="I28" s="8">
        <v>525.0</v>
      </c>
      <c r="J28" s="8">
        <v>139.0</v>
      </c>
      <c r="K28" s="8">
        <v>386.0</v>
      </c>
      <c r="L28" s="8">
        <v>151698.0</v>
      </c>
    </row>
    <row r="29" ht="15.75" customHeight="1">
      <c r="A29" s="7">
        <v>45716.0</v>
      </c>
      <c r="B29" s="4" t="s">
        <v>135</v>
      </c>
      <c r="C29" s="8">
        <v>1807.0</v>
      </c>
      <c r="D29" s="8">
        <v>167.0</v>
      </c>
      <c r="E29" s="8">
        <v>148.0</v>
      </c>
      <c r="F29" s="8">
        <v>2.0</v>
      </c>
      <c r="G29" s="8">
        <v>1492.0</v>
      </c>
      <c r="H29" s="8">
        <v>733938.0</v>
      </c>
      <c r="I29" s="8">
        <v>243.0</v>
      </c>
      <c r="J29" s="8">
        <v>47.0</v>
      </c>
      <c r="K29" s="8">
        <v>196.0</v>
      </c>
      <c r="L29" s="8">
        <v>151894.0</v>
      </c>
    </row>
    <row r="30" ht="15.75" customHeight="1">
      <c r="A30" s="7">
        <v>45717.0</v>
      </c>
      <c r="B30" s="4" t="s">
        <v>105</v>
      </c>
      <c r="C30" s="8">
        <v>1878.0</v>
      </c>
      <c r="D30" s="8">
        <v>326.0</v>
      </c>
      <c r="E30" s="8">
        <v>172.0</v>
      </c>
      <c r="F30" s="8">
        <v>12.0</v>
      </c>
      <c r="G30" s="8">
        <v>1380.0</v>
      </c>
      <c r="H30" s="8">
        <v>735318.0</v>
      </c>
      <c r="I30" s="8">
        <v>635.0</v>
      </c>
      <c r="J30" s="8">
        <v>115.0</v>
      </c>
      <c r="K30" s="8">
        <v>520.0</v>
      </c>
      <c r="L30" s="8">
        <v>152414.0</v>
      </c>
    </row>
    <row r="31" ht="15.75" customHeight="1">
      <c r="A31" s="7">
        <v>45718.0</v>
      </c>
      <c r="B31" s="4" t="s">
        <v>59</v>
      </c>
      <c r="C31" s="8">
        <v>2198.0</v>
      </c>
      <c r="D31" s="8">
        <v>336.0</v>
      </c>
      <c r="E31" s="8">
        <v>165.0</v>
      </c>
      <c r="F31" s="8">
        <v>11.0</v>
      </c>
      <c r="G31" s="8">
        <v>1697.0</v>
      </c>
      <c r="H31" s="8">
        <v>737015.0</v>
      </c>
      <c r="I31" s="8">
        <v>609.0</v>
      </c>
      <c r="J31" s="8">
        <v>96.0</v>
      </c>
      <c r="K31" s="8">
        <v>513.0</v>
      </c>
      <c r="L31" s="8">
        <v>152927.0</v>
      </c>
    </row>
    <row r="32" ht="15.75" customHeight="1">
      <c r="A32" s="7">
        <v>45719.0</v>
      </c>
      <c r="B32" s="4" t="s">
        <v>98</v>
      </c>
      <c r="C32" s="8">
        <v>1149.0</v>
      </c>
      <c r="D32" s="8">
        <v>185.0</v>
      </c>
      <c r="E32" s="8">
        <v>157.0</v>
      </c>
      <c r="F32" s="8">
        <v>2.0</v>
      </c>
      <c r="G32" s="8">
        <v>807.0</v>
      </c>
      <c r="H32" s="8">
        <v>737822.0</v>
      </c>
      <c r="I32" s="8">
        <v>459.0</v>
      </c>
      <c r="J32" s="8">
        <v>102.0</v>
      </c>
      <c r="K32" s="8">
        <v>357.0</v>
      </c>
      <c r="L32" s="8">
        <v>153284.0</v>
      </c>
    </row>
    <row r="33" ht="15.75" customHeight="1">
      <c r="A33" s="7">
        <v>45720.0</v>
      </c>
      <c r="B33" s="4" t="s">
        <v>91</v>
      </c>
      <c r="C33" s="8">
        <v>1977.0</v>
      </c>
      <c r="D33" s="8">
        <v>228.0</v>
      </c>
      <c r="E33" s="8">
        <v>161.0</v>
      </c>
      <c r="F33" s="8">
        <v>0.0</v>
      </c>
      <c r="G33" s="8">
        <v>1588.0</v>
      </c>
      <c r="H33" s="8">
        <v>739410.0</v>
      </c>
      <c r="I33" s="8">
        <v>252.0</v>
      </c>
      <c r="J33" s="8">
        <v>98.0</v>
      </c>
      <c r="K33" s="8">
        <v>154.0</v>
      </c>
      <c r="L33" s="8">
        <v>153438.0</v>
      </c>
    </row>
    <row r="34" ht="15.75" customHeight="1">
      <c r="A34" s="7">
        <v>45721.0</v>
      </c>
      <c r="B34" s="4" t="s">
        <v>82</v>
      </c>
      <c r="C34" s="8">
        <v>1633.0</v>
      </c>
      <c r="D34" s="8">
        <v>329.0</v>
      </c>
      <c r="E34" s="8">
        <v>70.0</v>
      </c>
      <c r="F34" s="8">
        <v>5.0</v>
      </c>
      <c r="G34" s="8">
        <v>1234.0</v>
      </c>
      <c r="H34" s="8">
        <v>740644.0</v>
      </c>
      <c r="I34" s="8">
        <v>252.0</v>
      </c>
      <c r="J34" s="8">
        <v>54.0</v>
      </c>
      <c r="K34" s="8">
        <v>198.0</v>
      </c>
      <c r="L34" s="8">
        <v>153636.0</v>
      </c>
    </row>
    <row r="35" ht="15.75" customHeight="1">
      <c r="A35" s="7">
        <v>45722.0</v>
      </c>
      <c r="B35" s="4" t="s">
        <v>75</v>
      </c>
      <c r="C35" s="8">
        <v>1168.0</v>
      </c>
      <c r="D35" s="8">
        <v>310.0</v>
      </c>
      <c r="E35" s="8">
        <v>135.0</v>
      </c>
      <c r="F35" s="8">
        <v>4.0</v>
      </c>
      <c r="G35" s="8">
        <v>723.0</v>
      </c>
      <c r="H35" s="8">
        <v>741367.0</v>
      </c>
      <c r="I35" s="8">
        <v>252.0</v>
      </c>
      <c r="J35" s="8">
        <v>79.0</v>
      </c>
      <c r="K35" s="8">
        <v>173.0</v>
      </c>
      <c r="L35" s="8">
        <v>153809.0</v>
      </c>
    </row>
    <row r="36" ht="15.75" customHeight="1">
      <c r="A36" s="7">
        <v>45723.0</v>
      </c>
      <c r="B36" s="4" t="s">
        <v>135</v>
      </c>
      <c r="C36" s="8">
        <v>1146.0</v>
      </c>
      <c r="D36" s="8">
        <v>335.0</v>
      </c>
      <c r="E36" s="8">
        <v>118.0</v>
      </c>
      <c r="F36" s="8">
        <v>4.0</v>
      </c>
      <c r="G36" s="8">
        <v>693.0</v>
      </c>
      <c r="H36" s="8">
        <v>742060.0</v>
      </c>
      <c r="I36" s="8">
        <v>264.0</v>
      </c>
      <c r="J36" s="8">
        <v>46.0</v>
      </c>
      <c r="K36" s="8">
        <v>218.0</v>
      </c>
      <c r="L36" s="8">
        <v>154027.0</v>
      </c>
    </row>
    <row r="37" ht="15.75" customHeight="1">
      <c r="A37" s="7">
        <v>45724.0</v>
      </c>
      <c r="B37" s="4" t="s">
        <v>105</v>
      </c>
      <c r="C37" s="8">
        <v>2174.0</v>
      </c>
      <c r="D37" s="8">
        <v>182.0</v>
      </c>
      <c r="E37" s="8">
        <v>129.0</v>
      </c>
      <c r="F37" s="8">
        <v>1.0</v>
      </c>
      <c r="G37" s="8">
        <v>1863.0</v>
      </c>
      <c r="H37" s="8">
        <v>743923.0</v>
      </c>
      <c r="I37" s="8">
        <v>218.0</v>
      </c>
      <c r="J37" s="8">
        <v>110.0</v>
      </c>
      <c r="K37" s="8">
        <v>108.0</v>
      </c>
      <c r="L37" s="8">
        <v>154135.0</v>
      </c>
    </row>
    <row r="38" ht="15.75" customHeight="1">
      <c r="A38" s="7">
        <v>45725.0</v>
      </c>
      <c r="B38" s="4" t="s">
        <v>59</v>
      </c>
      <c r="C38" s="8">
        <v>2382.0</v>
      </c>
      <c r="D38" s="8">
        <v>351.0</v>
      </c>
      <c r="E38" s="8">
        <v>136.0</v>
      </c>
      <c r="F38" s="8">
        <v>7.0</v>
      </c>
      <c r="G38" s="8">
        <v>1895.0</v>
      </c>
      <c r="H38" s="8">
        <v>745818.0</v>
      </c>
      <c r="I38" s="8">
        <v>408.0</v>
      </c>
      <c r="J38" s="8">
        <v>83.0</v>
      </c>
      <c r="K38" s="8">
        <v>325.0</v>
      </c>
      <c r="L38" s="8">
        <v>154460.0</v>
      </c>
    </row>
    <row r="39" ht="15.75" customHeight="1">
      <c r="A39" s="7">
        <v>45726.0</v>
      </c>
      <c r="B39" s="4" t="s">
        <v>98</v>
      </c>
      <c r="C39" s="8">
        <v>1124.0</v>
      </c>
      <c r="D39" s="8">
        <v>190.0</v>
      </c>
      <c r="E39" s="8">
        <v>157.0</v>
      </c>
      <c r="F39" s="8">
        <v>12.0</v>
      </c>
      <c r="G39" s="8">
        <v>777.0</v>
      </c>
      <c r="H39" s="8">
        <v>746595.0</v>
      </c>
      <c r="I39" s="8">
        <v>598.0</v>
      </c>
      <c r="J39" s="8">
        <v>104.0</v>
      </c>
      <c r="K39" s="8">
        <v>494.0</v>
      </c>
      <c r="L39" s="8">
        <v>154954.0</v>
      </c>
    </row>
    <row r="40" ht="15.75" customHeight="1">
      <c r="A40" s="7">
        <v>45727.0</v>
      </c>
      <c r="B40" s="4" t="s">
        <v>91</v>
      </c>
      <c r="C40" s="8">
        <v>2404.0</v>
      </c>
      <c r="D40" s="8">
        <v>165.0</v>
      </c>
      <c r="E40" s="8">
        <v>144.0</v>
      </c>
      <c r="F40" s="8">
        <v>6.0</v>
      </c>
      <c r="G40" s="8">
        <v>2095.0</v>
      </c>
      <c r="H40" s="8">
        <v>748690.0</v>
      </c>
      <c r="I40" s="8">
        <v>363.0</v>
      </c>
      <c r="J40" s="8">
        <v>119.0</v>
      </c>
      <c r="K40" s="8">
        <v>244.0</v>
      </c>
      <c r="L40" s="8">
        <v>155198.0</v>
      </c>
    </row>
    <row r="41" ht="15.75" customHeight="1">
      <c r="A41" s="7">
        <v>45728.0</v>
      </c>
      <c r="B41" s="4" t="s">
        <v>82</v>
      </c>
      <c r="C41" s="8">
        <v>2002.0</v>
      </c>
      <c r="D41" s="8">
        <v>346.0</v>
      </c>
      <c r="E41" s="8">
        <v>111.0</v>
      </c>
      <c r="F41" s="8">
        <v>10.0</v>
      </c>
      <c r="G41" s="8">
        <v>1545.0</v>
      </c>
      <c r="H41" s="8">
        <v>750235.0</v>
      </c>
      <c r="I41" s="8">
        <v>213.0</v>
      </c>
      <c r="J41" s="8">
        <v>134.0</v>
      </c>
      <c r="K41" s="8">
        <v>79.0</v>
      </c>
      <c r="L41" s="8">
        <v>155277.0</v>
      </c>
    </row>
    <row r="42" ht="15.75" customHeight="1">
      <c r="A42" s="7">
        <v>45729.0</v>
      </c>
      <c r="B42" s="4" t="s">
        <v>75</v>
      </c>
      <c r="C42" s="8">
        <v>892.0</v>
      </c>
      <c r="D42" s="8">
        <v>278.0</v>
      </c>
      <c r="E42" s="8">
        <v>71.0</v>
      </c>
      <c r="F42" s="8">
        <v>10.0</v>
      </c>
      <c r="G42" s="8">
        <v>543.0</v>
      </c>
      <c r="H42" s="8">
        <v>750778.0</v>
      </c>
      <c r="I42" s="8">
        <v>495.0</v>
      </c>
      <c r="J42" s="8">
        <v>111.0</v>
      </c>
      <c r="K42" s="8">
        <v>384.0</v>
      </c>
      <c r="L42" s="8">
        <v>155661.0</v>
      </c>
    </row>
    <row r="43" ht="15.75" customHeight="1">
      <c r="A43" s="7">
        <v>45730.0</v>
      </c>
      <c r="B43" s="4" t="s">
        <v>135</v>
      </c>
      <c r="C43" s="8">
        <v>2170.0</v>
      </c>
      <c r="D43" s="8">
        <v>147.0</v>
      </c>
      <c r="E43" s="8">
        <v>173.0</v>
      </c>
      <c r="F43" s="8">
        <v>3.0</v>
      </c>
      <c r="G43" s="8">
        <v>1850.0</v>
      </c>
      <c r="H43" s="8">
        <v>752628.0</v>
      </c>
      <c r="I43" s="8">
        <v>479.0</v>
      </c>
      <c r="J43" s="8">
        <v>112.0</v>
      </c>
      <c r="K43" s="8">
        <v>367.0</v>
      </c>
      <c r="L43" s="8">
        <v>156028.0</v>
      </c>
    </row>
    <row r="44" ht="15.75" customHeight="1">
      <c r="A44" s="7">
        <v>45731.0</v>
      </c>
      <c r="B44" s="4" t="s">
        <v>105</v>
      </c>
      <c r="C44" s="8">
        <v>1011.0</v>
      </c>
      <c r="D44" s="8">
        <v>212.0</v>
      </c>
      <c r="E44" s="8">
        <v>110.0</v>
      </c>
      <c r="F44" s="8">
        <v>12.0</v>
      </c>
      <c r="G44" s="8">
        <v>689.0</v>
      </c>
      <c r="H44" s="8">
        <v>753317.0</v>
      </c>
      <c r="I44" s="8">
        <v>291.0</v>
      </c>
      <c r="J44" s="8">
        <v>42.0</v>
      </c>
      <c r="K44" s="8">
        <v>249.0</v>
      </c>
      <c r="L44" s="8">
        <v>156277.0</v>
      </c>
    </row>
    <row r="45" ht="15.75" customHeight="1">
      <c r="A45" s="7">
        <v>45732.0</v>
      </c>
      <c r="B45" s="4" t="s">
        <v>59</v>
      </c>
      <c r="C45" s="8">
        <v>2398.0</v>
      </c>
      <c r="D45" s="8">
        <v>163.0</v>
      </c>
      <c r="E45" s="8">
        <v>122.0</v>
      </c>
      <c r="F45" s="8">
        <v>6.0</v>
      </c>
      <c r="G45" s="8">
        <v>2113.0</v>
      </c>
      <c r="H45" s="8">
        <v>755430.0</v>
      </c>
      <c r="I45" s="8">
        <v>491.0</v>
      </c>
      <c r="J45" s="8">
        <v>108.0</v>
      </c>
      <c r="K45" s="8">
        <v>383.0</v>
      </c>
      <c r="L45" s="8">
        <v>156660.0</v>
      </c>
    </row>
    <row r="46" ht="15.75" customHeight="1">
      <c r="A46" s="7">
        <v>45733.0</v>
      </c>
      <c r="B46" s="4" t="s">
        <v>98</v>
      </c>
      <c r="C46" s="8">
        <v>889.0</v>
      </c>
      <c r="D46" s="8">
        <v>343.0</v>
      </c>
      <c r="E46" s="8">
        <v>146.0</v>
      </c>
      <c r="F46" s="8">
        <v>0.0</v>
      </c>
      <c r="G46" s="8">
        <v>400.0</v>
      </c>
      <c r="H46" s="8">
        <v>755830.0</v>
      </c>
      <c r="I46" s="8">
        <v>371.0</v>
      </c>
      <c r="J46" s="8">
        <v>63.0</v>
      </c>
      <c r="K46" s="8">
        <v>308.0</v>
      </c>
      <c r="L46" s="8">
        <v>156968.0</v>
      </c>
    </row>
    <row r="47" ht="15.75" customHeight="1">
      <c r="A47" s="7">
        <v>45734.0</v>
      </c>
      <c r="B47" s="4" t="s">
        <v>91</v>
      </c>
      <c r="C47" s="8">
        <v>1392.0</v>
      </c>
      <c r="D47" s="8">
        <v>178.0</v>
      </c>
      <c r="E47" s="8">
        <v>178.0</v>
      </c>
      <c r="F47" s="8">
        <v>2.0</v>
      </c>
      <c r="G47" s="8">
        <v>1036.0</v>
      </c>
      <c r="H47" s="8">
        <v>756866.0</v>
      </c>
      <c r="I47" s="8">
        <v>237.0</v>
      </c>
      <c r="J47" s="8">
        <v>52.0</v>
      </c>
      <c r="K47" s="8">
        <v>185.0</v>
      </c>
      <c r="L47" s="8">
        <v>157153.0</v>
      </c>
    </row>
    <row r="48" ht="15.75" customHeight="1">
      <c r="A48" s="7">
        <v>45735.0</v>
      </c>
      <c r="B48" s="4" t="s">
        <v>82</v>
      </c>
      <c r="C48" s="8">
        <v>2491.0</v>
      </c>
      <c r="D48" s="8">
        <v>198.0</v>
      </c>
      <c r="E48" s="8">
        <v>144.0</v>
      </c>
      <c r="F48" s="8">
        <v>10.0</v>
      </c>
      <c r="G48" s="8">
        <v>2149.0</v>
      </c>
      <c r="H48" s="8">
        <v>759015.0</v>
      </c>
      <c r="I48" s="8">
        <v>236.0</v>
      </c>
      <c r="J48" s="8">
        <v>79.0</v>
      </c>
      <c r="K48" s="8">
        <v>157.0</v>
      </c>
      <c r="L48" s="8">
        <v>157310.0</v>
      </c>
    </row>
    <row r="49" ht="15.75" customHeight="1">
      <c r="A49" s="7">
        <v>45736.0</v>
      </c>
      <c r="B49" s="4" t="s">
        <v>75</v>
      </c>
      <c r="C49" s="8">
        <v>1539.0</v>
      </c>
      <c r="D49" s="8">
        <v>133.0</v>
      </c>
      <c r="E49" s="8">
        <v>54.0</v>
      </c>
      <c r="F49" s="8">
        <v>4.0</v>
      </c>
      <c r="G49" s="8">
        <v>1352.0</v>
      </c>
      <c r="H49" s="8">
        <v>760367.0</v>
      </c>
      <c r="I49" s="8">
        <v>285.0</v>
      </c>
      <c r="J49" s="8">
        <v>131.0</v>
      </c>
      <c r="K49" s="8">
        <v>154.0</v>
      </c>
      <c r="L49" s="8">
        <v>157464.0</v>
      </c>
    </row>
    <row r="50" ht="15.75" customHeight="1">
      <c r="A50" s="7">
        <v>45737.0</v>
      </c>
      <c r="B50" s="4" t="s">
        <v>135</v>
      </c>
      <c r="C50" s="8">
        <v>1727.0</v>
      </c>
      <c r="D50" s="8">
        <v>252.0</v>
      </c>
      <c r="E50" s="8">
        <v>70.0</v>
      </c>
      <c r="F50" s="8">
        <v>0.0</v>
      </c>
      <c r="G50" s="8">
        <v>1405.0</v>
      </c>
      <c r="H50" s="8">
        <v>761772.0</v>
      </c>
      <c r="I50" s="8">
        <v>362.0</v>
      </c>
      <c r="J50" s="8">
        <v>88.0</v>
      </c>
      <c r="K50" s="8">
        <v>274.0</v>
      </c>
      <c r="L50" s="8">
        <v>157738.0</v>
      </c>
    </row>
    <row r="51" ht="15.75" customHeight="1">
      <c r="A51" s="7">
        <v>45738.0</v>
      </c>
      <c r="B51" s="4" t="s">
        <v>105</v>
      </c>
      <c r="C51" s="8">
        <v>2415.0</v>
      </c>
      <c r="D51" s="8">
        <v>372.0</v>
      </c>
      <c r="E51" s="8">
        <v>169.0</v>
      </c>
      <c r="F51" s="8">
        <v>6.0</v>
      </c>
      <c r="G51" s="8">
        <v>1874.0</v>
      </c>
      <c r="H51" s="8">
        <v>763646.0</v>
      </c>
      <c r="I51" s="8">
        <v>363.0</v>
      </c>
      <c r="J51" s="8">
        <v>105.0</v>
      </c>
      <c r="K51" s="8">
        <v>258.0</v>
      </c>
      <c r="L51" s="8">
        <v>157996.0</v>
      </c>
    </row>
    <row r="52" ht="15.75" customHeight="1">
      <c r="A52" s="7">
        <v>45739.0</v>
      </c>
      <c r="B52" s="4" t="s">
        <v>59</v>
      </c>
      <c r="C52" s="8">
        <v>1752.0</v>
      </c>
      <c r="D52" s="8">
        <v>328.0</v>
      </c>
      <c r="E52" s="8">
        <v>163.0</v>
      </c>
      <c r="F52" s="8">
        <v>0.0</v>
      </c>
      <c r="G52" s="8">
        <v>1261.0</v>
      </c>
      <c r="H52" s="8">
        <v>764907.0</v>
      </c>
      <c r="I52" s="8">
        <v>503.0</v>
      </c>
      <c r="J52" s="8">
        <v>48.0</v>
      </c>
      <c r="K52" s="8">
        <v>455.0</v>
      </c>
      <c r="L52" s="8">
        <v>158451.0</v>
      </c>
    </row>
    <row r="53" ht="15.75" customHeight="1">
      <c r="A53" s="7">
        <v>45740.0</v>
      </c>
      <c r="B53" s="4" t="s">
        <v>98</v>
      </c>
      <c r="C53" s="8">
        <v>879.0</v>
      </c>
      <c r="D53" s="8">
        <v>171.0</v>
      </c>
      <c r="E53" s="8">
        <v>72.0</v>
      </c>
      <c r="F53" s="8">
        <v>4.0</v>
      </c>
      <c r="G53" s="8">
        <v>636.0</v>
      </c>
      <c r="H53" s="8">
        <v>765543.0</v>
      </c>
      <c r="I53" s="8">
        <v>332.0</v>
      </c>
      <c r="J53" s="8">
        <v>71.0</v>
      </c>
      <c r="K53" s="8">
        <v>261.0</v>
      </c>
      <c r="L53" s="8">
        <v>158712.0</v>
      </c>
    </row>
    <row r="54" ht="15.75" customHeight="1">
      <c r="A54" s="7">
        <v>45741.0</v>
      </c>
      <c r="B54" s="4" t="s">
        <v>91</v>
      </c>
      <c r="C54" s="8">
        <v>2207.0</v>
      </c>
      <c r="D54" s="8">
        <v>224.0</v>
      </c>
      <c r="E54" s="8">
        <v>76.0</v>
      </c>
      <c r="F54" s="8">
        <v>5.0</v>
      </c>
      <c r="G54" s="8">
        <v>1907.0</v>
      </c>
      <c r="H54" s="8">
        <v>767450.0</v>
      </c>
      <c r="I54" s="8">
        <v>457.0</v>
      </c>
      <c r="J54" s="8">
        <v>140.0</v>
      </c>
      <c r="K54" s="8">
        <v>317.0</v>
      </c>
      <c r="L54" s="8">
        <v>159029.0</v>
      </c>
    </row>
    <row r="55" ht="15.75" customHeight="1">
      <c r="A55" s="7">
        <v>45742.0</v>
      </c>
      <c r="B55" s="4" t="s">
        <v>82</v>
      </c>
      <c r="C55" s="8">
        <v>6006.0</v>
      </c>
      <c r="D55" s="8">
        <v>336.0</v>
      </c>
      <c r="E55" s="8">
        <v>155.0</v>
      </c>
      <c r="F55" s="8">
        <v>0.0</v>
      </c>
      <c r="G55" s="8">
        <v>5515.0</v>
      </c>
      <c r="H55" s="8">
        <v>772965.0</v>
      </c>
      <c r="I55" s="8">
        <v>477.0</v>
      </c>
      <c r="J55" s="8">
        <v>111.0</v>
      </c>
      <c r="K55" s="8">
        <v>366.0</v>
      </c>
      <c r="L55" s="8">
        <v>159395.0</v>
      </c>
    </row>
    <row r="56" ht="15.75" customHeight="1">
      <c r="A56" s="7">
        <v>45743.0</v>
      </c>
      <c r="B56" s="4" t="s">
        <v>75</v>
      </c>
      <c r="C56" s="8">
        <v>1461.0</v>
      </c>
      <c r="D56" s="8">
        <v>205.0</v>
      </c>
      <c r="E56" s="8">
        <v>55.0</v>
      </c>
      <c r="F56" s="8">
        <v>7.0</v>
      </c>
      <c r="G56" s="8">
        <v>1201.0</v>
      </c>
      <c r="H56" s="8">
        <v>774166.0</v>
      </c>
      <c r="I56" s="8">
        <v>539.0</v>
      </c>
      <c r="J56" s="8">
        <v>40.0</v>
      </c>
      <c r="K56" s="8">
        <v>499.0</v>
      </c>
      <c r="L56" s="8">
        <v>159894.0</v>
      </c>
    </row>
    <row r="57" ht="15.75" customHeight="1">
      <c r="A57" s="7">
        <v>45744.0</v>
      </c>
      <c r="B57" s="4" t="s">
        <v>135</v>
      </c>
      <c r="C57" s="8">
        <v>2301.0</v>
      </c>
      <c r="D57" s="8">
        <v>299.0</v>
      </c>
      <c r="E57" s="8">
        <v>94.0</v>
      </c>
      <c r="F57" s="8">
        <v>9.0</v>
      </c>
      <c r="G57" s="8">
        <v>1908.0</v>
      </c>
      <c r="H57" s="8">
        <v>776074.0</v>
      </c>
      <c r="I57" s="8">
        <v>392.0</v>
      </c>
      <c r="J57" s="8">
        <v>120.0</v>
      </c>
      <c r="K57" s="8">
        <v>272.0</v>
      </c>
      <c r="L57" s="8">
        <v>160166.0</v>
      </c>
    </row>
    <row r="58" ht="15.75" customHeight="1">
      <c r="A58" s="7">
        <v>45745.0</v>
      </c>
      <c r="B58" s="4" t="s">
        <v>105</v>
      </c>
      <c r="C58" s="8">
        <v>1364.0</v>
      </c>
      <c r="D58" s="8">
        <v>155.0</v>
      </c>
      <c r="E58" s="8">
        <v>62.0</v>
      </c>
      <c r="F58" s="8">
        <v>6.0</v>
      </c>
      <c r="G58" s="8">
        <v>1147.0</v>
      </c>
      <c r="H58" s="8">
        <v>777221.0</v>
      </c>
      <c r="I58" s="8">
        <v>673.0</v>
      </c>
      <c r="J58" s="8">
        <v>78.0</v>
      </c>
      <c r="K58" s="8">
        <v>595.0</v>
      </c>
      <c r="L58" s="8">
        <v>160761.0</v>
      </c>
    </row>
    <row r="59" ht="15.75" customHeight="1">
      <c r="A59" s="7">
        <v>45746.0</v>
      </c>
      <c r="B59" s="4" t="s">
        <v>59</v>
      </c>
      <c r="C59" s="8">
        <v>2757.0</v>
      </c>
      <c r="D59" s="8">
        <v>263.0</v>
      </c>
      <c r="E59" s="8">
        <v>93.0</v>
      </c>
      <c r="F59" s="8">
        <v>9.0</v>
      </c>
      <c r="G59" s="8">
        <v>2401.0</v>
      </c>
      <c r="H59" s="8">
        <v>779622.0</v>
      </c>
      <c r="I59" s="8">
        <v>560.0</v>
      </c>
      <c r="J59" s="8">
        <v>95.0</v>
      </c>
      <c r="K59" s="8">
        <v>465.0</v>
      </c>
      <c r="L59" s="8">
        <v>161226.0</v>
      </c>
    </row>
    <row r="60" ht="15.75" customHeight="1">
      <c r="A60" s="7">
        <v>45747.0</v>
      </c>
      <c r="B60" s="4" t="s">
        <v>98</v>
      </c>
      <c r="C60" s="8">
        <v>2305.0</v>
      </c>
      <c r="D60" s="8">
        <v>253.0</v>
      </c>
      <c r="E60" s="8">
        <v>155.0</v>
      </c>
      <c r="F60" s="8">
        <v>4.0</v>
      </c>
      <c r="G60" s="8">
        <v>1897.0</v>
      </c>
      <c r="H60" s="8">
        <v>781519.0</v>
      </c>
      <c r="I60" s="8">
        <v>372.0</v>
      </c>
      <c r="J60" s="8">
        <v>136.0</v>
      </c>
      <c r="K60" s="8">
        <v>236.0</v>
      </c>
      <c r="L60" s="8">
        <v>161462.0</v>
      </c>
    </row>
    <row r="61" ht="15.75" customHeight="1">
      <c r="A61" s="7">
        <v>45748.0</v>
      </c>
      <c r="B61" s="4" t="s">
        <v>91</v>
      </c>
      <c r="C61" s="8">
        <v>1499.0</v>
      </c>
      <c r="D61" s="8">
        <v>355.0</v>
      </c>
      <c r="E61" s="8">
        <v>124.0</v>
      </c>
      <c r="F61" s="8">
        <v>0.0</v>
      </c>
      <c r="G61" s="8">
        <v>1020.0</v>
      </c>
      <c r="H61" s="8">
        <v>782539.0</v>
      </c>
      <c r="I61" s="8">
        <v>287.0</v>
      </c>
      <c r="J61" s="8">
        <v>116.0</v>
      </c>
      <c r="K61" s="8">
        <v>171.0</v>
      </c>
      <c r="L61" s="8">
        <v>161633.0</v>
      </c>
    </row>
    <row r="62" ht="15.75" customHeight="1">
      <c r="A62" s="7">
        <v>45749.0</v>
      </c>
      <c r="B62" s="4" t="s">
        <v>82</v>
      </c>
      <c r="C62" s="8">
        <v>804.0</v>
      </c>
      <c r="D62" s="8">
        <v>363.0</v>
      </c>
      <c r="E62" s="8">
        <v>42.0</v>
      </c>
      <c r="F62" s="8">
        <v>10.0</v>
      </c>
      <c r="G62" s="8">
        <v>399.0</v>
      </c>
      <c r="H62" s="8">
        <v>782938.0</v>
      </c>
      <c r="I62" s="8">
        <v>491.0</v>
      </c>
      <c r="J62" s="8">
        <v>40.0</v>
      </c>
      <c r="K62" s="8">
        <v>451.0</v>
      </c>
      <c r="L62" s="8">
        <v>162084.0</v>
      </c>
    </row>
    <row r="63" ht="15.75" customHeight="1">
      <c r="A63" s="7">
        <v>45750.0</v>
      </c>
      <c r="B63" s="4" t="s">
        <v>75</v>
      </c>
      <c r="C63" s="8">
        <v>2226.0</v>
      </c>
      <c r="D63" s="8">
        <v>370.0</v>
      </c>
      <c r="E63" s="8">
        <v>140.0</v>
      </c>
      <c r="F63" s="8">
        <v>8.0</v>
      </c>
      <c r="G63" s="8">
        <v>1716.0</v>
      </c>
      <c r="H63" s="8">
        <v>784654.0</v>
      </c>
      <c r="I63" s="8">
        <v>540.0</v>
      </c>
      <c r="J63" s="8">
        <v>137.0</v>
      </c>
      <c r="K63" s="8">
        <v>403.0</v>
      </c>
      <c r="L63" s="8">
        <v>162487.0</v>
      </c>
    </row>
    <row r="64" ht="15.75" customHeight="1">
      <c r="A64" s="7">
        <v>45751.0</v>
      </c>
      <c r="B64" s="4" t="s">
        <v>135</v>
      </c>
      <c r="C64" s="8">
        <v>2133.0</v>
      </c>
      <c r="D64" s="8">
        <v>135.0</v>
      </c>
      <c r="E64" s="8">
        <v>153.0</v>
      </c>
      <c r="F64" s="8">
        <v>10.0</v>
      </c>
      <c r="G64" s="8">
        <v>1845.0</v>
      </c>
      <c r="H64" s="8">
        <v>786499.0</v>
      </c>
      <c r="I64" s="8">
        <v>219.0</v>
      </c>
      <c r="J64" s="8">
        <v>125.0</v>
      </c>
      <c r="K64" s="8">
        <v>94.0</v>
      </c>
      <c r="L64" s="8">
        <v>162581.0</v>
      </c>
    </row>
    <row r="65" ht="15.75" customHeight="1">
      <c r="A65" s="7">
        <v>45752.0</v>
      </c>
      <c r="B65" s="4" t="s">
        <v>105</v>
      </c>
      <c r="C65" s="8">
        <v>1805.0</v>
      </c>
      <c r="D65" s="8">
        <v>303.0</v>
      </c>
      <c r="E65" s="8">
        <v>85.0</v>
      </c>
      <c r="F65" s="8">
        <v>12.0</v>
      </c>
      <c r="G65" s="8">
        <v>1417.0</v>
      </c>
      <c r="H65" s="8">
        <v>787916.0</v>
      </c>
      <c r="I65" s="8">
        <v>693.0</v>
      </c>
      <c r="J65" s="8">
        <v>89.0</v>
      </c>
      <c r="K65" s="8">
        <v>604.0</v>
      </c>
      <c r="L65" s="8">
        <v>163185.0</v>
      </c>
    </row>
    <row r="66" ht="15.75" customHeight="1">
      <c r="A66" s="7">
        <v>45753.0</v>
      </c>
      <c r="B66" s="4" t="s">
        <v>59</v>
      </c>
      <c r="C66" s="8">
        <v>1213.0</v>
      </c>
      <c r="D66" s="8">
        <v>309.0</v>
      </c>
      <c r="E66" s="8">
        <v>153.0</v>
      </c>
      <c r="F66" s="8">
        <v>0.0</v>
      </c>
      <c r="G66" s="8">
        <v>751.0</v>
      </c>
      <c r="H66" s="8">
        <v>788667.0</v>
      </c>
      <c r="I66" s="8">
        <v>478.0</v>
      </c>
      <c r="J66" s="8">
        <v>64.0</v>
      </c>
      <c r="K66" s="8">
        <v>414.0</v>
      </c>
      <c r="L66" s="8">
        <v>163599.0</v>
      </c>
    </row>
    <row r="67" ht="15.75" customHeight="1">
      <c r="A67" s="7">
        <v>45754.0</v>
      </c>
      <c r="B67" s="4" t="s">
        <v>98</v>
      </c>
      <c r="C67" s="8">
        <v>1375.0</v>
      </c>
      <c r="D67" s="8">
        <v>303.0</v>
      </c>
      <c r="E67" s="8">
        <v>63.0</v>
      </c>
      <c r="F67" s="8">
        <v>9.0</v>
      </c>
      <c r="G67" s="8">
        <v>1009.0</v>
      </c>
      <c r="H67" s="8">
        <v>789676.0</v>
      </c>
      <c r="I67" s="8">
        <v>528.0</v>
      </c>
      <c r="J67" s="8">
        <v>64.0</v>
      </c>
      <c r="K67" s="8">
        <v>464.0</v>
      </c>
      <c r="L67" s="8">
        <v>164063.0</v>
      </c>
    </row>
    <row r="68" ht="15.75" customHeight="1">
      <c r="A68" s="7">
        <v>45755.0</v>
      </c>
      <c r="B68" s="4" t="s">
        <v>91</v>
      </c>
      <c r="C68" s="8">
        <v>1252.0</v>
      </c>
      <c r="D68" s="8">
        <v>372.0</v>
      </c>
      <c r="E68" s="8">
        <v>49.0</v>
      </c>
      <c r="F68" s="8">
        <v>4.0</v>
      </c>
      <c r="G68" s="8">
        <v>831.0</v>
      </c>
      <c r="H68" s="8">
        <v>790507.0</v>
      </c>
      <c r="I68" s="8">
        <v>299.0</v>
      </c>
      <c r="J68" s="8">
        <v>86.0</v>
      </c>
      <c r="K68" s="8">
        <v>213.0</v>
      </c>
      <c r="L68" s="8">
        <v>164276.0</v>
      </c>
    </row>
    <row r="69" ht="15.75" customHeight="1">
      <c r="A69" s="7">
        <v>45756.0</v>
      </c>
      <c r="B69" s="4" t="s">
        <v>82</v>
      </c>
      <c r="C69" s="8">
        <v>2041.0</v>
      </c>
      <c r="D69" s="8">
        <v>123.0</v>
      </c>
      <c r="E69" s="8">
        <v>141.0</v>
      </c>
      <c r="F69" s="8">
        <v>1.0</v>
      </c>
      <c r="G69" s="8">
        <v>1777.0</v>
      </c>
      <c r="H69" s="8">
        <v>792284.0</v>
      </c>
      <c r="I69" s="8">
        <v>287.0</v>
      </c>
      <c r="J69" s="8">
        <v>65.0</v>
      </c>
      <c r="K69" s="8">
        <v>222.0</v>
      </c>
      <c r="L69" s="8">
        <v>164498.0</v>
      </c>
    </row>
    <row r="70" ht="15.75" customHeight="1">
      <c r="A70" s="7">
        <v>45757.0</v>
      </c>
      <c r="B70" s="4" t="s">
        <v>75</v>
      </c>
      <c r="C70" s="8">
        <v>1811.0</v>
      </c>
      <c r="D70" s="8">
        <v>219.0</v>
      </c>
      <c r="E70" s="8">
        <v>84.0</v>
      </c>
      <c r="F70" s="8">
        <v>1.0</v>
      </c>
      <c r="G70" s="8">
        <v>1508.0</v>
      </c>
      <c r="H70" s="8">
        <v>793792.0</v>
      </c>
      <c r="I70" s="8">
        <v>267.0</v>
      </c>
      <c r="J70" s="8">
        <v>124.0</v>
      </c>
      <c r="K70" s="8">
        <v>143.0</v>
      </c>
      <c r="L70" s="8">
        <v>164641.0</v>
      </c>
    </row>
    <row r="71" ht="15.75" customHeight="1">
      <c r="A71" s="7">
        <v>45758.0</v>
      </c>
      <c r="B71" s="4" t="s">
        <v>135</v>
      </c>
      <c r="C71" s="8">
        <v>1060.0</v>
      </c>
      <c r="D71" s="8">
        <v>236.0</v>
      </c>
      <c r="E71" s="8">
        <v>110.0</v>
      </c>
      <c r="F71" s="8">
        <v>3.0</v>
      </c>
      <c r="G71" s="8">
        <v>714.0</v>
      </c>
      <c r="H71" s="8">
        <v>794506.0</v>
      </c>
      <c r="I71" s="8">
        <v>312.0</v>
      </c>
      <c r="J71" s="8">
        <v>106.0</v>
      </c>
      <c r="K71" s="8">
        <v>206.0</v>
      </c>
      <c r="L71" s="8">
        <v>164847.0</v>
      </c>
    </row>
    <row r="72" ht="15.75" customHeight="1">
      <c r="A72" s="7">
        <v>45759.0</v>
      </c>
      <c r="B72" s="4" t="s">
        <v>105</v>
      </c>
      <c r="C72" s="8">
        <v>2551.0</v>
      </c>
      <c r="D72" s="8">
        <v>249.0</v>
      </c>
      <c r="E72" s="8">
        <v>156.0</v>
      </c>
      <c r="F72" s="8">
        <v>0.0</v>
      </c>
      <c r="G72" s="8">
        <v>2146.0</v>
      </c>
      <c r="H72" s="8">
        <v>796652.0</v>
      </c>
      <c r="I72" s="8">
        <v>606.0</v>
      </c>
      <c r="J72" s="8">
        <v>127.0</v>
      </c>
      <c r="K72" s="8">
        <v>479.0</v>
      </c>
      <c r="L72" s="8">
        <v>165326.0</v>
      </c>
    </row>
    <row r="73" ht="15.75" customHeight="1">
      <c r="A73" s="7">
        <v>45760.0</v>
      </c>
      <c r="B73" s="4" t="s">
        <v>59</v>
      </c>
      <c r="C73" s="8">
        <v>2450.0</v>
      </c>
      <c r="D73" s="8">
        <v>285.0</v>
      </c>
      <c r="E73" s="8">
        <v>144.0</v>
      </c>
      <c r="F73" s="8">
        <v>4.0</v>
      </c>
      <c r="G73" s="8">
        <v>2021.0</v>
      </c>
      <c r="H73" s="8">
        <v>798673.0</v>
      </c>
      <c r="I73" s="8">
        <v>236.0</v>
      </c>
      <c r="J73" s="8">
        <v>95.0</v>
      </c>
      <c r="K73" s="8">
        <v>141.0</v>
      </c>
      <c r="L73" s="8">
        <v>165467.0</v>
      </c>
    </row>
    <row r="74" ht="15.75" customHeight="1">
      <c r="A74" s="7">
        <v>45761.0</v>
      </c>
      <c r="B74" s="4" t="s">
        <v>98</v>
      </c>
      <c r="C74" s="8">
        <v>1814.0</v>
      </c>
      <c r="D74" s="8">
        <v>142.0</v>
      </c>
      <c r="E74" s="8">
        <v>97.0</v>
      </c>
      <c r="F74" s="8">
        <v>0.0</v>
      </c>
      <c r="G74" s="8">
        <v>1575.0</v>
      </c>
      <c r="H74" s="8">
        <v>800248.0</v>
      </c>
      <c r="I74" s="8">
        <v>365.0</v>
      </c>
      <c r="J74" s="8">
        <v>132.0</v>
      </c>
      <c r="K74" s="8">
        <v>233.0</v>
      </c>
      <c r="L74" s="8">
        <v>165700.0</v>
      </c>
    </row>
    <row r="75" ht="15.75" customHeight="1">
      <c r="A75" s="7">
        <v>45762.0</v>
      </c>
      <c r="B75" s="4" t="s">
        <v>91</v>
      </c>
      <c r="C75" s="8">
        <v>1719.0</v>
      </c>
      <c r="D75" s="8">
        <v>122.0</v>
      </c>
      <c r="E75" s="8">
        <v>89.0</v>
      </c>
      <c r="F75" s="8">
        <v>5.0</v>
      </c>
      <c r="G75" s="8">
        <v>1508.0</v>
      </c>
      <c r="H75" s="8">
        <v>801756.0</v>
      </c>
      <c r="I75" s="8">
        <v>341.0</v>
      </c>
      <c r="J75" s="8">
        <v>90.0</v>
      </c>
      <c r="K75" s="8">
        <v>251.0</v>
      </c>
      <c r="L75" s="8">
        <v>165951.0</v>
      </c>
    </row>
    <row r="76" ht="15.75" customHeight="1">
      <c r="A76" s="7">
        <v>45763.0</v>
      </c>
      <c r="B76" s="4" t="s">
        <v>82</v>
      </c>
      <c r="C76" s="8">
        <v>851.0</v>
      </c>
      <c r="D76" s="8">
        <v>235.0</v>
      </c>
      <c r="E76" s="8">
        <v>148.0</v>
      </c>
      <c r="F76" s="8">
        <v>1.0</v>
      </c>
      <c r="G76" s="8">
        <v>468.0</v>
      </c>
      <c r="H76" s="8">
        <v>802224.0</v>
      </c>
      <c r="I76" s="8">
        <v>557.0</v>
      </c>
      <c r="J76" s="8">
        <v>128.0</v>
      </c>
      <c r="K76" s="8">
        <v>429.0</v>
      </c>
      <c r="L76" s="8">
        <v>166380.0</v>
      </c>
    </row>
    <row r="77" ht="15.75" customHeight="1">
      <c r="A77" s="7">
        <v>45764.0</v>
      </c>
      <c r="B77" s="4" t="s">
        <v>75</v>
      </c>
      <c r="C77" s="8">
        <v>1474.0</v>
      </c>
      <c r="D77" s="8">
        <v>152.0</v>
      </c>
      <c r="E77" s="8">
        <v>64.0</v>
      </c>
      <c r="F77" s="8">
        <v>0.0</v>
      </c>
      <c r="G77" s="8">
        <v>1258.0</v>
      </c>
      <c r="H77" s="8">
        <v>803482.0</v>
      </c>
      <c r="I77" s="8">
        <v>339.0</v>
      </c>
      <c r="J77" s="8">
        <v>120.0</v>
      </c>
      <c r="K77" s="8">
        <v>219.0</v>
      </c>
      <c r="L77" s="8">
        <v>166599.0</v>
      </c>
    </row>
    <row r="78" ht="15.75" customHeight="1">
      <c r="A78" s="7">
        <v>45765.0</v>
      </c>
      <c r="B78" s="4" t="s">
        <v>135</v>
      </c>
      <c r="C78" s="8">
        <v>2013.0</v>
      </c>
      <c r="D78" s="8">
        <v>291.0</v>
      </c>
      <c r="E78" s="8">
        <v>103.0</v>
      </c>
      <c r="F78" s="8">
        <v>1.0</v>
      </c>
      <c r="G78" s="8">
        <v>1619.0</v>
      </c>
      <c r="H78" s="8">
        <v>805101.0</v>
      </c>
      <c r="I78" s="8">
        <v>588.0</v>
      </c>
      <c r="J78" s="8">
        <v>72.0</v>
      </c>
      <c r="K78" s="8">
        <v>516.0</v>
      </c>
      <c r="L78" s="8">
        <v>167115.0</v>
      </c>
    </row>
    <row r="79" ht="15.75" customHeight="1">
      <c r="A79" s="7">
        <v>45766.0</v>
      </c>
      <c r="B79" s="4" t="s">
        <v>105</v>
      </c>
      <c r="C79" s="8">
        <v>1047.0</v>
      </c>
      <c r="D79" s="8">
        <v>290.0</v>
      </c>
      <c r="E79" s="8">
        <v>100.0</v>
      </c>
      <c r="F79" s="8">
        <v>1.0</v>
      </c>
      <c r="G79" s="8">
        <v>657.0</v>
      </c>
      <c r="H79" s="8">
        <v>805758.0</v>
      </c>
      <c r="I79" s="8">
        <v>690.0</v>
      </c>
      <c r="J79" s="8">
        <v>106.0</v>
      </c>
      <c r="K79" s="8">
        <v>584.0</v>
      </c>
      <c r="L79" s="8">
        <v>167699.0</v>
      </c>
    </row>
    <row r="80" ht="15.75" customHeight="1">
      <c r="A80" s="7">
        <v>45767.0</v>
      </c>
      <c r="B80" s="4" t="s">
        <v>59</v>
      </c>
      <c r="C80" s="8">
        <v>2718.0</v>
      </c>
      <c r="D80" s="8">
        <v>348.0</v>
      </c>
      <c r="E80" s="8">
        <v>71.0</v>
      </c>
      <c r="F80" s="8">
        <v>1.0</v>
      </c>
      <c r="G80" s="8">
        <v>2299.0</v>
      </c>
      <c r="H80" s="8">
        <v>808057.0</v>
      </c>
      <c r="I80" s="8">
        <v>262.0</v>
      </c>
      <c r="J80" s="8">
        <v>114.0</v>
      </c>
      <c r="K80" s="8">
        <v>148.0</v>
      </c>
      <c r="L80" s="8">
        <v>167847.0</v>
      </c>
    </row>
    <row r="81" ht="15.75" customHeight="1">
      <c r="A81" s="7">
        <v>45768.0</v>
      </c>
      <c r="B81" s="4" t="s">
        <v>98</v>
      </c>
      <c r="C81" s="8">
        <v>1572.0</v>
      </c>
      <c r="D81" s="8">
        <v>153.0</v>
      </c>
      <c r="E81" s="8">
        <v>72.0</v>
      </c>
      <c r="F81" s="8">
        <v>0.0</v>
      </c>
      <c r="G81" s="8">
        <v>1347.0</v>
      </c>
      <c r="H81" s="8">
        <v>809404.0</v>
      </c>
      <c r="I81" s="8">
        <v>340.0</v>
      </c>
      <c r="J81" s="8">
        <v>140.0</v>
      </c>
      <c r="K81" s="8">
        <v>200.0</v>
      </c>
      <c r="L81" s="8">
        <v>168047.0</v>
      </c>
    </row>
    <row r="82" ht="15.75" customHeight="1">
      <c r="A82" s="7">
        <v>45769.0</v>
      </c>
      <c r="B82" s="4" t="s">
        <v>91</v>
      </c>
      <c r="C82" s="8">
        <v>1417.0</v>
      </c>
      <c r="D82" s="8">
        <v>341.0</v>
      </c>
      <c r="E82" s="8">
        <v>66.0</v>
      </c>
      <c r="F82" s="8">
        <v>10.0</v>
      </c>
      <c r="G82" s="8">
        <v>1010.0</v>
      </c>
      <c r="H82" s="8">
        <v>810414.0</v>
      </c>
      <c r="I82" s="8">
        <v>492.0</v>
      </c>
      <c r="J82" s="8">
        <v>48.0</v>
      </c>
      <c r="K82" s="8">
        <v>444.0</v>
      </c>
      <c r="L82" s="8">
        <v>168491.0</v>
      </c>
    </row>
    <row r="83" ht="15.75" customHeight="1">
      <c r="A83" s="7">
        <v>45770.0</v>
      </c>
      <c r="B83" s="4" t="s">
        <v>82</v>
      </c>
      <c r="C83" s="8">
        <v>1581.0</v>
      </c>
      <c r="D83" s="8">
        <v>169.0</v>
      </c>
      <c r="E83" s="8">
        <v>145.0</v>
      </c>
      <c r="F83" s="8">
        <v>3.0</v>
      </c>
      <c r="G83" s="8">
        <v>1267.0</v>
      </c>
      <c r="H83" s="8">
        <v>811681.0</v>
      </c>
      <c r="I83" s="8">
        <v>385.0</v>
      </c>
      <c r="J83" s="8">
        <v>119.0</v>
      </c>
      <c r="K83" s="8">
        <v>266.0</v>
      </c>
      <c r="L83" s="8">
        <v>168757.0</v>
      </c>
    </row>
    <row r="84" ht="15.75" customHeight="1">
      <c r="A84" s="7">
        <v>45771.0</v>
      </c>
      <c r="B84" s="4" t="s">
        <v>75</v>
      </c>
      <c r="C84" s="8">
        <v>2077.0</v>
      </c>
      <c r="D84" s="8">
        <v>352.0</v>
      </c>
      <c r="E84" s="8">
        <v>158.0</v>
      </c>
      <c r="F84" s="8">
        <v>12.0</v>
      </c>
      <c r="G84" s="8">
        <v>1567.0</v>
      </c>
      <c r="H84" s="8">
        <v>813248.0</v>
      </c>
      <c r="I84" s="8">
        <v>185.0</v>
      </c>
      <c r="J84" s="8">
        <v>89.0</v>
      </c>
      <c r="K84" s="8">
        <v>96.0</v>
      </c>
      <c r="L84" s="8">
        <v>168853.0</v>
      </c>
    </row>
    <row r="85" ht="15.75" customHeight="1">
      <c r="A85" s="7">
        <v>45772.0</v>
      </c>
      <c r="B85" s="4" t="s">
        <v>135</v>
      </c>
      <c r="C85" s="8">
        <v>1007.0</v>
      </c>
      <c r="D85" s="8">
        <v>133.0</v>
      </c>
      <c r="E85" s="8">
        <v>172.0</v>
      </c>
      <c r="F85" s="8">
        <v>5.0</v>
      </c>
      <c r="G85" s="8">
        <v>702.0</v>
      </c>
      <c r="H85" s="8">
        <v>813950.0</v>
      </c>
      <c r="I85" s="8">
        <v>353.0</v>
      </c>
      <c r="J85" s="8">
        <v>98.0</v>
      </c>
      <c r="K85" s="8">
        <v>255.0</v>
      </c>
      <c r="L85" s="8">
        <v>169108.0</v>
      </c>
    </row>
    <row r="86" ht="15.75" customHeight="1">
      <c r="A86" s="7">
        <v>45773.0</v>
      </c>
      <c r="B86" s="4" t="s">
        <v>105</v>
      </c>
      <c r="C86" s="8">
        <v>948.0</v>
      </c>
      <c r="D86" s="8">
        <v>154.0</v>
      </c>
      <c r="E86" s="8">
        <v>89.0</v>
      </c>
      <c r="F86" s="8">
        <v>9.0</v>
      </c>
      <c r="G86" s="8">
        <v>705.0</v>
      </c>
      <c r="H86" s="8">
        <v>814655.0</v>
      </c>
      <c r="I86" s="8">
        <v>556.0</v>
      </c>
      <c r="J86" s="8">
        <v>115.0</v>
      </c>
      <c r="K86" s="8">
        <v>441.0</v>
      </c>
      <c r="L86" s="8">
        <v>169549.0</v>
      </c>
    </row>
    <row r="87" ht="15.75" customHeight="1">
      <c r="A87" s="7">
        <v>45774.0</v>
      </c>
      <c r="B87" s="4" t="s">
        <v>59</v>
      </c>
      <c r="C87" s="8">
        <v>1756.0</v>
      </c>
      <c r="D87" s="8">
        <v>366.0</v>
      </c>
      <c r="E87" s="8">
        <v>153.0</v>
      </c>
      <c r="F87" s="8">
        <v>2.0</v>
      </c>
      <c r="G87" s="8">
        <v>1237.0</v>
      </c>
      <c r="H87" s="8">
        <v>815892.0</v>
      </c>
      <c r="I87" s="8">
        <v>454.0</v>
      </c>
      <c r="J87" s="8">
        <v>132.0</v>
      </c>
      <c r="K87" s="8">
        <v>322.0</v>
      </c>
      <c r="L87" s="8">
        <v>169871.0</v>
      </c>
    </row>
    <row r="88" ht="15.75" customHeight="1">
      <c r="A88" s="7">
        <v>45775.0</v>
      </c>
      <c r="B88" s="4" t="s">
        <v>98</v>
      </c>
      <c r="C88" s="8">
        <v>923.0</v>
      </c>
      <c r="D88" s="8">
        <v>279.0</v>
      </c>
      <c r="E88" s="8">
        <v>151.0</v>
      </c>
      <c r="F88" s="8">
        <v>8.0</v>
      </c>
      <c r="G88" s="8">
        <v>493.0</v>
      </c>
      <c r="H88" s="8">
        <v>816385.0</v>
      </c>
      <c r="I88" s="8">
        <v>245.0</v>
      </c>
      <c r="J88" s="8">
        <v>114.0</v>
      </c>
      <c r="K88" s="8">
        <v>131.0</v>
      </c>
      <c r="L88" s="8">
        <v>170002.0</v>
      </c>
    </row>
    <row r="89" ht="15.75" customHeight="1">
      <c r="A89" s="7">
        <v>45776.0</v>
      </c>
      <c r="B89" s="4" t="s">
        <v>91</v>
      </c>
      <c r="C89" s="8">
        <v>1437.0</v>
      </c>
      <c r="D89" s="8">
        <v>194.0</v>
      </c>
      <c r="E89" s="8">
        <v>160.0</v>
      </c>
      <c r="F89" s="8">
        <v>4.0</v>
      </c>
      <c r="G89" s="8">
        <v>1083.0</v>
      </c>
      <c r="H89" s="8">
        <v>817468.0</v>
      </c>
      <c r="I89" s="8">
        <v>478.0</v>
      </c>
      <c r="J89" s="8">
        <v>58.0</v>
      </c>
      <c r="K89" s="8">
        <v>420.0</v>
      </c>
      <c r="L89" s="8">
        <v>170422.0</v>
      </c>
    </row>
    <row r="90" ht="15.75" customHeight="1">
      <c r="A90" s="7">
        <v>45777.0</v>
      </c>
      <c r="B90" s="4" t="s">
        <v>82</v>
      </c>
      <c r="C90" s="8">
        <v>816.0</v>
      </c>
      <c r="D90" s="8">
        <v>194.0</v>
      </c>
      <c r="E90" s="8">
        <v>100.0</v>
      </c>
      <c r="F90" s="8">
        <v>8.0</v>
      </c>
      <c r="G90" s="8">
        <v>522.0</v>
      </c>
      <c r="H90" s="8">
        <v>817990.0</v>
      </c>
      <c r="I90" s="8">
        <v>445.0</v>
      </c>
      <c r="J90" s="8">
        <v>47.0</v>
      </c>
      <c r="K90" s="8">
        <v>398.0</v>
      </c>
      <c r="L90" s="8">
        <v>170820.0</v>
      </c>
    </row>
    <row r="91" ht="15.75" customHeight="1">
      <c r="A91" s="7">
        <v>45778.0</v>
      </c>
      <c r="B91" s="4" t="s">
        <v>75</v>
      </c>
      <c r="C91" s="8">
        <v>1047.0</v>
      </c>
      <c r="D91" s="8">
        <v>296.0</v>
      </c>
      <c r="E91" s="8">
        <v>91.0</v>
      </c>
      <c r="F91" s="8">
        <v>10.0</v>
      </c>
      <c r="G91" s="8">
        <v>660.0</v>
      </c>
      <c r="H91" s="8">
        <v>818650.0</v>
      </c>
      <c r="I91" s="8">
        <v>455.0</v>
      </c>
      <c r="J91" s="8">
        <v>65.0</v>
      </c>
      <c r="K91" s="8">
        <v>390.0</v>
      </c>
      <c r="L91" s="8">
        <v>171210.0</v>
      </c>
    </row>
    <row r="92" ht="15.75" customHeight="1">
      <c r="A92" s="7">
        <v>45779.0</v>
      </c>
      <c r="B92" s="4" t="s">
        <v>135</v>
      </c>
      <c r="C92" s="8">
        <v>1723.0</v>
      </c>
      <c r="D92" s="8">
        <v>363.0</v>
      </c>
      <c r="E92" s="8">
        <v>159.0</v>
      </c>
      <c r="F92" s="8">
        <v>9.0</v>
      </c>
      <c r="G92" s="8">
        <v>1201.0</v>
      </c>
      <c r="H92" s="8">
        <v>819851.0</v>
      </c>
      <c r="I92" s="8">
        <v>317.0</v>
      </c>
      <c r="J92" s="8">
        <v>128.0</v>
      </c>
      <c r="K92" s="8">
        <v>189.0</v>
      </c>
      <c r="L92" s="8">
        <v>171399.0</v>
      </c>
    </row>
    <row r="93" ht="15.75" customHeight="1">
      <c r="A93" s="7">
        <v>45780.0</v>
      </c>
      <c r="B93" s="4" t="s">
        <v>105</v>
      </c>
      <c r="C93" s="8">
        <v>2590.0</v>
      </c>
      <c r="D93" s="8">
        <v>273.0</v>
      </c>
      <c r="E93" s="8">
        <v>124.0</v>
      </c>
      <c r="F93" s="8">
        <v>2.0</v>
      </c>
      <c r="G93" s="8">
        <v>2193.0</v>
      </c>
      <c r="H93" s="8">
        <v>822044.0</v>
      </c>
      <c r="I93" s="8">
        <v>464.0</v>
      </c>
      <c r="J93" s="8">
        <v>93.0</v>
      </c>
      <c r="K93" s="8">
        <v>371.0</v>
      </c>
      <c r="L93" s="8">
        <v>171770.0</v>
      </c>
    </row>
    <row r="94" ht="15.75" customHeight="1">
      <c r="A94" s="7">
        <v>45781.0</v>
      </c>
      <c r="B94" s="4" t="s">
        <v>59</v>
      </c>
      <c r="C94" s="8">
        <v>1171.0</v>
      </c>
      <c r="D94" s="8">
        <v>232.0</v>
      </c>
      <c r="E94" s="8">
        <v>97.0</v>
      </c>
      <c r="F94" s="8">
        <v>11.0</v>
      </c>
      <c r="G94" s="8">
        <v>842.0</v>
      </c>
      <c r="H94" s="8">
        <v>822886.0</v>
      </c>
      <c r="I94" s="8">
        <v>572.0</v>
      </c>
      <c r="J94" s="8">
        <v>40.0</v>
      </c>
      <c r="K94" s="8">
        <v>532.0</v>
      </c>
      <c r="L94" s="8">
        <v>172302.0</v>
      </c>
    </row>
    <row r="95" ht="15.75" customHeight="1">
      <c r="A95" s="7">
        <v>45782.0</v>
      </c>
      <c r="B95" s="4" t="s">
        <v>98</v>
      </c>
      <c r="C95" s="8">
        <v>1482.0</v>
      </c>
      <c r="D95" s="8">
        <v>289.0</v>
      </c>
      <c r="E95" s="8">
        <v>136.0</v>
      </c>
      <c r="F95" s="8">
        <v>3.0</v>
      </c>
      <c r="G95" s="8">
        <v>1057.0</v>
      </c>
      <c r="H95" s="8">
        <v>823943.0</v>
      </c>
      <c r="I95" s="8">
        <v>489.0</v>
      </c>
      <c r="J95" s="8">
        <v>134.0</v>
      </c>
      <c r="K95" s="8">
        <v>355.0</v>
      </c>
      <c r="L95" s="8">
        <v>172657.0</v>
      </c>
    </row>
    <row r="96" ht="15.75" customHeight="1">
      <c r="A96" s="7">
        <v>45783.0</v>
      </c>
      <c r="B96" s="4" t="s">
        <v>91</v>
      </c>
      <c r="C96" s="8">
        <v>934.0</v>
      </c>
      <c r="D96" s="8">
        <v>125.0</v>
      </c>
      <c r="E96" s="8">
        <v>131.0</v>
      </c>
      <c r="F96" s="8">
        <v>0.0</v>
      </c>
      <c r="G96" s="8">
        <v>678.0</v>
      </c>
      <c r="H96" s="8">
        <v>824621.0</v>
      </c>
      <c r="I96" s="8">
        <v>419.0</v>
      </c>
      <c r="J96" s="8">
        <v>49.0</v>
      </c>
      <c r="K96" s="8">
        <v>370.0</v>
      </c>
      <c r="L96" s="8">
        <v>173027.0</v>
      </c>
    </row>
    <row r="97" ht="15.75" customHeight="1">
      <c r="A97" s="7">
        <v>45784.0</v>
      </c>
      <c r="B97" s="4" t="s">
        <v>82</v>
      </c>
      <c r="C97" s="8">
        <v>1956.0</v>
      </c>
      <c r="D97" s="8">
        <v>304.0</v>
      </c>
      <c r="E97" s="8">
        <v>47.0</v>
      </c>
      <c r="F97" s="8">
        <v>3.0</v>
      </c>
      <c r="G97" s="8">
        <v>1605.0</v>
      </c>
      <c r="H97" s="8">
        <v>826226.0</v>
      </c>
      <c r="I97" s="8">
        <v>320.0</v>
      </c>
      <c r="J97" s="8">
        <v>45.0</v>
      </c>
      <c r="K97" s="8">
        <v>275.0</v>
      </c>
      <c r="L97" s="8">
        <v>173302.0</v>
      </c>
    </row>
    <row r="98" ht="15.75" customHeight="1">
      <c r="A98" s="7">
        <v>45785.0</v>
      </c>
      <c r="B98" s="4" t="s">
        <v>75</v>
      </c>
      <c r="C98" s="8">
        <v>1536.0</v>
      </c>
      <c r="D98" s="8">
        <v>209.0</v>
      </c>
      <c r="E98" s="8">
        <v>102.0</v>
      </c>
      <c r="F98" s="8">
        <v>2.0</v>
      </c>
      <c r="G98" s="8">
        <v>1225.0</v>
      </c>
      <c r="H98" s="8">
        <v>827451.0</v>
      </c>
      <c r="I98" s="8">
        <v>630.0</v>
      </c>
      <c r="J98" s="8">
        <v>83.0</v>
      </c>
      <c r="K98" s="8">
        <v>547.0</v>
      </c>
      <c r="L98" s="8">
        <v>173849.0</v>
      </c>
    </row>
    <row r="99" ht="15.75" customHeight="1">
      <c r="A99" s="7">
        <v>45786.0</v>
      </c>
      <c r="B99" s="4" t="s">
        <v>135</v>
      </c>
      <c r="C99" s="8">
        <v>1536.0</v>
      </c>
      <c r="D99" s="8">
        <v>130.0</v>
      </c>
      <c r="E99" s="8">
        <v>75.0</v>
      </c>
      <c r="F99" s="8">
        <v>6.0</v>
      </c>
      <c r="G99" s="8">
        <v>1331.0</v>
      </c>
      <c r="H99" s="8">
        <v>828782.0</v>
      </c>
      <c r="I99" s="8">
        <v>265.0</v>
      </c>
      <c r="J99" s="8">
        <v>126.0</v>
      </c>
      <c r="K99" s="8">
        <v>139.0</v>
      </c>
      <c r="L99" s="8">
        <v>173988.0</v>
      </c>
    </row>
    <row r="100" ht="15.75" customHeight="1">
      <c r="A100" s="7">
        <v>45787.0</v>
      </c>
      <c r="B100" s="4" t="s">
        <v>105</v>
      </c>
      <c r="C100" s="8">
        <v>1974.0</v>
      </c>
      <c r="D100" s="8">
        <v>276.0</v>
      </c>
      <c r="E100" s="8">
        <v>101.0</v>
      </c>
      <c r="F100" s="8">
        <v>5.0</v>
      </c>
      <c r="G100" s="8">
        <v>1597.0</v>
      </c>
      <c r="H100" s="8">
        <v>830379.0</v>
      </c>
      <c r="I100" s="8">
        <v>379.0</v>
      </c>
      <c r="J100" s="8">
        <v>98.0</v>
      </c>
      <c r="K100" s="8">
        <v>281.0</v>
      </c>
      <c r="L100" s="8">
        <v>174269.0</v>
      </c>
    </row>
    <row r="101" ht="15.75" customHeight="1">
      <c r="A101" s="7">
        <v>45788.0</v>
      </c>
      <c r="B101" s="4" t="s">
        <v>59</v>
      </c>
      <c r="C101" s="8">
        <v>2484.0</v>
      </c>
      <c r="D101" s="8">
        <v>342.0</v>
      </c>
      <c r="E101" s="8">
        <v>56.0</v>
      </c>
      <c r="F101" s="8">
        <v>1.0</v>
      </c>
      <c r="G101" s="8">
        <v>2086.0</v>
      </c>
      <c r="H101" s="8">
        <v>832465.0</v>
      </c>
      <c r="I101" s="8">
        <v>778.0</v>
      </c>
      <c r="J101" s="8">
        <v>131.0</v>
      </c>
      <c r="K101" s="8">
        <v>647.0</v>
      </c>
      <c r="L101" s="8">
        <v>174916.0</v>
      </c>
    </row>
    <row r="102" ht="15.75" customHeight="1">
      <c r="A102" s="7">
        <v>45789.0</v>
      </c>
      <c r="B102" s="4" t="s">
        <v>98</v>
      </c>
      <c r="C102" s="8">
        <v>1366.0</v>
      </c>
      <c r="D102" s="8">
        <v>313.0</v>
      </c>
      <c r="E102" s="8">
        <v>135.0</v>
      </c>
      <c r="F102" s="8">
        <v>5.0</v>
      </c>
      <c r="G102" s="8">
        <v>918.0</v>
      </c>
      <c r="H102" s="8">
        <v>833383.0</v>
      </c>
      <c r="I102" s="8">
        <v>319.0</v>
      </c>
      <c r="J102" s="8">
        <v>128.0</v>
      </c>
      <c r="K102" s="8">
        <v>191.0</v>
      </c>
      <c r="L102" s="8">
        <v>175107.0</v>
      </c>
    </row>
    <row r="103" ht="15.75" customHeight="1">
      <c r="A103" s="7">
        <v>45790.0</v>
      </c>
      <c r="B103" s="4" t="s">
        <v>91</v>
      </c>
      <c r="C103" s="8">
        <v>1494.0</v>
      </c>
      <c r="D103" s="8">
        <v>216.0</v>
      </c>
      <c r="E103" s="8">
        <v>115.0</v>
      </c>
      <c r="F103" s="8">
        <v>12.0</v>
      </c>
      <c r="G103" s="8">
        <v>1163.0</v>
      </c>
      <c r="H103" s="8">
        <v>834546.0</v>
      </c>
      <c r="I103" s="8">
        <v>233.0</v>
      </c>
      <c r="J103" s="8">
        <v>108.0</v>
      </c>
      <c r="K103" s="8">
        <v>125.0</v>
      </c>
      <c r="L103" s="8">
        <v>175232.0</v>
      </c>
    </row>
    <row r="104" ht="15.75" customHeight="1">
      <c r="A104" s="7">
        <v>45791.0</v>
      </c>
      <c r="B104" s="4" t="s">
        <v>82</v>
      </c>
      <c r="C104" s="8">
        <v>2402.0</v>
      </c>
      <c r="D104" s="8">
        <v>263.0</v>
      </c>
      <c r="E104" s="8">
        <v>170.0</v>
      </c>
      <c r="F104" s="8">
        <v>9.0</v>
      </c>
      <c r="G104" s="8">
        <v>1969.0</v>
      </c>
      <c r="H104" s="8">
        <v>836515.0</v>
      </c>
      <c r="I104" s="8">
        <v>675.0</v>
      </c>
      <c r="J104" s="8">
        <v>56.0</v>
      </c>
      <c r="K104" s="8">
        <v>619.0</v>
      </c>
      <c r="L104" s="8">
        <v>175851.0</v>
      </c>
    </row>
    <row r="105" ht="15.75" customHeight="1">
      <c r="A105" s="7">
        <v>45792.0</v>
      </c>
      <c r="B105" s="4" t="s">
        <v>75</v>
      </c>
      <c r="C105" s="8">
        <v>1110.0</v>
      </c>
      <c r="D105" s="8">
        <v>360.0</v>
      </c>
      <c r="E105" s="8">
        <v>56.0</v>
      </c>
      <c r="F105" s="8">
        <v>2.0</v>
      </c>
      <c r="G105" s="8">
        <v>694.0</v>
      </c>
      <c r="H105" s="8">
        <v>837209.0</v>
      </c>
      <c r="I105" s="8">
        <v>668.0</v>
      </c>
      <c r="J105" s="8">
        <v>124.0</v>
      </c>
      <c r="K105" s="8">
        <v>544.0</v>
      </c>
      <c r="L105" s="8">
        <v>176395.0</v>
      </c>
    </row>
    <row r="106" ht="15.75" customHeight="1">
      <c r="A106" s="7">
        <v>45793.0</v>
      </c>
      <c r="B106" s="4" t="s">
        <v>135</v>
      </c>
      <c r="C106" s="8">
        <v>2439.0</v>
      </c>
      <c r="D106" s="8">
        <v>380.0</v>
      </c>
      <c r="E106" s="8">
        <v>167.0</v>
      </c>
      <c r="F106" s="8">
        <v>8.0</v>
      </c>
      <c r="G106" s="8">
        <v>1892.0</v>
      </c>
      <c r="H106" s="8">
        <v>839101.0</v>
      </c>
      <c r="I106" s="8">
        <v>648.0</v>
      </c>
      <c r="J106" s="8">
        <v>87.0</v>
      </c>
      <c r="K106" s="8">
        <v>561.0</v>
      </c>
      <c r="L106" s="8">
        <v>176956.0</v>
      </c>
    </row>
    <row r="107" ht="15.75" customHeight="1">
      <c r="A107" s="7">
        <v>45794.0</v>
      </c>
      <c r="B107" s="4" t="s">
        <v>105</v>
      </c>
      <c r="C107" s="8">
        <v>2069.0</v>
      </c>
      <c r="D107" s="8">
        <v>367.0</v>
      </c>
      <c r="E107" s="8">
        <v>166.0</v>
      </c>
      <c r="F107" s="8">
        <v>7.0</v>
      </c>
      <c r="G107" s="8">
        <v>1536.0</v>
      </c>
      <c r="H107" s="8">
        <v>840637.0</v>
      </c>
      <c r="I107" s="8">
        <v>593.0</v>
      </c>
      <c r="J107" s="8">
        <v>131.0</v>
      </c>
      <c r="K107" s="8">
        <v>462.0</v>
      </c>
      <c r="L107" s="8">
        <v>177418.0</v>
      </c>
    </row>
    <row r="108" ht="15.75" customHeight="1">
      <c r="A108" s="7">
        <v>45795.0</v>
      </c>
      <c r="B108" s="4" t="s">
        <v>59</v>
      </c>
      <c r="C108" s="8">
        <v>2638.0</v>
      </c>
      <c r="D108" s="8">
        <v>138.0</v>
      </c>
      <c r="E108" s="8">
        <v>96.0</v>
      </c>
      <c r="F108" s="8">
        <v>3.0</v>
      </c>
      <c r="G108" s="8">
        <v>2404.0</v>
      </c>
      <c r="H108" s="8">
        <v>843041.0</v>
      </c>
      <c r="I108" s="8">
        <v>677.0</v>
      </c>
      <c r="J108" s="8">
        <v>66.0</v>
      </c>
      <c r="K108" s="8">
        <v>611.0</v>
      </c>
      <c r="L108" s="8">
        <v>178029.0</v>
      </c>
    </row>
    <row r="109" ht="15.75" customHeight="1">
      <c r="A109" s="7">
        <v>45796.0</v>
      </c>
      <c r="B109" s="4" t="s">
        <v>98</v>
      </c>
      <c r="C109" s="8">
        <v>1434.0</v>
      </c>
      <c r="D109" s="8">
        <v>337.0</v>
      </c>
      <c r="E109" s="8">
        <v>80.0</v>
      </c>
      <c r="F109" s="8">
        <v>5.0</v>
      </c>
      <c r="G109" s="8">
        <v>1017.0</v>
      </c>
      <c r="H109" s="8">
        <v>844058.0</v>
      </c>
      <c r="I109" s="8">
        <v>386.0</v>
      </c>
      <c r="J109" s="8">
        <v>88.0</v>
      </c>
      <c r="K109" s="8">
        <v>298.0</v>
      </c>
      <c r="L109" s="8">
        <v>178327.0</v>
      </c>
    </row>
    <row r="110" ht="15.75" customHeight="1">
      <c r="A110" s="7">
        <v>45797.0</v>
      </c>
      <c r="B110" s="4" t="s">
        <v>91</v>
      </c>
      <c r="C110" s="8">
        <v>2689.0</v>
      </c>
      <c r="D110" s="8">
        <v>271.0</v>
      </c>
      <c r="E110" s="8">
        <v>172.0</v>
      </c>
      <c r="F110" s="8">
        <v>5.0</v>
      </c>
      <c r="G110" s="8">
        <v>2246.0</v>
      </c>
      <c r="H110" s="8">
        <v>846304.0</v>
      </c>
      <c r="I110" s="8">
        <v>256.0</v>
      </c>
      <c r="J110" s="8">
        <v>96.0</v>
      </c>
      <c r="K110" s="8">
        <v>160.0</v>
      </c>
      <c r="L110" s="8">
        <v>178487.0</v>
      </c>
    </row>
    <row r="111" ht="15.75" customHeight="1">
      <c r="A111" s="7">
        <v>45798.0</v>
      </c>
      <c r="B111" s="4" t="s">
        <v>82</v>
      </c>
      <c r="C111" s="8">
        <v>2126.0</v>
      </c>
      <c r="D111" s="8">
        <v>292.0</v>
      </c>
      <c r="E111" s="8">
        <v>155.0</v>
      </c>
      <c r="F111" s="8">
        <v>7.0</v>
      </c>
      <c r="G111" s="8">
        <v>1679.0</v>
      </c>
      <c r="H111" s="8">
        <v>847983.0</v>
      </c>
      <c r="I111" s="8">
        <v>572.0</v>
      </c>
      <c r="J111" s="8">
        <v>94.0</v>
      </c>
      <c r="K111" s="8">
        <v>478.0</v>
      </c>
      <c r="L111" s="8">
        <v>178965.0</v>
      </c>
    </row>
    <row r="112" ht="15.75" customHeight="1">
      <c r="A112" s="7">
        <v>45799.0</v>
      </c>
      <c r="B112" s="4" t="s">
        <v>75</v>
      </c>
      <c r="C112" s="8">
        <v>2090.0</v>
      </c>
      <c r="D112" s="8">
        <v>259.0</v>
      </c>
      <c r="E112" s="8">
        <v>46.0</v>
      </c>
      <c r="F112" s="8">
        <v>2.0</v>
      </c>
      <c r="G112" s="8">
        <v>1785.0</v>
      </c>
      <c r="H112" s="8">
        <v>849768.0</v>
      </c>
      <c r="I112" s="8">
        <v>393.0</v>
      </c>
      <c r="J112" s="8">
        <v>88.0</v>
      </c>
      <c r="K112" s="8">
        <v>305.0</v>
      </c>
      <c r="L112" s="8">
        <v>179270.0</v>
      </c>
    </row>
    <row r="113" ht="15.75" customHeight="1">
      <c r="A113" s="7">
        <v>45800.0</v>
      </c>
      <c r="B113" s="4" t="s">
        <v>135</v>
      </c>
      <c r="C113" s="8">
        <v>1098.0</v>
      </c>
      <c r="D113" s="8">
        <v>162.0</v>
      </c>
      <c r="E113" s="8">
        <v>168.0</v>
      </c>
      <c r="F113" s="8">
        <v>8.0</v>
      </c>
      <c r="G113" s="8">
        <v>768.0</v>
      </c>
      <c r="H113" s="8">
        <v>850536.0</v>
      </c>
      <c r="I113" s="8">
        <v>417.0</v>
      </c>
      <c r="J113" s="8">
        <v>77.0</v>
      </c>
      <c r="K113" s="8">
        <v>340.0</v>
      </c>
      <c r="L113" s="8">
        <v>179610.0</v>
      </c>
    </row>
    <row r="114" ht="15.75" customHeight="1">
      <c r="A114" s="7">
        <v>45801.0</v>
      </c>
      <c r="B114" s="4" t="s">
        <v>105</v>
      </c>
      <c r="C114" s="8">
        <v>1806.0</v>
      </c>
      <c r="D114" s="8">
        <v>170.0</v>
      </c>
      <c r="E114" s="8">
        <v>58.0</v>
      </c>
      <c r="F114" s="8">
        <v>5.0</v>
      </c>
      <c r="G114" s="8">
        <v>1578.0</v>
      </c>
      <c r="H114" s="8">
        <v>852114.0</v>
      </c>
      <c r="I114" s="8">
        <v>391.0</v>
      </c>
      <c r="J114" s="8">
        <v>55.0</v>
      </c>
      <c r="K114" s="8">
        <v>336.0</v>
      </c>
      <c r="L114" s="8">
        <v>179946.0</v>
      </c>
    </row>
    <row r="115" ht="15.75" customHeight="1">
      <c r="A115" s="7">
        <v>45802.0</v>
      </c>
      <c r="B115" s="4" t="s">
        <v>59</v>
      </c>
      <c r="C115" s="8">
        <v>1589.0</v>
      </c>
      <c r="D115" s="8">
        <v>288.0</v>
      </c>
      <c r="E115" s="8">
        <v>117.0</v>
      </c>
      <c r="F115" s="8">
        <v>11.0</v>
      </c>
      <c r="G115" s="8">
        <v>1184.0</v>
      </c>
      <c r="H115" s="8">
        <v>853298.0</v>
      </c>
      <c r="I115" s="8">
        <v>694.0</v>
      </c>
      <c r="J115" s="8">
        <v>72.0</v>
      </c>
      <c r="K115" s="8">
        <v>622.0</v>
      </c>
      <c r="L115" s="8">
        <v>180568.0</v>
      </c>
    </row>
    <row r="116" ht="15.75" customHeight="1">
      <c r="A116" s="7">
        <v>45803.0</v>
      </c>
      <c r="B116" s="4" t="s">
        <v>98</v>
      </c>
      <c r="C116" s="8">
        <v>6104.0</v>
      </c>
      <c r="D116" s="8">
        <v>190.0</v>
      </c>
      <c r="E116" s="8">
        <v>179.0</v>
      </c>
      <c r="F116" s="8">
        <v>4.0</v>
      </c>
      <c r="G116" s="8">
        <v>5735.0</v>
      </c>
      <c r="H116" s="8">
        <v>859033.0</v>
      </c>
      <c r="I116" s="8">
        <v>318.0</v>
      </c>
      <c r="J116" s="8">
        <v>136.0</v>
      </c>
      <c r="K116" s="8">
        <v>182.0</v>
      </c>
      <c r="L116" s="8">
        <v>180750.0</v>
      </c>
    </row>
    <row r="117" ht="15.75" customHeight="1">
      <c r="A117" s="7">
        <v>45804.0</v>
      </c>
      <c r="B117" s="4" t="s">
        <v>91</v>
      </c>
      <c r="C117" s="8">
        <v>1871.0</v>
      </c>
      <c r="D117" s="8">
        <v>126.0</v>
      </c>
      <c r="E117" s="8">
        <v>171.0</v>
      </c>
      <c r="F117" s="8">
        <v>12.0</v>
      </c>
      <c r="G117" s="8">
        <v>1574.0</v>
      </c>
      <c r="H117" s="8">
        <v>860607.0</v>
      </c>
      <c r="I117" s="8">
        <v>445.0</v>
      </c>
      <c r="J117" s="8">
        <v>100.0</v>
      </c>
      <c r="K117" s="8">
        <v>345.0</v>
      </c>
      <c r="L117" s="8">
        <v>181095.0</v>
      </c>
    </row>
    <row r="118" ht="15.75" customHeight="1">
      <c r="A118" s="7">
        <v>45805.0</v>
      </c>
      <c r="B118" s="4" t="s">
        <v>82</v>
      </c>
      <c r="C118" s="8">
        <v>1455.0</v>
      </c>
      <c r="D118" s="8">
        <v>227.0</v>
      </c>
      <c r="E118" s="8">
        <v>99.0</v>
      </c>
      <c r="F118" s="8">
        <v>8.0</v>
      </c>
      <c r="G118" s="8">
        <v>1129.0</v>
      </c>
      <c r="H118" s="8">
        <v>861736.0</v>
      </c>
      <c r="I118" s="8">
        <v>340.0</v>
      </c>
      <c r="J118" s="8">
        <v>100.0</v>
      </c>
      <c r="K118" s="8">
        <v>240.0</v>
      </c>
      <c r="L118" s="8">
        <v>181335.0</v>
      </c>
    </row>
    <row r="119" ht="15.75" customHeight="1">
      <c r="A119" s="7">
        <v>45806.0</v>
      </c>
      <c r="B119" s="4" t="s">
        <v>75</v>
      </c>
      <c r="C119" s="8">
        <v>2022.0</v>
      </c>
      <c r="D119" s="8">
        <v>356.0</v>
      </c>
      <c r="E119" s="8">
        <v>61.0</v>
      </c>
      <c r="F119" s="8">
        <v>5.0</v>
      </c>
      <c r="G119" s="8">
        <v>1605.0</v>
      </c>
      <c r="H119" s="8">
        <v>863341.0</v>
      </c>
      <c r="I119" s="8">
        <v>631.0</v>
      </c>
      <c r="J119" s="8">
        <v>83.0</v>
      </c>
      <c r="K119" s="8">
        <v>548.0</v>
      </c>
      <c r="L119" s="8">
        <v>181883.0</v>
      </c>
    </row>
    <row r="120" ht="15.75" customHeight="1">
      <c r="A120" s="7">
        <v>45807.0</v>
      </c>
      <c r="B120" s="4" t="s">
        <v>135</v>
      </c>
      <c r="C120" s="8">
        <v>2563.0</v>
      </c>
      <c r="D120" s="8">
        <v>227.0</v>
      </c>
      <c r="E120" s="8">
        <v>155.0</v>
      </c>
      <c r="F120" s="8">
        <v>8.0</v>
      </c>
      <c r="G120" s="8">
        <v>2181.0</v>
      </c>
      <c r="H120" s="8">
        <v>865522.0</v>
      </c>
      <c r="I120" s="8">
        <v>451.0</v>
      </c>
      <c r="J120" s="8">
        <v>96.0</v>
      </c>
      <c r="K120" s="8">
        <v>355.0</v>
      </c>
      <c r="L120" s="8">
        <v>182238.0</v>
      </c>
    </row>
    <row r="121" ht="15.75" customHeight="1">
      <c r="A121" s="7">
        <v>45808.0</v>
      </c>
      <c r="B121" s="4" t="s">
        <v>105</v>
      </c>
      <c r="C121" s="8">
        <v>1404.0</v>
      </c>
      <c r="D121" s="8">
        <v>124.0</v>
      </c>
      <c r="E121" s="8">
        <v>130.0</v>
      </c>
      <c r="F121" s="8">
        <v>5.0</v>
      </c>
      <c r="G121" s="8">
        <v>1150.0</v>
      </c>
      <c r="H121" s="8">
        <v>866672.0</v>
      </c>
      <c r="I121" s="8">
        <v>444.0</v>
      </c>
      <c r="J121" s="8">
        <v>103.0</v>
      </c>
      <c r="K121" s="8">
        <v>341.0</v>
      </c>
      <c r="L121" s="8">
        <v>182579.0</v>
      </c>
    </row>
    <row r="122" ht="15.75" customHeight="1">
      <c r="A122" s="7">
        <v>45809.0</v>
      </c>
      <c r="B122" s="4" t="s">
        <v>59</v>
      </c>
      <c r="C122" s="8">
        <v>2557.0</v>
      </c>
      <c r="D122" s="8">
        <v>273.0</v>
      </c>
      <c r="E122" s="8">
        <v>45.0</v>
      </c>
      <c r="F122" s="8">
        <v>9.0</v>
      </c>
      <c r="G122" s="8">
        <v>2239.0</v>
      </c>
      <c r="H122" s="8">
        <v>868911.0</v>
      </c>
      <c r="I122" s="8">
        <v>421.0</v>
      </c>
      <c r="J122" s="8">
        <v>81.0</v>
      </c>
      <c r="K122" s="8">
        <v>340.0</v>
      </c>
      <c r="L122" s="8">
        <v>182919.0</v>
      </c>
    </row>
    <row r="123" ht="15.75" customHeight="1">
      <c r="A123" s="7">
        <v>45810.0</v>
      </c>
      <c r="B123" s="4" t="s">
        <v>98</v>
      </c>
      <c r="C123" s="8">
        <v>1058.0</v>
      </c>
      <c r="D123" s="8">
        <v>320.0</v>
      </c>
      <c r="E123" s="8">
        <v>92.0</v>
      </c>
      <c r="F123" s="8">
        <v>6.0</v>
      </c>
      <c r="G123" s="8">
        <v>646.0</v>
      </c>
      <c r="H123" s="8">
        <v>869557.0</v>
      </c>
      <c r="I123" s="8">
        <v>331.0</v>
      </c>
      <c r="J123" s="8">
        <v>88.0</v>
      </c>
      <c r="K123" s="8">
        <v>243.0</v>
      </c>
      <c r="L123" s="8">
        <v>183162.0</v>
      </c>
    </row>
    <row r="124" ht="15.75" customHeight="1">
      <c r="A124" s="7">
        <v>45811.0</v>
      </c>
      <c r="B124" s="4" t="s">
        <v>91</v>
      </c>
      <c r="C124" s="8">
        <v>1683.0</v>
      </c>
      <c r="D124" s="8">
        <v>288.0</v>
      </c>
      <c r="E124" s="8">
        <v>155.0</v>
      </c>
      <c r="F124" s="8">
        <v>10.0</v>
      </c>
      <c r="G124" s="8">
        <v>1240.0</v>
      </c>
      <c r="H124" s="8">
        <v>870797.0</v>
      </c>
      <c r="I124" s="8">
        <v>223.0</v>
      </c>
      <c r="J124" s="8">
        <v>112.0</v>
      </c>
      <c r="K124" s="8">
        <v>111.0</v>
      </c>
      <c r="L124" s="8">
        <v>183273.0</v>
      </c>
    </row>
    <row r="125" ht="15.75" customHeight="1">
      <c r="A125" s="7">
        <v>45812.0</v>
      </c>
      <c r="B125" s="4" t="s">
        <v>82</v>
      </c>
      <c r="C125" s="8">
        <v>962.0</v>
      </c>
      <c r="D125" s="8">
        <v>210.0</v>
      </c>
      <c r="E125" s="8">
        <v>165.0</v>
      </c>
      <c r="F125" s="8">
        <v>0.0</v>
      </c>
      <c r="G125" s="8">
        <v>587.0</v>
      </c>
      <c r="H125" s="8">
        <v>871384.0</v>
      </c>
      <c r="I125" s="8">
        <v>498.0</v>
      </c>
      <c r="J125" s="8">
        <v>44.0</v>
      </c>
      <c r="K125" s="8">
        <v>454.0</v>
      </c>
      <c r="L125" s="8">
        <v>183727.0</v>
      </c>
    </row>
    <row r="126" ht="15.75" customHeight="1">
      <c r="A126" s="7">
        <v>45813.0</v>
      </c>
      <c r="B126" s="4" t="s">
        <v>75</v>
      </c>
      <c r="C126" s="8">
        <v>1510.0</v>
      </c>
      <c r="D126" s="8">
        <v>225.0</v>
      </c>
      <c r="E126" s="8">
        <v>114.0</v>
      </c>
      <c r="F126" s="8">
        <v>10.0</v>
      </c>
      <c r="G126" s="8">
        <v>1171.0</v>
      </c>
      <c r="H126" s="8">
        <v>872555.0</v>
      </c>
      <c r="I126" s="8">
        <v>308.0</v>
      </c>
      <c r="J126" s="8">
        <v>69.0</v>
      </c>
      <c r="K126" s="8">
        <v>239.0</v>
      </c>
      <c r="L126" s="8">
        <v>183966.0</v>
      </c>
    </row>
    <row r="127" ht="15.75" customHeight="1">
      <c r="A127" s="7">
        <v>45814.0</v>
      </c>
      <c r="B127" s="4" t="s">
        <v>135</v>
      </c>
      <c r="C127" s="8">
        <v>1476.0</v>
      </c>
      <c r="D127" s="8">
        <v>125.0</v>
      </c>
      <c r="E127" s="8">
        <v>123.0</v>
      </c>
      <c r="F127" s="8">
        <v>6.0</v>
      </c>
      <c r="G127" s="8">
        <v>1228.0</v>
      </c>
      <c r="H127" s="8">
        <v>873783.0</v>
      </c>
      <c r="I127" s="8">
        <v>422.0</v>
      </c>
      <c r="J127" s="8">
        <v>61.0</v>
      </c>
      <c r="K127" s="8">
        <v>361.0</v>
      </c>
      <c r="L127" s="8">
        <v>184327.0</v>
      </c>
    </row>
    <row r="128" ht="15.75" customHeight="1">
      <c r="A128" s="7">
        <v>45815.0</v>
      </c>
      <c r="B128" s="4" t="s">
        <v>105</v>
      </c>
      <c r="C128" s="8">
        <v>1162.0</v>
      </c>
      <c r="D128" s="8">
        <v>334.0</v>
      </c>
      <c r="E128" s="8">
        <v>57.0</v>
      </c>
      <c r="F128" s="8">
        <v>6.0</v>
      </c>
      <c r="G128" s="8">
        <v>771.0</v>
      </c>
      <c r="H128" s="8">
        <v>874554.0</v>
      </c>
      <c r="I128" s="8">
        <v>495.0</v>
      </c>
      <c r="J128" s="8">
        <v>101.0</v>
      </c>
      <c r="K128" s="8">
        <v>394.0</v>
      </c>
      <c r="L128" s="8">
        <v>184721.0</v>
      </c>
    </row>
    <row r="129" ht="15.75" customHeight="1">
      <c r="A129" s="7">
        <v>45816.0</v>
      </c>
      <c r="B129" s="4" t="s">
        <v>59</v>
      </c>
      <c r="C129" s="8">
        <v>1164.0</v>
      </c>
      <c r="D129" s="8">
        <v>278.0</v>
      </c>
      <c r="E129" s="8">
        <v>161.0</v>
      </c>
      <c r="F129" s="8">
        <v>2.0</v>
      </c>
      <c r="G129" s="8">
        <v>725.0</v>
      </c>
      <c r="H129" s="8">
        <v>875279.0</v>
      </c>
      <c r="I129" s="8">
        <v>311.0</v>
      </c>
      <c r="J129" s="8">
        <v>95.0</v>
      </c>
      <c r="K129" s="8">
        <v>216.0</v>
      </c>
      <c r="L129" s="8">
        <v>184937.0</v>
      </c>
    </row>
    <row r="130" ht="15.75" customHeight="1">
      <c r="A130" s="7">
        <v>45817.0</v>
      </c>
      <c r="B130" s="4" t="s">
        <v>98</v>
      </c>
      <c r="C130" s="8">
        <v>1902.0</v>
      </c>
      <c r="D130" s="8">
        <v>377.0</v>
      </c>
      <c r="E130" s="8">
        <v>157.0</v>
      </c>
      <c r="F130" s="8">
        <v>4.0</v>
      </c>
      <c r="G130" s="8">
        <v>1368.0</v>
      </c>
      <c r="H130" s="8">
        <v>876647.0</v>
      </c>
      <c r="I130" s="8">
        <v>268.0</v>
      </c>
      <c r="J130" s="8">
        <v>131.0</v>
      </c>
      <c r="K130" s="8">
        <v>137.0</v>
      </c>
      <c r="L130" s="8">
        <v>185074.0</v>
      </c>
    </row>
    <row r="131" ht="15.75" customHeight="1">
      <c r="A131" s="7">
        <v>45818.0</v>
      </c>
      <c r="B131" s="4" t="s">
        <v>91</v>
      </c>
      <c r="C131" s="8">
        <v>1626.0</v>
      </c>
      <c r="D131" s="8">
        <v>324.0</v>
      </c>
      <c r="E131" s="8">
        <v>103.0</v>
      </c>
      <c r="F131" s="8">
        <v>8.0</v>
      </c>
      <c r="G131" s="8">
        <v>1199.0</v>
      </c>
      <c r="H131" s="8">
        <v>877846.0</v>
      </c>
      <c r="I131" s="8">
        <v>201.0</v>
      </c>
      <c r="J131" s="8">
        <v>117.0</v>
      </c>
      <c r="K131" s="8">
        <v>84.0</v>
      </c>
      <c r="L131" s="8">
        <v>185158.0</v>
      </c>
    </row>
    <row r="132" ht="15.75" customHeight="1">
      <c r="A132" s="7">
        <v>45819.0</v>
      </c>
      <c r="B132" s="4" t="s">
        <v>82</v>
      </c>
      <c r="C132" s="8">
        <v>1714.0</v>
      </c>
      <c r="D132" s="8">
        <v>356.0</v>
      </c>
      <c r="E132" s="8">
        <v>50.0</v>
      </c>
      <c r="F132" s="8">
        <v>11.0</v>
      </c>
      <c r="G132" s="8">
        <v>1308.0</v>
      </c>
      <c r="H132" s="8">
        <v>879154.0</v>
      </c>
      <c r="I132" s="8">
        <v>394.0</v>
      </c>
      <c r="J132" s="8">
        <v>113.0</v>
      </c>
      <c r="K132" s="8">
        <v>281.0</v>
      </c>
      <c r="L132" s="8">
        <v>185439.0</v>
      </c>
    </row>
    <row r="133" ht="15.75" customHeight="1">
      <c r="A133" s="7">
        <v>45820.0</v>
      </c>
      <c r="B133" s="4" t="s">
        <v>75</v>
      </c>
      <c r="C133" s="8">
        <v>1647.0</v>
      </c>
      <c r="D133" s="8">
        <v>272.0</v>
      </c>
      <c r="E133" s="8">
        <v>84.0</v>
      </c>
      <c r="F133" s="8">
        <v>6.0</v>
      </c>
      <c r="G133" s="8">
        <v>1291.0</v>
      </c>
      <c r="H133" s="8">
        <v>880445.0</v>
      </c>
      <c r="I133" s="8">
        <v>339.0</v>
      </c>
      <c r="J133" s="8">
        <v>90.0</v>
      </c>
      <c r="K133" s="8">
        <v>249.0</v>
      </c>
      <c r="L133" s="8">
        <v>185688.0</v>
      </c>
    </row>
    <row r="134" ht="15.75" customHeight="1">
      <c r="A134" s="7">
        <v>45821.0</v>
      </c>
      <c r="B134" s="4" t="s">
        <v>135</v>
      </c>
      <c r="C134" s="8">
        <v>2185.0</v>
      </c>
      <c r="D134" s="8">
        <v>354.0</v>
      </c>
      <c r="E134" s="8">
        <v>86.0</v>
      </c>
      <c r="F134" s="8">
        <v>11.0</v>
      </c>
      <c r="G134" s="8">
        <v>1745.0</v>
      </c>
      <c r="H134" s="8">
        <v>882190.0</v>
      </c>
      <c r="I134" s="8">
        <v>380.0</v>
      </c>
      <c r="J134" s="8">
        <v>89.0</v>
      </c>
      <c r="K134" s="8">
        <v>291.0</v>
      </c>
      <c r="L134" s="8">
        <v>185979.0</v>
      </c>
    </row>
    <row r="135" ht="15.75" customHeight="1">
      <c r="A135" s="7">
        <v>45822.0</v>
      </c>
      <c r="B135" s="4" t="s">
        <v>105</v>
      </c>
      <c r="C135" s="8">
        <v>971.0</v>
      </c>
      <c r="D135" s="8">
        <v>200.0</v>
      </c>
      <c r="E135" s="8">
        <v>177.0</v>
      </c>
      <c r="F135" s="8">
        <v>4.0</v>
      </c>
      <c r="G135" s="8">
        <v>594.0</v>
      </c>
      <c r="H135" s="8">
        <v>882784.0</v>
      </c>
      <c r="I135" s="8">
        <v>329.0</v>
      </c>
      <c r="J135" s="8">
        <v>75.0</v>
      </c>
      <c r="K135" s="8">
        <v>254.0</v>
      </c>
      <c r="L135" s="8">
        <v>186233.0</v>
      </c>
    </row>
    <row r="136" ht="15.75" customHeight="1">
      <c r="A136" s="7">
        <v>45823.0</v>
      </c>
      <c r="B136" s="4" t="s">
        <v>59</v>
      </c>
      <c r="C136" s="8">
        <v>2498.0</v>
      </c>
      <c r="D136" s="8">
        <v>231.0</v>
      </c>
      <c r="E136" s="8">
        <v>145.0</v>
      </c>
      <c r="F136" s="8">
        <v>12.0</v>
      </c>
      <c r="G136" s="8">
        <v>2122.0</v>
      </c>
      <c r="H136" s="8">
        <v>884906.0</v>
      </c>
      <c r="I136" s="8">
        <v>599.0</v>
      </c>
      <c r="J136" s="8">
        <v>103.0</v>
      </c>
      <c r="K136" s="8">
        <v>496.0</v>
      </c>
      <c r="L136" s="8">
        <v>186729.0</v>
      </c>
    </row>
    <row r="137" ht="15.75" customHeight="1">
      <c r="A137" s="7">
        <v>45824.0</v>
      </c>
      <c r="B137" s="4" t="s">
        <v>98</v>
      </c>
      <c r="C137" s="8">
        <v>908.0</v>
      </c>
      <c r="D137" s="8">
        <v>173.0</v>
      </c>
      <c r="E137" s="8">
        <v>123.0</v>
      </c>
      <c r="F137" s="8">
        <v>6.0</v>
      </c>
      <c r="G137" s="8">
        <v>612.0</v>
      </c>
      <c r="H137" s="8">
        <v>885518.0</v>
      </c>
      <c r="I137" s="8">
        <v>537.0</v>
      </c>
      <c r="J137" s="8">
        <v>104.0</v>
      </c>
      <c r="K137" s="8">
        <v>433.0</v>
      </c>
      <c r="L137" s="8">
        <v>187162.0</v>
      </c>
    </row>
    <row r="138" ht="15.75" customHeight="1">
      <c r="A138" s="7">
        <v>45825.0</v>
      </c>
      <c r="B138" s="4" t="s">
        <v>91</v>
      </c>
      <c r="C138" s="8">
        <v>1744.0</v>
      </c>
      <c r="D138" s="8">
        <v>356.0</v>
      </c>
      <c r="E138" s="8">
        <v>58.0</v>
      </c>
      <c r="F138" s="8">
        <v>10.0</v>
      </c>
      <c r="G138" s="8">
        <v>1330.0</v>
      </c>
      <c r="H138" s="8">
        <v>886848.0</v>
      </c>
      <c r="I138" s="8">
        <v>191.0</v>
      </c>
      <c r="J138" s="8">
        <v>43.0</v>
      </c>
      <c r="K138" s="8">
        <v>148.0</v>
      </c>
      <c r="L138" s="8">
        <v>187310.0</v>
      </c>
    </row>
    <row r="139" ht="15.75" customHeight="1">
      <c r="A139" s="7">
        <v>45826.0</v>
      </c>
      <c r="B139" s="4" t="s">
        <v>82</v>
      </c>
      <c r="C139" s="8">
        <v>5019.0</v>
      </c>
      <c r="D139" s="8">
        <v>324.0</v>
      </c>
      <c r="E139" s="8">
        <v>141.0</v>
      </c>
      <c r="F139" s="8">
        <v>0.0</v>
      </c>
      <c r="G139" s="8">
        <v>4554.0</v>
      </c>
      <c r="H139" s="8">
        <v>891402.0</v>
      </c>
      <c r="I139" s="8">
        <v>337.0</v>
      </c>
      <c r="J139" s="8">
        <v>64.0</v>
      </c>
      <c r="K139" s="8">
        <v>273.0</v>
      </c>
      <c r="L139" s="8">
        <v>187583.0</v>
      </c>
    </row>
    <row r="140" ht="15.75" customHeight="1">
      <c r="A140" s="7">
        <v>45827.0</v>
      </c>
      <c r="B140" s="4" t="s">
        <v>75</v>
      </c>
      <c r="C140" s="8">
        <v>1395.0</v>
      </c>
      <c r="D140" s="8">
        <v>357.0</v>
      </c>
      <c r="E140" s="8">
        <v>158.0</v>
      </c>
      <c r="F140" s="8">
        <v>1.0</v>
      </c>
      <c r="G140" s="8">
        <v>880.0</v>
      </c>
      <c r="H140" s="8">
        <v>892282.0</v>
      </c>
      <c r="I140" s="8">
        <v>496.0</v>
      </c>
      <c r="J140" s="8">
        <v>102.0</v>
      </c>
      <c r="K140" s="8">
        <v>394.0</v>
      </c>
      <c r="L140" s="8">
        <v>187977.0</v>
      </c>
    </row>
    <row r="141" ht="15.75" customHeight="1">
      <c r="A141" s="7">
        <v>45828.0</v>
      </c>
      <c r="B141" s="4" t="s">
        <v>135</v>
      </c>
      <c r="C141" s="8">
        <v>2147.0</v>
      </c>
      <c r="D141" s="8">
        <v>191.0</v>
      </c>
      <c r="E141" s="8">
        <v>111.0</v>
      </c>
      <c r="F141" s="8">
        <v>2.0</v>
      </c>
      <c r="G141" s="8">
        <v>1845.0</v>
      </c>
      <c r="H141" s="8">
        <v>894127.0</v>
      </c>
      <c r="I141" s="8">
        <v>383.0</v>
      </c>
      <c r="J141" s="8">
        <v>100.0</v>
      </c>
      <c r="K141" s="8">
        <v>283.0</v>
      </c>
      <c r="L141" s="8">
        <v>188260.0</v>
      </c>
    </row>
    <row r="142" ht="15.75" customHeight="1">
      <c r="A142" s="7">
        <v>45829.0</v>
      </c>
      <c r="B142" s="4" t="s">
        <v>105</v>
      </c>
      <c r="C142" s="8">
        <v>1097.0</v>
      </c>
      <c r="D142" s="8">
        <v>270.0</v>
      </c>
      <c r="E142" s="8">
        <v>176.0</v>
      </c>
      <c r="F142" s="8">
        <v>11.0</v>
      </c>
      <c r="G142" s="8">
        <v>651.0</v>
      </c>
      <c r="H142" s="8">
        <v>894778.0</v>
      </c>
      <c r="I142" s="8">
        <v>294.0</v>
      </c>
      <c r="J142" s="8">
        <v>55.0</v>
      </c>
      <c r="K142" s="8">
        <v>239.0</v>
      </c>
      <c r="L142" s="8">
        <v>188499.0</v>
      </c>
    </row>
    <row r="143" ht="15.75" customHeight="1">
      <c r="A143" s="7">
        <v>45830.0</v>
      </c>
      <c r="B143" s="4" t="s">
        <v>59</v>
      </c>
      <c r="C143" s="8">
        <v>2581.0</v>
      </c>
      <c r="D143" s="8">
        <v>259.0</v>
      </c>
      <c r="E143" s="8">
        <v>152.0</v>
      </c>
      <c r="F143" s="8">
        <v>5.0</v>
      </c>
      <c r="G143" s="8">
        <v>2170.0</v>
      </c>
      <c r="H143" s="8">
        <v>896948.0</v>
      </c>
      <c r="I143" s="8">
        <v>202.0</v>
      </c>
      <c r="J143" s="8">
        <v>59.0</v>
      </c>
      <c r="K143" s="8">
        <v>143.0</v>
      </c>
      <c r="L143" s="8">
        <v>188642.0</v>
      </c>
    </row>
    <row r="144" ht="15.75" customHeight="1">
      <c r="A144" s="7">
        <v>45831.0</v>
      </c>
      <c r="B144" s="4" t="s">
        <v>98</v>
      </c>
      <c r="C144" s="8">
        <v>2072.0</v>
      </c>
      <c r="D144" s="8">
        <v>230.0</v>
      </c>
      <c r="E144" s="8">
        <v>52.0</v>
      </c>
      <c r="F144" s="8">
        <v>10.0</v>
      </c>
      <c r="G144" s="8">
        <v>1790.0</v>
      </c>
      <c r="H144" s="8">
        <v>898738.0</v>
      </c>
      <c r="I144" s="8">
        <v>429.0</v>
      </c>
      <c r="J144" s="8">
        <v>96.0</v>
      </c>
      <c r="K144" s="8">
        <v>333.0</v>
      </c>
      <c r="L144" s="8">
        <v>188975.0</v>
      </c>
    </row>
    <row r="145" ht="15.75" customHeight="1">
      <c r="A145" s="7">
        <v>45832.0</v>
      </c>
      <c r="B145" s="4" t="s">
        <v>91</v>
      </c>
      <c r="C145" s="8">
        <v>2153.0</v>
      </c>
      <c r="D145" s="8">
        <v>781.0</v>
      </c>
      <c r="E145" s="8">
        <v>118.0</v>
      </c>
      <c r="F145" s="8">
        <v>7.0</v>
      </c>
      <c r="G145" s="8">
        <v>1254.0</v>
      </c>
      <c r="H145" s="8">
        <v>899992.0</v>
      </c>
      <c r="I145" s="8">
        <v>491.0</v>
      </c>
      <c r="J145" s="8">
        <v>89.0</v>
      </c>
      <c r="K145" s="8">
        <v>402.0</v>
      </c>
      <c r="L145" s="8">
        <v>189377.0</v>
      </c>
    </row>
    <row r="146" ht="15.75" customHeight="1">
      <c r="A146" s="7">
        <v>45833.0</v>
      </c>
      <c r="B146" s="4" t="s">
        <v>82</v>
      </c>
      <c r="C146" s="8">
        <v>2252.0</v>
      </c>
      <c r="D146" s="8">
        <v>247.0</v>
      </c>
      <c r="E146" s="8">
        <v>101.0</v>
      </c>
      <c r="F146" s="8">
        <v>3.0</v>
      </c>
      <c r="G146" s="8">
        <v>1904.0</v>
      </c>
      <c r="H146" s="8">
        <v>901896.0</v>
      </c>
      <c r="I146" s="8">
        <v>268.0</v>
      </c>
      <c r="J146" s="8">
        <v>87.0</v>
      </c>
      <c r="K146" s="8">
        <v>181.0</v>
      </c>
      <c r="L146" s="8">
        <v>189558.0</v>
      </c>
    </row>
    <row r="147" ht="15.75" customHeight="1">
      <c r="A147" s="7">
        <v>45834.0</v>
      </c>
      <c r="B147" s="4" t="s">
        <v>75</v>
      </c>
      <c r="C147" s="8">
        <v>787.0</v>
      </c>
      <c r="D147" s="8">
        <v>218.0</v>
      </c>
      <c r="E147" s="8">
        <v>56.0</v>
      </c>
      <c r="F147" s="8">
        <v>3.0</v>
      </c>
      <c r="G147" s="8">
        <v>513.0</v>
      </c>
      <c r="H147" s="8">
        <v>902409.0</v>
      </c>
      <c r="I147" s="8">
        <v>334.0</v>
      </c>
      <c r="J147" s="8">
        <v>127.0</v>
      </c>
      <c r="K147" s="8">
        <v>207.0</v>
      </c>
      <c r="L147" s="8">
        <v>189765.0</v>
      </c>
    </row>
    <row r="148" ht="15.75" customHeight="1">
      <c r="A148" s="7">
        <v>45835.0</v>
      </c>
      <c r="B148" s="4" t="s">
        <v>135</v>
      </c>
      <c r="C148" s="8">
        <v>2052.0</v>
      </c>
      <c r="D148" s="8">
        <v>205.0</v>
      </c>
      <c r="E148" s="8">
        <v>146.0</v>
      </c>
      <c r="F148" s="8">
        <v>8.0</v>
      </c>
      <c r="G148" s="8">
        <v>1701.0</v>
      </c>
      <c r="H148" s="8">
        <v>904110.0</v>
      </c>
      <c r="I148" s="8">
        <v>251.0</v>
      </c>
      <c r="J148" s="8">
        <v>45.0</v>
      </c>
      <c r="K148" s="8">
        <v>206.0</v>
      </c>
      <c r="L148" s="8">
        <v>189971.0</v>
      </c>
    </row>
    <row r="149" ht="15.75" customHeight="1">
      <c r="A149" s="7">
        <v>45836.0</v>
      </c>
      <c r="B149" s="4" t="s">
        <v>105</v>
      </c>
      <c r="C149" s="8">
        <v>2131.0</v>
      </c>
      <c r="D149" s="8">
        <v>217.0</v>
      </c>
      <c r="E149" s="8">
        <v>93.0</v>
      </c>
      <c r="F149" s="8">
        <v>8.0</v>
      </c>
      <c r="G149" s="8">
        <v>1821.0</v>
      </c>
      <c r="H149" s="8">
        <v>905931.0</v>
      </c>
      <c r="I149" s="8">
        <v>546.0</v>
      </c>
      <c r="J149" s="8">
        <v>119.0</v>
      </c>
      <c r="K149" s="8">
        <v>427.0</v>
      </c>
      <c r="L149" s="8">
        <v>190398.0</v>
      </c>
    </row>
    <row r="150" ht="15.75" customHeight="1">
      <c r="A150" s="7">
        <v>45837.0</v>
      </c>
      <c r="B150" s="4" t="s">
        <v>59</v>
      </c>
      <c r="C150" s="8">
        <v>6907.0</v>
      </c>
      <c r="D150" s="8">
        <v>596.0</v>
      </c>
      <c r="E150" s="8">
        <v>122.0</v>
      </c>
      <c r="F150" s="8">
        <v>2.0</v>
      </c>
      <c r="G150" s="8">
        <v>6189.0</v>
      </c>
      <c r="H150" s="8">
        <v>912120.0</v>
      </c>
      <c r="I150" s="8">
        <v>315.0</v>
      </c>
      <c r="J150" s="8">
        <v>85.0</v>
      </c>
      <c r="K150" s="8">
        <v>230.0</v>
      </c>
      <c r="L150" s="8">
        <v>190628.0</v>
      </c>
    </row>
    <row r="151" ht="15.75" customHeight="1">
      <c r="A151" s="7">
        <v>45838.0</v>
      </c>
      <c r="B151" s="4" t="s">
        <v>98</v>
      </c>
      <c r="C151" s="8">
        <v>1187.0</v>
      </c>
      <c r="D151" s="8">
        <v>262.0</v>
      </c>
      <c r="E151" s="8">
        <v>134.0</v>
      </c>
      <c r="F151" s="8">
        <v>0.0</v>
      </c>
      <c r="G151" s="8">
        <v>791.0</v>
      </c>
      <c r="H151" s="8">
        <v>912911.0</v>
      </c>
      <c r="I151" s="8">
        <v>202.0</v>
      </c>
      <c r="J151" s="8">
        <v>123.0</v>
      </c>
      <c r="K151" s="8">
        <v>79.0</v>
      </c>
      <c r="L151" s="8">
        <v>190707.0</v>
      </c>
    </row>
    <row r="152" ht="15.75" customHeight="1">
      <c r="A152" s="7">
        <v>45839.0</v>
      </c>
      <c r="B152" s="4" t="s">
        <v>91</v>
      </c>
      <c r="C152" s="8">
        <v>1275.0</v>
      </c>
      <c r="D152" s="8">
        <v>375.0</v>
      </c>
      <c r="E152" s="8">
        <v>177.0</v>
      </c>
      <c r="F152" s="8">
        <v>12.0</v>
      </c>
      <c r="G152" s="8">
        <v>723.0</v>
      </c>
      <c r="H152" s="8">
        <v>913634.0</v>
      </c>
      <c r="I152" s="8">
        <v>514.0</v>
      </c>
      <c r="J152" s="8">
        <v>53.0</v>
      </c>
      <c r="K152" s="8">
        <v>461.0</v>
      </c>
      <c r="L152" s="8">
        <v>191168.0</v>
      </c>
    </row>
    <row r="153" ht="15.75" customHeight="1">
      <c r="A153" s="7">
        <v>45840.0</v>
      </c>
      <c r="B153" s="4" t="s">
        <v>82</v>
      </c>
      <c r="C153" s="8">
        <v>1035.0</v>
      </c>
      <c r="D153" s="8">
        <v>168.0</v>
      </c>
      <c r="E153" s="8">
        <v>123.0</v>
      </c>
      <c r="F153" s="8">
        <v>10.0</v>
      </c>
      <c r="G153" s="8">
        <v>744.0</v>
      </c>
      <c r="H153" s="8">
        <v>914378.0</v>
      </c>
      <c r="I153" s="8">
        <v>277.0</v>
      </c>
      <c r="J153" s="8">
        <v>116.0</v>
      </c>
      <c r="K153" s="8">
        <v>161.0</v>
      </c>
      <c r="L153" s="8">
        <v>191329.0</v>
      </c>
    </row>
    <row r="154" ht="15.75" customHeight="1">
      <c r="A154" s="7">
        <v>45841.0</v>
      </c>
      <c r="B154" s="4" t="s">
        <v>75</v>
      </c>
      <c r="C154" s="8">
        <v>2141.0</v>
      </c>
      <c r="D154" s="8">
        <v>188.0</v>
      </c>
      <c r="E154" s="8">
        <v>84.0</v>
      </c>
      <c r="F154" s="8">
        <v>10.0</v>
      </c>
      <c r="G154" s="8">
        <v>1869.0</v>
      </c>
      <c r="H154" s="8">
        <v>916247.0</v>
      </c>
      <c r="I154" s="8">
        <v>481.0</v>
      </c>
      <c r="J154" s="8">
        <v>82.0</v>
      </c>
      <c r="K154" s="8">
        <v>399.0</v>
      </c>
      <c r="L154" s="8">
        <v>191728.0</v>
      </c>
    </row>
    <row r="155" ht="15.75" customHeight="1">
      <c r="A155" s="7">
        <v>45842.0</v>
      </c>
      <c r="B155" s="4" t="s">
        <v>135</v>
      </c>
      <c r="C155" s="8">
        <v>1947.0</v>
      </c>
      <c r="D155" s="8">
        <v>154.0</v>
      </c>
      <c r="E155" s="8">
        <v>44.0</v>
      </c>
      <c r="F155" s="8">
        <v>9.0</v>
      </c>
      <c r="G155" s="8">
        <v>1749.0</v>
      </c>
      <c r="H155" s="8">
        <v>917996.0</v>
      </c>
      <c r="I155" s="8">
        <v>383.0</v>
      </c>
      <c r="J155" s="8">
        <v>82.0</v>
      </c>
      <c r="K155" s="8">
        <v>301.0</v>
      </c>
      <c r="L155" s="8">
        <v>192029.0</v>
      </c>
    </row>
    <row r="156" ht="15.75" customHeight="1">
      <c r="A156" s="7">
        <v>45843.0</v>
      </c>
      <c r="B156" s="4" t="s">
        <v>105</v>
      </c>
      <c r="C156" s="8">
        <v>1910.0</v>
      </c>
      <c r="D156" s="8">
        <v>239.0</v>
      </c>
      <c r="E156" s="8">
        <v>43.0</v>
      </c>
      <c r="F156" s="8">
        <v>3.0</v>
      </c>
      <c r="G156" s="8">
        <v>1628.0</v>
      </c>
      <c r="H156" s="8">
        <v>919624.0</v>
      </c>
      <c r="I156" s="8">
        <v>524.0</v>
      </c>
      <c r="J156" s="8">
        <v>104.0</v>
      </c>
      <c r="K156" s="8">
        <v>420.0</v>
      </c>
      <c r="L156" s="8">
        <v>192449.0</v>
      </c>
    </row>
    <row r="157" ht="15.75" customHeight="1">
      <c r="A157" s="7">
        <v>45844.0</v>
      </c>
      <c r="B157" s="4" t="s">
        <v>59</v>
      </c>
      <c r="C157" s="8">
        <v>1090.0</v>
      </c>
      <c r="D157" s="8">
        <v>241.0</v>
      </c>
      <c r="E157" s="8">
        <v>149.0</v>
      </c>
      <c r="F157" s="8">
        <v>12.0</v>
      </c>
      <c r="G157" s="8">
        <v>700.0</v>
      </c>
      <c r="H157" s="8">
        <v>920324.0</v>
      </c>
      <c r="I157" s="8">
        <v>349.0</v>
      </c>
      <c r="J157" s="8">
        <v>134.0</v>
      </c>
      <c r="K157" s="8">
        <v>215.0</v>
      </c>
      <c r="L157" s="8">
        <v>192664.0</v>
      </c>
    </row>
    <row r="158" ht="15.75" customHeight="1">
      <c r="A158" s="7">
        <v>45845.0</v>
      </c>
      <c r="B158" s="4" t="s">
        <v>98</v>
      </c>
      <c r="C158" s="8">
        <v>972.0</v>
      </c>
      <c r="D158" s="8">
        <v>375.0</v>
      </c>
      <c r="E158" s="8">
        <v>91.0</v>
      </c>
      <c r="F158" s="8">
        <v>2.0</v>
      </c>
      <c r="G158" s="8">
        <v>506.0</v>
      </c>
      <c r="H158" s="8">
        <v>920830.0</v>
      </c>
      <c r="I158" s="8">
        <v>333.0</v>
      </c>
      <c r="J158" s="8">
        <v>77.0</v>
      </c>
      <c r="K158" s="8">
        <v>256.0</v>
      </c>
      <c r="L158" s="8">
        <v>192920.0</v>
      </c>
    </row>
    <row r="159" ht="15.75" customHeight="1">
      <c r="A159" s="7">
        <v>45846.0</v>
      </c>
      <c r="B159" s="4" t="s">
        <v>91</v>
      </c>
      <c r="C159" s="8">
        <v>1158.0</v>
      </c>
      <c r="D159" s="8">
        <v>347.0</v>
      </c>
      <c r="E159" s="8">
        <v>124.0</v>
      </c>
      <c r="F159" s="8">
        <v>2.0</v>
      </c>
      <c r="G159" s="8">
        <v>687.0</v>
      </c>
      <c r="H159" s="8">
        <v>921517.0</v>
      </c>
      <c r="I159" s="8">
        <v>495.0</v>
      </c>
      <c r="J159" s="8">
        <v>134.0</v>
      </c>
      <c r="K159" s="8">
        <v>361.0</v>
      </c>
      <c r="L159" s="8">
        <v>193281.0</v>
      </c>
    </row>
    <row r="160" ht="15.75" customHeight="1">
      <c r="A160" s="7">
        <v>45847.0</v>
      </c>
      <c r="B160" s="4" t="s">
        <v>82</v>
      </c>
      <c r="C160" s="8">
        <v>2121.0</v>
      </c>
      <c r="D160" s="8">
        <v>332.0</v>
      </c>
      <c r="E160" s="8">
        <v>113.0</v>
      </c>
      <c r="F160" s="8">
        <v>12.0</v>
      </c>
      <c r="G160" s="8">
        <v>1676.0</v>
      </c>
      <c r="H160" s="8">
        <v>923193.0</v>
      </c>
      <c r="I160" s="8">
        <v>180.0</v>
      </c>
      <c r="J160" s="8">
        <v>122.0</v>
      </c>
      <c r="K160" s="8">
        <v>58.0</v>
      </c>
      <c r="L160" s="8">
        <v>193339.0</v>
      </c>
    </row>
    <row r="161" ht="15.75" customHeight="1">
      <c r="A161" s="7">
        <v>45848.0</v>
      </c>
      <c r="B161" s="4" t="s">
        <v>75</v>
      </c>
      <c r="C161" s="8">
        <v>1330.0</v>
      </c>
      <c r="D161" s="8">
        <v>244.0</v>
      </c>
      <c r="E161" s="8">
        <v>178.0</v>
      </c>
      <c r="F161" s="8">
        <v>0.0</v>
      </c>
      <c r="G161" s="8">
        <v>908.0</v>
      </c>
      <c r="H161" s="8">
        <v>924101.0</v>
      </c>
      <c r="I161" s="8">
        <v>319.0</v>
      </c>
      <c r="J161" s="8">
        <v>66.0</v>
      </c>
      <c r="K161" s="8">
        <v>253.0</v>
      </c>
      <c r="L161" s="8">
        <v>193592.0</v>
      </c>
    </row>
    <row r="162" ht="15.75" customHeight="1">
      <c r="A162" s="7">
        <v>45849.0</v>
      </c>
      <c r="B162" s="4" t="s">
        <v>135</v>
      </c>
      <c r="C162" s="8">
        <v>1177.0</v>
      </c>
      <c r="D162" s="8">
        <v>233.0</v>
      </c>
      <c r="E162" s="8">
        <v>137.0</v>
      </c>
      <c r="F162" s="8">
        <v>8.0</v>
      </c>
      <c r="G162" s="8">
        <v>807.0</v>
      </c>
      <c r="H162" s="8">
        <v>924908.0</v>
      </c>
      <c r="I162" s="8">
        <v>531.0</v>
      </c>
      <c r="J162" s="8">
        <v>117.0</v>
      </c>
      <c r="K162" s="8">
        <v>414.0</v>
      </c>
      <c r="L162" s="8">
        <v>194006.0</v>
      </c>
    </row>
    <row r="163" ht="15.75" customHeight="1">
      <c r="A163" s="7">
        <v>45850.0</v>
      </c>
      <c r="B163" s="4" t="s">
        <v>105</v>
      </c>
      <c r="C163" s="8">
        <v>840.0</v>
      </c>
      <c r="D163" s="8">
        <v>371.0</v>
      </c>
      <c r="E163" s="8">
        <v>89.0</v>
      </c>
      <c r="F163" s="8">
        <v>0.0</v>
      </c>
      <c r="G163" s="8">
        <v>380.0</v>
      </c>
      <c r="H163" s="8">
        <v>925288.0</v>
      </c>
      <c r="I163" s="8">
        <v>220.0</v>
      </c>
      <c r="J163" s="8">
        <v>48.0</v>
      </c>
      <c r="K163" s="8">
        <v>172.0</v>
      </c>
      <c r="L163" s="8">
        <v>194178.0</v>
      </c>
    </row>
    <row r="164" ht="15.75" customHeight="1">
      <c r="A164" s="7">
        <v>45851.0</v>
      </c>
      <c r="B164" s="4" t="s">
        <v>59</v>
      </c>
      <c r="C164" s="8">
        <v>1260.0</v>
      </c>
      <c r="D164" s="8">
        <v>166.0</v>
      </c>
      <c r="E164" s="8">
        <v>180.0</v>
      </c>
      <c r="F164" s="8">
        <v>12.0</v>
      </c>
      <c r="G164" s="8">
        <v>914.0</v>
      </c>
      <c r="H164" s="8">
        <v>926202.0</v>
      </c>
      <c r="I164" s="8">
        <v>252.0</v>
      </c>
      <c r="J164" s="8">
        <v>62.0</v>
      </c>
      <c r="K164" s="8">
        <v>190.0</v>
      </c>
      <c r="L164" s="8">
        <v>194368.0</v>
      </c>
    </row>
    <row r="165" ht="15.75" customHeight="1">
      <c r="A165" s="7">
        <v>45852.0</v>
      </c>
      <c r="B165" s="4" t="s">
        <v>98</v>
      </c>
      <c r="C165" s="8">
        <v>864.0</v>
      </c>
      <c r="D165" s="8">
        <v>359.0</v>
      </c>
      <c r="E165" s="8">
        <v>82.0</v>
      </c>
      <c r="F165" s="8">
        <v>11.0</v>
      </c>
      <c r="G165" s="8">
        <v>423.0</v>
      </c>
      <c r="H165" s="8">
        <v>926625.0</v>
      </c>
      <c r="I165" s="8">
        <v>358.0</v>
      </c>
      <c r="J165" s="8">
        <v>79.0</v>
      </c>
      <c r="K165" s="8">
        <v>279.0</v>
      </c>
      <c r="L165" s="8">
        <v>194647.0</v>
      </c>
    </row>
    <row r="166" ht="15.75" customHeight="1">
      <c r="A166" s="7">
        <v>45853.0</v>
      </c>
      <c r="B166" s="4" t="s">
        <v>91</v>
      </c>
      <c r="C166" s="8">
        <v>1836.0</v>
      </c>
      <c r="D166" s="8">
        <v>275.0</v>
      </c>
      <c r="E166" s="8">
        <v>154.0</v>
      </c>
      <c r="F166" s="8">
        <v>10.0</v>
      </c>
      <c r="G166" s="8">
        <v>1407.0</v>
      </c>
      <c r="H166" s="8">
        <v>928032.0</v>
      </c>
      <c r="I166" s="8">
        <v>276.0</v>
      </c>
      <c r="J166" s="8">
        <v>76.0</v>
      </c>
      <c r="K166" s="8">
        <v>200.0</v>
      </c>
      <c r="L166" s="8">
        <v>194847.0</v>
      </c>
    </row>
    <row r="167" ht="15.75" customHeight="1">
      <c r="A167" s="7">
        <v>45854.0</v>
      </c>
      <c r="B167" s="4" t="s">
        <v>82</v>
      </c>
      <c r="C167" s="8">
        <v>1606.0</v>
      </c>
      <c r="D167" s="8">
        <v>304.0</v>
      </c>
      <c r="E167" s="8">
        <v>136.0</v>
      </c>
      <c r="F167" s="8">
        <v>2.0</v>
      </c>
      <c r="G167" s="8">
        <v>1166.0</v>
      </c>
      <c r="H167" s="8">
        <v>929198.0</v>
      </c>
      <c r="I167" s="8">
        <v>198.0</v>
      </c>
      <c r="J167" s="8">
        <v>90.0</v>
      </c>
      <c r="K167" s="8">
        <v>108.0</v>
      </c>
      <c r="L167" s="8">
        <v>194955.0</v>
      </c>
    </row>
    <row r="168" ht="15.75" customHeight="1">
      <c r="A168" s="7">
        <v>45855.0</v>
      </c>
      <c r="B168" s="4" t="s">
        <v>75</v>
      </c>
      <c r="C168" s="8">
        <v>1843.0</v>
      </c>
      <c r="D168" s="8">
        <v>341.0</v>
      </c>
      <c r="E168" s="8">
        <v>79.0</v>
      </c>
      <c r="F168" s="8">
        <v>12.0</v>
      </c>
      <c r="G168" s="8">
        <v>1423.0</v>
      </c>
      <c r="H168" s="8">
        <v>930621.0</v>
      </c>
      <c r="I168" s="8">
        <v>500.0</v>
      </c>
      <c r="J168" s="8">
        <v>137.0</v>
      </c>
      <c r="K168" s="8">
        <v>363.0</v>
      </c>
      <c r="L168" s="8">
        <v>195318.0</v>
      </c>
    </row>
    <row r="169" ht="15.75" customHeight="1">
      <c r="A169" s="7">
        <v>45856.0</v>
      </c>
      <c r="B169" s="4" t="s">
        <v>135</v>
      </c>
      <c r="C169" s="8">
        <v>1507.0</v>
      </c>
      <c r="D169" s="8">
        <v>162.0</v>
      </c>
      <c r="E169" s="8">
        <v>116.0</v>
      </c>
      <c r="F169" s="8">
        <v>9.0</v>
      </c>
      <c r="G169" s="8">
        <v>1229.0</v>
      </c>
      <c r="H169" s="8">
        <v>931850.0</v>
      </c>
      <c r="I169" s="8">
        <v>555.0</v>
      </c>
      <c r="J169" s="8">
        <v>137.0</v>
      </c>
      <c r="K169" s="8">
        <v>418.0</v>
      </c>
      <c r="L169" s="8">
        <v>195736.0</v>
      </c>
    </row>
    <row r="170" ht="15.75" customHeight="1">
      <c r="A170" s="7">
        <v>45857.0</v>
      </c>
      <c r="B170" s="4" t="s">
        <v>105</v>
      </c>
      <c r="C170" s="8">
        <v>1199.0</v>
      </c>
      <c r="D170" s="8">
        <v>314.0</v>
      </c>
      <c r="E170" s="8">
        <v>118.0</v>
      </c>
      <c r="F170" s="8">
        <v>7.0</v>
      </c>
      <c r="G170" s="8">
        <v>767.0</v>
      </c>
      <c r="H170" s="8">
        <v>932617.0</v>
      </c>
      <c r="I170" s="8">
        <v>321.0</v>
      </c>
      <c r="J170" s="8">
        <v>99.0</v>
      </c>
      <c r="K170" s="8">
        <v>222.0</v>
      </c>
      <c r="L170" s="8">
        <v>195958.0</v>
      </c>
    </row>
    <row r="171" ht="15.75" customHeight="1">
      <c r="A171" s="7">
        <v>45858.0</v>
      </c>
      <c r="B171" s="4" t="s">
        <v>59</v>
      </c>
      <c r="C171" s="8">
        <v>1846.0</v>
      </c>
      <c r="D171" s="8">
        <v>290.0</v>
      </c>
      <c r="E171" s="8">
        <v>160.0</v>
      </c>
      <c r="F171" s="8">
        <v>3.0</v>
      </c>
      <c r="G171" s="8">
        <v>1396.0</v>
      </c>
      <c r="H171" s="8">
        <v>934013.0</v>
      </c>
      <c r="I171" s="8">
        <v>223.0</v>
      </c>
      <c r="J171" s="8">
        <v>57.0</v>
      </c>
      <c r="K171" s="8">
        <v>166.0</v>
      </c>
      <c r="L171" s="8">
        <v>196124.0</v>
      </c>
    </row>
    <row r="172" ht="15.75" customHeight="1">
      <c r="A172" s="7">
        <v>45859.0</v>
      </c>
      <c r="B172" s="4" t="s">
        <v>98</v>
      </c>
      <c r="C172" s="8">
        <v>743.0</v>
      </c>
      <c r="D172" s="8">
        <v>311.0</v>
      </c>
      <c r="E172" s="8">
        <v>143.0</v>
      </c>
      <c r="F172" s="8">
        <v>6.0</v>
      </c>
      <c r="G172" s="8">
        <v>289.0</v>
      </c>
      <c r="H172" s="8">
        <v>934302.0</v>
      </c>
      <c r="I172" s="8">
        <v>392.0</v>
      </c>
      <c r="J172" s="8">
        <v>102.0</v>
      </c>
      <c r="K172" s="8">
        <v>290.0</v>
      </c>
      <c r="L172" s="8">
        <v>196414.0</v>
      </c>
    </row>
    <row r="173" ht="15.75" customHeight="1">
      <c r="A173" s="7">
        <v>45860.0</v>
      </c>
      <c r="B173" s="4" t="s">
        <v>91</v>
      </c>
      <c r="C173" s="8">
        <v>1407.0</v>
      </c>
      <c r="D173" s="8">
        <v>370.0</v>
      </c>
      <c r="E173" s="8">
        <v>58.0</v>
      </c>
      <c r="F173" s="8">
        <v>6.0</v>
      </c>
      <c r="G173" s="8">
        <v>979.0</v>
      </c>
      <c r="H173" s="8">
        <v>935281.0</v>
      </c>
      <c r="I173" s="8">
        <v>338.0</v>
      </c>
      <c r="J173" s="8">
        <v>79.0</v>
      </c>
      <c r="K173" s="8">
        <v>259.0</v>
      </c>
      <c r="L173" s="8">
        <v>196673.0</v>
      </c>
    </row>
    <row r="174" ht="15.75" customHeight="1">
      <c r="A174" s="7">
        <v>45861.0</v>
      </c>
      <c r="B174" s="4" t="s">
        <v>82</v>
      </c>
      <c r="C174" s="8">
        <v>948.0</v>
      </c>
      <c r="D174" s="8">
        <v>203.0</v>
      </c>
      <c r="E174" s="8">
        <v>151.0</v>
      </c>
      <c r="F174" s="8">
        <v>4.0</v>
      </c>
      <c r="G174" s="8">
        <v>594.0</v>
      </c>
      <c r="H174" s="8">
        <v>935875.0</v>
      </c>
      <c r="I174" s="8">
        <v>339.0</v>
      </c>
      <c r="J174" s="8">
        <v>64.0</v>
      </c>
      <c r="K174" s="8">
        <v>275.0</v>
      </c>
      <c r="L174" s="8">
        <v>196948.0</v>
      </c>
    </row>
    <row r="175" ht="15.75" customHeight="1">
      <c r="A175" s="7">
        <v>45862.0</v>
      </c>
      <c r="B175" s="4" t="s">
        <v>75</v>
      </c>
      <c r="C175" s="8">
        <v>1361.0</v>
      </c>
      <c r="D175" s="8">
        <v>370.0</v>
      </c>
      <c r="E175" s="8">
        <v>134.0</v>
      </c>
      <c r="F175" s="8">
        <v>11.0</v>
      </c>
      <c r="G175" s="8">
        <v>857.0</v>
      </c>
      <c r="H175" s="8">
        <v>936732.0</v>
      </c>
      <c r="I175" s="8">
        <v>396.0</v>
      </c>
      <c r="J175" s="8">
        <v>121.0</v>
      </c>
      <c r="K175" s="8">
        <v>275.0</v>
      </c>
      <c r="L175" s="8">
        <v>197223.0</v>
      </c>
    </row>
    <row r="176" ht="15.75" customHeight="1">
      <c r="A176" s="7">
        <v>45863.0</v>
      </c>
      <c r="B176" s="4" t="s">
        <v>135</v>
      </c>
      <c r="C176" s="8">
        <v>1501.0</v>
      </c>
      <c r="D176" s="8">
        <v>246.0</v>
      </c>
      <c r="E176" s="8">
        <v>162.0</v>
      </c>
      <c r="F176" s="8">
        <v>0.0</v>
      </c>
      <c r="G176" s="8">
        <v>1093.0</v>
      </c>
      <c r="H176" s="8">
        <v>937825.0</v>
      </c>
      <c r="I176" s="8">
        <v>500.0</v>
      </c>
      <c r="J176" s="8">
        <v>71.0</v>
      </c>
      <c r="K176" s="8">
        <v>429.0</v>
      </c>
      <c r="L176" s="8">
        <v>197652.0</v>
      </c>
    </row>
    <row r="177" ht="15.75" customHeight="1">
      <c r="A177" s="7">
        <v>45864.0</v>
      </c>
      <c r="B177" s="4" t="s">
        <v>105</v>
      </c>
      <c r="C177" s="8">
        <v>2325.0</v>
      </c>
      <c r="D177" s="8">
        <v>134.0</v>
      </c>
      <c r="E177" s="8">
        <v>77.0</v>
      </c>
      <c r="F177" s="8">
        <v>4.0</v>
      </c>
      <c r="G177" s="8">
        <v>2114.0</v>
      </c>
      <c r="H177" s="8">
        <v>939939.0</v>
      </c>
      <c r="I177" s="8">
        <v>544.0</v>
      </c>
      <c r="J177" s="8">
        <v>129.0</v>
      </c>
      <c r="K177" s="8">
        <v>415.0</v>
      </c>
      <c r="L177" s="8">
        <v>198067.0</v>
      </c>
    </row>
    <row r="178" ht="15.75" customHeight="1">
      <c r="A178" s="7">
        <v>45865.0</v>
      </c>
      <c r="B178" s="4" t="s">
        <v>59</v>
      </c>
      <c r="C178" s="8">
        <v>1139.0</v>
      </c>
      <c r="D178" s="8">
        <v>246.0</v>
      </c>
      <c r="E178" s="8">
        <v>81.0</v>
      </c>
      <c r="F178" s="8">
        <v>0.0</v>
      </c>
      <c r="G178" s="8">
        <v>812.0</v>
      </c>
      <c r="H178" s="8">
        <v>940751.0</v>
      </c>
      <c r="I178" s="8">
        <v>320.0</v>
      </c>
      <c r="J178" s="8">
        <v>117.0</v>
      </c>
      <c r="K178" s="8">
        <v>203.0</v>
      </c>
      <c r="L178" s="8">
        <v>198270.0</v>
      </c>
    </row>
    <row r="179" ht="15.75" customHeight="1">
      <c r="A179" s="7">
        <v>45866.0</v>
      </c>
      <c r="B179" s="4" t="s">
        <v>98</v>
      </c>
      <c r="C179" s="8">
        <v>2031.0</v>
      </c>
      <c r="D179" s="8">
        <v>323.0</v>
      </c>
      <c r="E179" s="8">
        <v>60.0</v>
      </c>
      <c r="F179" s="8">
        <v>8.0</v>
      </c>
      <c r="G179" s="8">
        <v>1648.0</v>
      </c>
      <c r="H179" s="8">
        <v>942399.0</v>
      </c>
      <c r="I179" s="8">
        <v>338.0</v>
      </c>
      <c r="J179" s="8">
        <v>130.0</v>
      </c>
      <c r="K179" s="8">
        <v>208.0</v>
      </c>
      <c r="L179" s="8">
        <v>198478.0</v>
      </c>
    </row>
    <row r="180" ht="15.75" customHeight="1">
      <c r="A180" s="7">
        <v>45867.0</v>
      </c>
      <c r="B180" s="4" t="s">
        <v>91</v>
      </c>
      <c r="C180" s="8">
        <v>1025.0</v>
      </c>
      <c r="D180" s="8">
        <v>338.0</v>
      </c>
      <c r="E180" s="8">
        <v>117.0</v>
      </c>
      <c r="F180" s="8">
        <v>8.0</v>
      </c>
      <c r="G180" s="8">
        <v>570.0</v>
      </c>
      <c r="H180" s="8">
        <v>942969.0</v>
      </c>
      <c r="I180" s="8">
        <v>543.0</v>
      </c>
      <c r="J180" s="8">
        <v>72.0</v>
      </c>
      <c r="K180" s="8">
        <v>471.0</v>
      </c>
      <c r="L180" s="8">
        <v>198949.0</v>
      </c>
    </row>
    <row r="181" ht="15.75" customHeight="1">
      <c r="A181" s="7">
        <v>45868.0</v>
      </c>
      <c r="B181" s="4" t="s">
        <v>82</v>
      </c>
      <c r="C181" s="8">
        <v>1424.0</v>
      </c>
      <c r="D181" s="8">
        <v>277.0</v>
      </c>
      <c r="E181" s="8">
        <v>145.0</v>
      </c>
      <c r="F181" s="8">
        <v>12.0</v>
      </c>
      <c r="G181" s="8">
        <v>1002.0</v>
      </c>
      <c r="H181" s="8">
        <v>943971.0</v>
      </c>
      <c r="I181" s="8">
        <v>432.0</v>
      </c>
      <c r="J181" s="8">
        <v>133.0</v>
      </c>
      <c r="K181" s="8">
        <v>299.0</v>
      </c>
      <c r="L181" s="8">
        <v>199248.0</v>
      </c>
    </row>
    <row r="182" ht="15.75" customHeight="1">
      <c r="A182" s="7">
        <v>45869.0</v>
      </c>
      <c r="B182" s="4" t="s">
        <v>75</v>
      </c>
      <c r="C182" s="8">
        <v>883.0</v>
      </c>
      <c r="D182" s="8">
        <v>296.0</v>
      </c>
      <c r="E182" s="8">
        <v>108.0</v>
      </c>
      <c r="F182" s="8">
        <v>11.0</v>
      </c>
      <c r="G182" s="8">
        <v>479.0</v>
      </c>
      <c r="H182" s="8">
        <v>944450.0</v>
      </c>
      <c r="I182" s="8">
        <v>211.0</v>
      </c>
      <c r="J182" s="8">
        <v>58.0</v>
      </c>
      <c r="K182" s="8">
        <v>153.0</v>
      </c>
      <c r="L182" s="8">
        <v>199401.0</v>
      </c>
    </row>
    <row r="183" ht="15.75" customHeight="1">
      <c r="A183" s="7">
        <v>45870.0</v>
      </c>
      <c r="B183" s="4" t="s">
        <v>135</v>
      </c>
      <c r="C183" s="8">
        <v>2119.0</v>
      </c>
      <c r="D183" s="8">
        <v>123.0</v>
      </c>
      <c r="E183" s="8">
        <v>165.0</v>
      </c>
      <c r="F183" s="8">
        <v>0.0</v>
      </c>
      <c r="G183" s="8">
        <v>1831.0</v>
      </c>
      <c r="H183" s="8">
        <v>946281.0</v>
      </c>
      <c r="I183" s="8">
        <v>320.0</v>
      </c>
      <c r="J183" s="8">
        <v>61.0</v>
      </c>
      <c r="K183" s="8">
        <v>259.0</v>
      </c>
      <c r="L183" s="8">
        <v>199660.0</v>
      </c>
    </row>
    <row r="184" ht="15.75" customHeight="1">
      <c r="A184" s="7">
        <v>45871.0</v>
      </c>
      <c r="B184" s="4" t="s">
        <v>105</v>
      </c>
      <c r="C184" s="8">
        <v>1808.0</v>
      </c>
      <c r="D184" s="8">
        <v>333.0</v>
      </c>
      <c r="E184" s="8">
        <v>113.0</v>
      </c>
      <c r="F184" s="8">
        <v>11.0</v>
      </c>
      <c r="G184" s="8">
        <v>1362.0</v>
      </c>
      <c r="H184" s="8">
        <v>947643.0</v>
      </c>
      <c r="I184" s="8">
        <v>489.0</v>
      </c>
      <c r="J184" s="8">
        <v>123.0</v>
      </c>
      <c r="K184" s="8">
        <v>366.0</v>
      </c>
      <c r="L184" s="8">
        <v>200026.0</v>
      </c>
    </row>
    <row r="185" ht="15.75" customHeight="1">
      <c r="A185" s="7">
        <v>45872.0</v>
      </c>
      <c r="B185" s="4" t="s">
        <v>59</v>
      </c>
      <c r="C185" s="8">
        <v>1290.0</v>
      </c>
      <c r="D185" s="8">
        <v>188.0</v>
      </c>
      <c r="E185" s="8">
        <v>164.0</v>
      </c>
      <c r="F185" s="8">
        <v>2.0</v>
      </c>
      <c r="G185" s="8">
        <v>938.0</v>
      </c>
      <c r="H185" s="8">
        <v>948581.0</v>
      </c>
      <c r="I185" s="8">
        <v>589.0</v>
      </c>
      <c r="J185" s="8">
        <v>65.0</v>
      </c>
      <c r="K185" s="8">
        <v>524.0</v>
      </c>
      <c r="L185" s="8">
        <v>200550.0</v>
      </c>
    </row>
    <row r="186" ht="15.75" customHeight="1">
      <c r="A186" s="7">
        <v>45873.0</v>
      </c>
      <c r="B186" s="4" t="s">
        <v>98</v>
      </c>
      <c r="C186" s="8">
        <v>1862.0</v>
      </c>
      <c r="D186" s="8">
        <v>228.0</v>
      </c>
      <c r="E186" s="8">
        <v>91.0</v>
      </c>
      <c r="F186" s="8">
        <v>0.0</v>
      </c>
      <c r="G186" s="8">
        <v>1543.0</v>
      </c>
      <c r="H186" s="8">
        <v>950124.0</v>
      </c>
      <c r="I186" s="8">
        <v>566.0</v>
      </c>
      <c r="J186" s="8">
        <v>63.0</v>
      </c>
      <c r="K186" s="8">
        <v>503.0</v>
      </c>
      <c r="L186" s="8">
        <v>201053.0</v>
      </c>
    </row>
    <row r="187" ht="15.75" customHeight="1">
      <c r="A187" s="7">
        <v>45874.0</v>
      </c>
      <c r="B187" s="4" t="s">
        <v>91</v>
      </c>
      <c r="C187" s="8">
        <v>1132.0</v>
      </c>
      <c r="D187" s="8">
        <v>329.0</v>
      </c>
      <c r="E187" s="8">
        <v>67.0</v>
      </c>
      <c r="F187" s="8">
        <v>10.0</v>
      </c>
      <c r="G187" s="8">
        <v>736.0</v>
      </c>
      <c r="H187" s="8">
        <v>950860.0</v>
      </c>
      <c r="I187" s="8">
        <v>296.0</v>
      </c>
      <c r="J187" s="8">
        <v>96.0</v>
      </c>
      <c r="K187" s="8">
        <v>200.0</v>
      </c>
      <c r="L187" s="8">
        <v>201253.0</v>
      </c>
    </row>
    <row r="188" ht="15.75" customHeight="1">
      <c r="A188" s="7">
        <v>45875.0</v>
      </c>
      <c r="B188" s="4" t="s">
        <v>82</v>
      </c>
      <c r="C188" s="8">
        <v>1494.0</v>
      </c>
      <c r="D188" s="8">
        <v>261.0</v>
      </c>
      <c r="E188" s="8">
        <v>127.0</v>
      </c>
      <c r="F188" s="8">
        <v>0.0</v>
      </c>
      <c r="G188" s="8">
        <v>1106.0</v>
      </c>
      <c r="H188" s="8">
        <v>951966.0</v>
      </c>
      <c r="I188" s="8">
        <v>230.0</v>
      </c>
      <c r="J188" s="8">
        <v>48.0</v>
      </c>
      <c r="K188" s="8">
        <v>182.0</v>
      </c>
      <c r="L188" s="8">
        <v>201435.0</v>
      </c>
    </row>
    <row r="189" ht="15.75" customHeight="1">
      <c r="A189" s="7">
        <v>45876.0</v>
      </c>
      <c r="B189" s="4" t="s">
        <v>75</v>
      </c>
      <c r="C189" s="8">
        <v>2068.0</v>
      </c>
      <c r="D189" s="8">
        <v>712.0</v>
      </c>
      <c r="E189" s="8">
        <v>55.0</v>
      </c>
      <c r="F189" s="8">
        <v>4.0</v>
      </c>
      <c r="G189" s="8">
        <v>1301.0</v>
      </c>
      <c r="H189" s="8">
        <v>953267.0</v>
      </c>
      <c r="I189" s="8">
        <v>540.0</v>
      </c>
      <c r="J189" s="8">
        <v>41.0</v>
      </c>
      <c r="K189" s="8">
        <v>499.0</v>
      </c>
      <c r="L189" s="8">
        <v>201934.0</v>
      </c>
    </row>
    <row r="190" ht="15.75" customHeight="1">
      <c r="A190" s="7">
        <v>45877.0</v>
      </c>
      <c r="B190" s="4" t="s">
        <v>135</v>
      </c>
      <c r="C190" s="8">
        <v>840.0</v>
      </c>
      <c r="D190" s="8">
        <v>228.0</v>
      </c>
      <c r="E190" s="8">
        <v>41.0</v>
      </c>
      <c r="F190" s="8">
        <v>6.0</v>
      </c>
      <c r="G190" s="8">
        <v>571.0</v>
      </c>
      <c r="H190" s="8">
        <v>953838.0</v>
      </c>
      <c r="I190" s="8">
        <v>217.0</v>
      </c>
      <c r="J190" s="8">
        <v>106.0</v>
      </c>
      <c r="K190" s="8">
        <v>111.0</v>
      </c>
      <c r="L190" s="8">
        <v>202045.0</v>
      </c>
    </row>
    <row r="191" ht="15.75" customHeight="1">
      <c r="A191" s="7">
        <v>45878.0</v>
      </c>
      <c r="B191" s="4" t="s">
        <v>105</v>
      </c>
      <c r="C191" s="8">
        <v>2577.0</v>
      </c>
      <c r="D191" s="8">
        <v>368.0</v>
      </c>
      <c r="E191" s="8">
        <v>126.0</v>
      </c>
      <c r="F191" s="8">
        <v>9.0</v>
      </c>
      <c r="G191" s="8">
        <v>2083.0</v>
      </c>
      <c r="H191" s="8">
        <v>955921.0</v>
      </c>
      <c r="I191" s="8">
        <v>345.0</v>
      </c>
      <c r="J191" s="8">
        <v>100.0</v>
      </c>
      <c r="K191" s="8">
        <v>245.0</v>
      </c>
      <c r="L191" s="8">
        <v>202290.0</v>
      </c>
    </row>
    <row r="192" ht="15.75" customHeight="1">
      <c r="A192" s="7">
        <v>45879.0</v>
      </c>
      <c r="B192" s="4" t="s">
        <v>59</v>
      </c>
      <c r="C192" s="8">
        <v>1640.0</v>
      </c>
      <c r="D192" s="8">
        <v>242.0</v>
      </c>
      <c r="E192" s="8">
        <v>142.0</v>
      </c>
      <c r="F192" s="8">
        <v>6.0</v>
      </c>
      <c r="G192" s="8">
        <v>1256.0</v>
      </c>
      <c r="H192" s="8">
        <v>957177.0</v>
      </c>
      <c r="I192" s="8">
        <v>372.0</v>
      </c>
      <c r="J192" s="8">
        <v>86.0</v>
      </c>
      <c r="K192" s="8">
        <v>286.0</v>
      </c>
      <c r="L192" s="8">
        <v>202576.0</v>
      </c>
    </row>
    <row r="193" ht="15.75" customHeight="1">
      <c r="A193" s="7">
        <v>45880.0</v>
      </c>
      <c r="B193" s="4" t="s">
        <v>98</v>
      </c>
      <c r="C193" s="8">
        <v>1402.0</v>
      </c>
      <c r="D193" s="8">
        <v>171.0</v>
      </c>
      <c r="E193" s="8">
        <v>156.0</v>
      </c>
      <c r="F193" s="8">
        <v>11.0</v>
      </c>
      <c r="G193" s="8">
        <v>1075.0</v>
      </c>
      <c r="H193" s="8">
        <v>958252.0</v>
      </c>
      <c r="I193" s="8">
        <v>562.0</v>
      </c>
      <c r="J193" s="8">
        <v>40.0</v>
      </c>
      <c r="K193" s="8">
        <v>522.0</v>
      </c>
      <c r="L193" s="8">
        <v>203098.0</v>
      </c>
    </row>
    <row r="194" ht="15.75" customHeight="1">
      <c r="A194" s="7">
        <v>45881.0</v>
      </c>
      <c r="B194" s="4" t="s">
        <v>91</v>
      </c>
      <c r="C194" s="8">
        <v>1029.0</v>
      </c>
      <c r="D194" s="8">
        <v>182.0</v>
      </c>
      <c r="E194" s="8">
        <v>111.0</v>
      </c>
      <c r="F194" s="8">
        <v>11.0</v>
      </c>
      <c r="G194" s="8">
        <v>736.0</v>
      </c>
      <c r="H194" s="8">
        <v>958988.0</v>
      </c>
      <c r="I194" s="8">
        <v>183.0</v>
      </c>
      <c r="J194" s="8">
        <v>107.0</v>
      </c>
      <c r="K194" s="8">
        <v>76.0</v>
      </c>
      <c r="L194" s="8">
        <v>203174.0</v>
      </c>
    </row>
    <row r="195" ht="15.75" customHeight="1">
      <c r="A195" s="7">
        <v>45882.0</v>
      </c>
      <c r="B195" s="4" t="s">
        <v>82</v>
      </c>
      <c r="C195" s="8">
        <v>1638.0</v>
      </c>
      <c r="D195" s="8">
        <v>363.0</v>
      </c>
      <c r="E195" s="8">
        <v>145.0</v>
      </c>
      <c r="F195" s="8">
        <v>10.0</v>
      </c>
      <c r="G195" s="8">
        <v>1130.0</v>
      </c>
      <c r="H195" s="8">
        <v>960118.0</v>
      </c>
      <c r="I195" s="8">
        <v>471.0</v>
      </c>
      <c r="J195" s="8">
        <v>105.0</v>
      </c>
      <c r="K195" s="8">
        <v>366.0</v>
      </c>
      <c r="L195" s="8">
        <v>203540.0</v>
      </c>
    </row>
    <row r="196" ht="15.75" customHeight="1">
      <c r="A196" s="7">
        <v>45883.0</v>
      </c>
      <c r="B196" s="4" t="s">
        <v>75</v>
      </c>
      <c r="C196" s="8">
        <v>1386.0</v>
      </c>
      <c r="D196" s="8">
        <v>304.0</v>
      </c>
      <c r="E196" s="8">
        <v>123.0</v>
      </c>
      <c r="F196" s="8">
        <v>10.0</v>
      </c>
      <c r="G196" s="8">
        <v>959.0</v>
      </c>
      <c r="H196" s="8">
        <v>961077.0</v>
      </c>
      <c r="I196" s="8">
        <v>178.0</v>
      </c>
      <c r="J196" s="8">
        <v>45.0</v>
      </c>
      <c r="K196" s="8">
        <v>133.0</v>
      </c>
      <c r="L196" s="8">
        <v>203673.0</v>
      </c>
    </row>
    <row r="197" ht="15.75" customHeight="1">
      <c r="A197" s="7">
        <v>45884.0</v>
      </c>
      <c r="B197" s="4" t="s">
        <v>135</v>
      </c>
      <c r="C197" s="8">
        <v>1538.0</v>
      </c>
      <c r="D197" s="8">
        <v>161.0</v>
      </c>
      <c r="E197" s="8">
        <v>149.0</v>
      </c>
      <c r="F197" s="8">
        <v>7.0</v>
      </c>
      <c r="G197" s="8">
        <v>1228.0</v>
      </c>
      <c r="H197" s="8">
        <v>962305.0</v>
      </c>
      <c r="I197" s="8">
        <v>530.0</v>
      </c>
      <c r="J197" s="8">
        <v>84.0</v>
      </c>
      <c r="K197" s="8">
        <v>446.0</v>
      </c>
      <c r="L197" s="8">
        <v>204119.0</v>
      </c>
    </row>
    <row r="198" ht="15.75" customHeight="1">
      <c r="A198" s="7">
        <v>45885.0</v>
      </c>
      <c r="B198" s="4" t="s">
        <v>105</v>
      </c>
      <c r="C198" s="8">
        <v>1097.0</v>
      </c>
      <c r="D198" s="8">
        <v>317.0</v>
      </c>
      <c r="E198" s="8">
        <v>89.0</v>
      </c>
      <c r="F198" s="8">
        <v>11.0</v>
      </c>
      <c r="G198" s="8">
        <v>691.0</v>
      </c>
      <c r="H198" s="8">
        <v>962996.0</v>
      </c>
      <c r="I198" s="8">
        <v>606.0</v>
      </c>
      <c r="J198" s="8">
        <v>77.0</v>
      </c>
      <c r="K198" s="8">
        <v>529.0</v>
      </c>
      <c r="L198" s="8">
        <v>204648.0</v>
      </c>
    </row>
    <row r="199" ht="15.75" customHeight="1">
      <c r="A199" s="7">
        <v>45886.0</v>
      </c>
      <c r="B199" s="4" t="s">
        <v>59</v>
      </c>
      <c r="C199" s="8">
        <v>2153.0</v>
      </c>
      <c r="D199" s="8">
        <v>378.0</v>
      </c>
      <c r="E199" s="8">
        <v>72.0</v>
      </c>
      <c r="F199" s="8">
        <v>7.0</v>
      </c>
      <c r="G199" s="8">
        <v>1703.0</v>
      </c>
      <c r="H199" s="8">
        <v>964699.0</v>
      </c>
      <c r="I199" s="8">
        <v>634.0</v>
      </c>
      <c r="J199" s="8">
        <v>44.0</v>
      </c>
      <c r="K199" s="8">
        <v>590.0</v>
      </c>
      <c r="L199" s="8">
        <v>205238.0</v>
      </c>
    </row>
    <row r="200" ht="15.75" customHeight="1">
      <c r="A200" s="7">
        <v>45887.0</v>
      </c>
      <c r="B200" s="4" t="s">
        <v>98</v>
      </c>
      <c r="C200" s="8">
        <v>2069.0</v>
      </c>
      <c r="D200" s="8">
        <v>359.0</v>
      </c>
      <c r="E200" s="8">
        <v>154.0</v>
      </c>
      <c r="F200" s="8">
        <v>1.0</v>
      </c>
      <c r="G200" s="8">
        <v>1556.0</v>
      </c>
      <c r="H200" s="8">
        <v>966255.0</v>
      </c>
      <c r="I200" s="8">
        <v>437.0</v>
      </c>
      <c r="J200" s="8">
        <v>61.0</v>
      </c>
      <c r="K200" s="8">
        <v>376.0</v>
      </c>
      <c r="L200" s="8">
        <v>205614.0</v>
      </c>
    </row>
    <row r="201" ht="15.75" customHeight="1">
      <c r="A201" s="7">
        <v>45888.0</v>
      </c>
      <c r="B201" s="4" t="s">
        <v>91</v>
      </c>
      <c r="C201" s="8">
        <v>1233.0</v>
      </c>
      <c r="D201" s="8">
        <v>207.0</v>
      </c>
      <c r="E201" s="8">
        <v>62.0</v>
      </c>
      <c r="F201" s="8">
        <v>1.0</v>
      </c>
      <c r="G201" s="8">
        <v>964.0</v>
      </c>
      <c r="H201" s="8">
        <v>967219.0</v>
      </c>
      <c r="I201" s="8">
        <v>273.0</v>
      </c>
      <c r="J201" s="8">
        <v>136.0</v>
      </c>
      <c r="K201" s="8">
        <v>137.0</v>
      </c>
      <c r="L201" s="8">
        <v>205751.0</v>
      </c>
    </row>
    <row r="202" ht="15.75" customHeight="1">
      <c r="A202" s="7">
        <v>45889.0</v>
      </c>
      <c r="B202" s="4" t="s">
        <v>82</v>
      </c>
      <c r="C202" s="8">
        <v>1071.0</v>
      </c>
      <c r="D202" s="8">
        <v>316.0</v>
      </c>
      <c r="E202" s="8">
        <v>111.0</v>
      </c>
      <c r="F202" s="8">
        <v>3.0</v>
      </c>
      <c r="G202" s="8">
        <v>644.0</v>
      </c>
      <c r="H202" s="8">
        <v>967863.0</v>
      </c>
      <c r="I202" s="8">
        <v>329.0</v>
      </c>
      <c r="J202" s="8">
        <v>138.0</v>
      </c>
      <c r="K202" s="8">
        <v>191.0</v>
      </c>
      <c r="L202" s="8">
        <v>205942.0</v>
      </c>
    </row>
    <row r="203" ht="15.75" customHeight="1">
      <c r="A203" s="7">
        <v>45890.0</v>
      </c>
      <c r="B203" s="4" t="s">
        <v>75</v>
      </c>
      <c r="C203" s="8">
        <v>2064.0</v>
      </c>
      <c r="D203" s="8">
        <v>189.0</v>
      </c>
      <c r="E203" s="8">
        <v>165.0</v>
      </c>
      <c r="F203" s="8">
        <v>1.0</v>
      </c>
      <c r="G203" s="8">
        <v>1710.0</v>
      </c>
      <c r="H203" s="8">
        <v>969573.0</v>
      </c>
      <c r="I203" s="8">
        <v>230.0</v>
      </c>
      <c r="J203" s="8">
        <v>108.0</v>
      </c>
      <c r="K203" s="8">
        <v>122.0</v>
      </c>
      <c r="L203" s="8">
        <v>206064.0</v>
      </c>
    </row>
    <row r="204" ht="15.75" customHeight="1">
      <c r="A204" s="7">
        <v>45891.0</v>
      </c>
      <c r="B204" s="4" t="s">
        <v>135</v>
      </c>
      <c r="C204" s="8">
        <v>1195.0</v>
      </c>
      <c r="D204" s="8">
        <v>153.0</v>
      </c>
      <c r="E204" s="8">
        <v>127.0</v>
      </c>
      <c r="F204" s="8">
        <v>6.0</v>
      </c>
      <c r="G204" s="8">
        <v>915.0</v>
      </c>
      <c r="H204" s="8">
        <v>970488.0</v>
      </c>
      <c r="I204" s="8">
        <v>450.0</v>
      </c>
      <c r="J204" s="8">
        <v>122.0</v>
      </c>
      <c r="K204" s="8">
        <v>328.0</v>
      </c>
      <c r="L204" s="8">
        <v>206392.0</v>
      </c>
    </row>
    <row r="205" ht="15.75" customHeight="1">
      <c r="A205" s="7">
        <v>45892.0</v>
      </c>
      <c r="B205" s="4" t="s">
        <v>105</v>
      </c>
      <c r="C205" s="8">
        <v>2495.0</v>
      </c>
      <c r="D205" s="8">
        <v>343.0</v>
      </c>
      <c r="E205" s="8">
        <v>97.0</v>
      </c>
      <c r="F205" s="8">
        <v>4.0</v>
      </c>
      <c r="G205" s="8">
        <v>2055.0</v>
      </c>
      <c r="H205" s="8">
        <v>972543.0</v>
      </c>
      <c r="I205" s="8">
        <v>409.0</v>
      </c>
      <c r="J205" s="8">
        <v>69.0</v>
      </c>
      <c r="K205" s="8">
        <v>340.0</v>
      </c>
      <c r="L205" s="8">
        <v>206732.0</v>
      </c>
    </row>
    <row r="206" ht="15.75" customHeight="1">
      <c r="A206" s="7">
        <v>45893.0</v>
      </c>
      <c r="B206" s="4" t="s">
        <v>59</v>
      </c>
      <c r="C206" s="8">
        <v>1072.0</v>
      </c>
      <c r="D206" s="8">
        <v>216.0</v>
      </c>
      <c r="E206" s="8">
        <v>69.0</v>
      </c>
      <c r="F206" s="8">
        <v>9.0</v>
      </c>
      <c r="G206" s="8">
        <v>787.0</v>
      </c>
      <c r="H206" s="8">
        <v>973330.0</v>
      </c>
      <c r="I206" s="8">
        <v>386.0</v>
      </c>
      <c r="J206" s="8">
        <v>135.0</v>
      </c>
      <c r="K206" s="8">
        <v>251.0</v>
      </c>
      <c r="L206" s="8">
        <v>206983.0</v>
      </c>
    </row>
    <row r="207" ht="15.75" customHeight="1">
      <c r="A207" s="7">
        <v>45894.0</v>
      </c>
      <c r="B207" s="4" t="s">
        <v>98</v>
      </c>
      <c r="C207" s="8">
        <v>1499.0</v>
      </c>
      <c r="D207" s="8">
        <v>120.0</v>
      </c>
      <c r="E207" s="8">
        <v>55.0</v>
      </c>
      <c r="F207" s="8">
        <v>9.0</v>
      </c>
      <c r="G207" s="8">
        <v>1324.0</v>
      </c>
      <c r="H207" s="8">
        <v>974654.0</v>
      </c>
      <c r="I207" s="8">
        <v>451.0</v>
      </c>
      <c r="J207" s="8">
        <v>79.0</v>
      </c>
      <c r="K207" s="8">
        <v>372.0</v>
      </c>
      <c r="L207" s="8">
        <v>207355.0</v>
      </c>
    </row>
    <row r="208" ht="15.75" customHeight="1">
      <c r="A208" s="7">
        <v>45895.0</v>
      </c>
      <c r="B208" s="4" t="s">
        <v>91</v>
      </c>
      <c r="C208" s="8">
        <v>1583.0</v>
      </c>
      <c r="D208" s="8">
        <v>306.0</v>
      </c>
      <c r="E208" s="8">
        <v>72.0</v>
      </c>
      <c r="F208" s="8">
        <v>8.0</v>
      </c>
      <c r="G208" s="8">
        <v>1205.0</v>
      </c>
      <c r="H208" s="8">
        <v>975859.0</v>
      </c>
      <c r="I208" s="8">
        <v>325.0</v>
      </c>
      <c r="J208" s="8">
        <v>126.0</v>
      </c>
      <c r="K208" s="8">
        <v>199.0</v>
      </c>
      <c r="L208" s="8">
        <v>207554.0</v>
      </c>
    </row>
    <row r="209" ht="15.75" customHeight="1">
      <c r="A209" s="7">
        <v>45896.0</v>
      </c>
      <c r="B209" s="4" t="s">
        <v>82</v>
      </c>
      <c r="C209" s="8">
        <v>967.0</v>
      </c>
      <c r="D209" s="8">
        <v>124.0</v>
      </c>
      <c r="E209" s="8">
        <v>157.0</v>
      </c>
      <c r="F209" s="8">
        <v>5.0</v>
      </c>
      <c r="G209" s="8">
        <v>686.0</v>
      </c>
      <c r="H209" s="8">
        <v>976545.0</v>
      </c>
      <c r="I209" s="8">
        <v>362.0</v>
      </c>
      <c r="J209" s="8">
        <v>108.0</v>
      </c>
      <c r="K209" s="8">
        <v>254.0</v>
      </c>
      <c r="L209" s="8">
        <v>207808.0</v>
      </c>
    </row>
    <row r="210" ht="15.75" customHeight="1">
      <c r="A210" s="7">
        <v>45897.0</v>
      </c>
      <c r="B210" s="4" t="s">
        <v>75</v>
      </c>
      <c r="C210" s="8">
        <v>1185.0</v>
      </c>
      <c r="D210" s="8">
        <v>353.0</v>
      </c>
      <c r="E210" s="8">
        <v>112.0</v>
      </c>
      <c r="F210" s="8">
        <v>2.0</v>
      </c>
      <c r="G210" s="8">
        <v>720.0</v>
      </c>
      <c r="H210" s="8">
        <v>977265.0</v>
      </c>
      <c r="I210" s="8">
        <v>413.0</v>
      </c>
      <c r="J210" s="8">
        <v>58.0</v>
      </c>
      <c r="K210" s="8">
        <v>355.0</v>
      </c>
      <c r="L210" s="8">
        <v>208163.0</v>
      </c>
    </row>
    <row r="211" ht="15.75" customHeight="1">
      <c r="A211" s="7">
        <v>45898.0</v>
      </c>
      <c r="B211" s="4" t="s">
        <v>135</v>
      </c>
      <c r="C211" s="8">
        <v>2127.0</v>
      </c>
      <c r="D211" s="8">
        <v>283.0</v>
      </c>
      <c r="E211" s="8">
        <v>168.0</v>
      </c>
      <c r="F211" s="8">
        <v>11.0</v>
      </c>
      <c r="G211" s="8">
        <v>1676.0</v>
      </c>
      <c r="H211" s="8">
        <v>978941.0</v>
      </c>
      <c r="I211" s="8">
        <v>187.0</v>
      </c>
      <c r="J211" s="8">
        <v>79.0</v>
      </c>
      <c r="K211" s="8">
        <v>108.0</v>
      </c>
      <c r="L211" s="8">
        <v>208271.0</v>
      </c>
    </row>
    <row r="212" ht="15.75" customHeight="1">
      <c r="A212" s="7">
        <v>45899.0</v>
      </c>
      <c r="B212" s="4" t="s">
        <v>105</v>
      </c>
      <c r="C212" s="8">
        <v>2453.0</v>
      </c>
      <c r="D212" s="8">
        <v>364.0</v>
      </c>
      <c r="E212" s="8">
        <v>95.0</v>
      </c>
      <c r="F212" s="8">
        <v>7.0</v>
      </c>
      <c r="G212" s="8">
        <v>1994.0</v>
      </c>
      <c r="H212" s="8">
        <v>980935.0</v>
      </c>
      <c r="I212" s="8">
        <v>516.0</v>
      </c>
      <c r="J212" s="8">
        <v>120.0</v>
      </c>
      <c r="K212" s="8">
        <v>396.0</v>
      </c>
      <c r="L212" s="8">
        <v>208667.0</v>
      </c>
    </row>
    <row r="213" ht="15.75" customHeight="1">
      <c r="A213" s="7">
        <v>45900.0</v>
      </c>
      <c r="B213" s="4" t="s">
        <v>59</v>
      </c>
      <c r="C213" s="8">
        <v>1005.0</v>
      </c>
      <c r="D213" s="8">
        <v>290.0</v>
      </c>
      <c r="E213" s="8">
        <v>93.0</v>
      </c>
      <c r="F213" s="8">
        <v>11.0</v>
      </c>
      <c r="G213" s="8">
        <v>622.0</v>
      </c>
      <c r="H213" s="8">
        <v>981557.0</v>
      </c>
      <c r="I213" s="8">
        <v>648.0</v>
      </c>
      <c r="J213" s="8">
        <v>59.0</v>
      </c>
      <c r="K213" s="8">
        <v>589.0</v>
      </c>
      <c r="L213" s="8">
        <v>209256.0</v>
      </c>
    </row>
    <row r="214" ht="15.75" customHeight="1">
      <c r="A214" s="7">
        <v>45901.0</v>
      </c>
      <c r="B214" s="4" t="s">
        <v>98</v>
      </c>
      <c r="C214" s="8">
        <v>2306.0</v>
      </c>
      <c r="D214" s="8">
        <v>211.0</v>
      </c>
      <c r="E214" s="8">
        <v>140.0</v>
      </c>
      <c r="F214" s="8">
        <v>4.0</v>
      </c>
      <c r="G214" s="8">
        <v>1955.0</v>
      </c>
      <c r="H214" s="8">
        <v>983512.0</v>
      </c>
      <c r="I214" s="8">
        <v>206.0</v>
      </c>
      <c r="J214" s="8">
        <v>102.0</v>
      </c>
      <c r="K214" s="8">
        <v>104.0</v>
      </c>
      <c r="L214" s="8">
        <v>209360.0</v>
      </c>
    </row>
    <row r="215" ht="15.75" customHeight="1">
      <c r="A215" s="7">
        <v>45902.0</v>
      </c>
      <c r="B215" s="4" t="s">
        <v>91</v>
      </c>
      <c r="C215" s="8">
        <v>1126.0</v>
      </c>
      <c r="D215" s="8">
        <v>320.0</v>
      </c>
      <c r="E215" s="8">
        <v>148.0</v>
      </c>
      <c r="F215" s="8">
        <v>10.0</v>
      </c>
      <c r="G215" s="8">
        <v>658.0</v>
      </c>
      <c r="H215" s="8">
        <v>984170.0</v>
      </c>
      <c r="I215" s="8">
        <v>191.0</v>
      </c>
      <c r="J215" s="8">
        <v>83.0</v>
      </c>
      <c r="K215" s="8">
        <v>108.0</v>
      </c>
      <c r="L215" s="8">
        <v>209468.0</v>
      </c>
    </row>
    <row r="216" ht="15.75" customHeight="1">
      <c r="A216" s="7">
        <v>45903.0</v>
      </c>
      <c r="B216" s="4" t="s">
        <v>82</v>
      </c>
      <c r="C216" s="8">
        <v>1601.0</v>
      </c>
      <c r="D216" s="8">
        <v>156.0</v>
      </c>
      <c r="E216" s="8">
        <v>112.0</v>
      </c>
      <c r="F216" s="8">
        <v>4.0</v>
      </c>
      <c r="G216" s="8">
        <v>1333.0</v>
      </c>
      <c r="H216" s="8">
        <v>985503.0</v>
      </c>
      <c r="I216" s="8">
        <v>380.0</v>
      </c>
      <c r="J216" s="8">
        <v>107.0</v>
      </c>
      <c r="K216" s="8">
        <v>273.0</v>
      </c>
      <c r="L216" s="8">
        <v>209741.0</v>
      </c>
    </row>
    <row r="217" ht="15.75" customHeight="1">
      <c r="A217" s="7">
        <v>45904.0</v>
      </c>
      <c r="B217" s="4" t="s">
        <v>75</v>
      </c>
      <c r="C217" s="8">
        <v>1922.0</v>
      </c>
      <c r="D217" s="8">
        <v>169.0</v>
      </c>
      <c r="E217" s="8">
        <v>122.0</v>
      </c>
      <c r="F217" s="8">
        <v>12.0</v>
      </c>
      <c r="G217" s="8">
        <v>1631.0</v>
      </c>
      <c r="H217" s="8">
        <v>987134.0</v>
      </c>
      <c r="I217" s="8">
        <v>381.0</v>
      </c>
      <c r="J217" s="8">
        <v>56.0</v>
      </c>
      <c r="K217" s="8">
        <v>325.0</v>
      </c>
      <c r="L217" s="8">
        <v>210066.0</v>
      </c>
    </row>
    <row r="218" ht="15.75" customHeight="1">
      <c r="A218" s="7">
        <v>45905.0</v>
      </c>
      <c r="B218" s="4" t="s">
        <v>135</v>
      </c>
      <c r="C218" s="8">
        <v>910.0</v>
      </c>
      <c r="D218" s="8">
        <v>275.0</v>
      </c>
      <c r="E218" s="8">
        <v>81.0</v>
      </c>
      <c r="F218" s="8">
        <v>9.0</v>
      </c>
      <c r="G218" s="8">
        <v>554.0</v>
      </c>
      <c r="H218" s="8">
        <v>987688.0</v>
      </c>
      <c r="I218" s="8">
        <v>615.0</v>
      </c>
      <c r="J218" s="8">
        <v>98.0</v>
      </c>
      <c r="K218" s="8">
        <v>517.0</v>
      </c>
      <c r="L218" s="8">
        <v>210583.0</v>
      </c>
    </row>
    <row r="219" ht="15.75" customHeight="1">
      <c r="A219" s="7">
        <v>45906.0</v>
      </c>
      <c r="B219" s="4" t="s">
        <v>105</v>
      </c>
      <c r="C219" s="8">
        <v>1605.0</v>
      </c>
      <c r="D219" s="8">
        <v>227.0</v>
      </c>
      <c r="E219" s="8">
        <v>90.0</v>
      </c>
      <c r="F219" s="8">
        <v>11.0</v>
      </c>
      <c r="G219" s="8">
        <v>1288.0</v>
      </c>
      <c r="H219" s="8">
        <v>988976.0</v>
      </c>
      <c r="I219" s="8">
        <v>292.0</v>
      </c>
      <c r="J219" s="8">
        <v>67.0</v>
      </c>
      <c r="K219" s="8">
        <v>225.0</v>
      </c>
      <c r="L219" s="8">
        <v>210808.0</v>
      </c>
    </row>
    <row r="220" ht="15.75" customHeight="1">
      <c r="A220" s="7">
        <v>45907.0</v>
      </c>
      <c r="B220" s="4" t="s">
        <v>59</v>
      </c>
      <c r="C220" s="8">
        <v>2274.0</v>
      </c>
      <c r="D220" s="8">
        <v>195.0</v>
      </c>
      <c r="E220" s="8">
        <v>149.0</v>
      </c>
      <c r="F220" s="8">
        <v>10.0</v>
      </c>
      <c r="G220" s="8">
        <v>1930.0</v>
      </c>
      <c r="H220" s="8">
        <v>990906.0</v>
      </c>
      <c r="I220" s="8">
        <v>266.0</v>
      </c>
      <c r="J220" s="8">
        <v>88.0</v>
      </c>
      <c r="K220" s="8">
        <v>178.0</v>
      </c>
      <c r="L220" s="8">
        <v>210986.0</v>
      </c>
    </row>
    <row r="221" ht="15.75" customHeight="1">
      <c r="A221" s="7">
        <v>45908.0</v>
      </c>
      <c r="B221" s="4" t="s">
        <v>98</v>
      </c>
      <c r="C221" s="8">
        <v>996.0</v>
      </c>
      <c r="D221" s="8">
        <v>362.0</v>
      </c>
      <c r="E221" s="8">
        <v>53.0</v>
      </c>
      <c r="F221" s="8">
        <v>1.0</v>
      </c>
      <c r="G221" s="8">
        <v>581.0</v>
      </c>
      <c r="H221" s="8">
        <v>991487.0</v>
      </c>
      <c r="I221" s="8">
        <v>362.0</v>
      </c>
      <c r="J221" s="8">
        <v>62.0</v>
      </c>
      <c r="K221" s="8">
        <v>300.0</v>
      </c>
      <c r="L221" s="8">
        <v>211286.0</v>
      </c>
    </row>
    <row r="222" ht="15.75" customHeight="1">
      <c r="A222" s="7">
        <v>45909.0</v>
      </c>
      <c r="B222" s="4" t="s">
        <v>91</v>
      </c>
      <c r="C222" s="8">
        <v>2015.0</v>
      </c>
      <c r="D222" s="8">
        <v>196.0</v>
      </c>
      <c r="E222" s="8">
        <v>143.0</v>
      </c>
      <c r="F222" s="8">
        <v>3.0</v>
      </c>
      <c r="G222" s="8">
        <v>1676.0</v>
      </c>
      <c r="H222" s="8">
        <v>993163.0</v>
      </c>
      <c r="I222" s="8">
        <v>402.0</v>
      </c>
      <c r="J222" s="8">
        <v>120.0</v>
      </c>
      <c r="K222" s="8">
        <v>282.0</v>
      </c>
      <c r="L222" s="8">
        <v>211568.0</v>
      </c>
    </row>
    <row r="223" ht="15.75" customHeight="1">
      <c r="A223" s="7">
        <v>45910.0</v>
      </c>
      <c r="B223" s="4" t="s">
        <v>82</v>
      </c>
      <c r="C223" s="8">
        <v>1800.0</v>
      </c>
      <c r="D223" s="8">
        <v>208.0</v>
      </c>
      <c r="E223" s="8">
        <v>136.0</v>
      </c>
      <c r="F223" s="8">
        <v>12.0</v>
      </c>
      <c r="G223" s="8">
        <v>1456.0</v>
      </c>
      <c r="H223" s="8">
        <v>994619.0</v>
      </c>
      <c r="I223" s="8">
        <v>334.0</v>
      </c>
      <c r="J223" s="8">
        <v>123.0</v>
      </c>
      <c r="K223" s="8">
        <v>211.0</v>
      </c>
      <c r="L223" s="8">
        <v>211779.0</v>
      </c>
    </row>
    <row r="224" ht="15.75" customHeight="1">
      <c r="A224" s="7">
        <v>45911.0</v>
      </c>
      <c r="B224" s="4" t="s">
        <v>75</v>
      </c>
      <c r="C224" s="8">
        <v>2148.0</v>
      </c>
      <c r="D224" s="8">
        <v>357.0</v>
      </c>
      <c r="E224" s="8">
        <v>137.0</v>
      </c>
      <c r="F224" s="8">
        <v>4.0</v>
      </c>
      <c r="G224" s="8">
        <v>1654.0</v>
      </c>
      <c r="H224" s="8">
        <v>996273.0</v>
      </c>
      <c r="I224" s="8">
        <v>225.0</v>
      </c>
      <c r="J224" s="8">
        <v>123.0</v>
      </c>
      <c r="K224" s="8">
        <v>102.0</v>
      </c>
      <c r="L224" s="8">
        <v>211881.0</v>
      </c>
    </row>
    <row r="225" ht="15.75" customHeight="1">
      <c r="A225" s="7">
        <v>45912.0</v>
      </c>
      <c r="B225" s="4" t="s">
        <v>135</v>
      </c>
      <c r="C225" s="8">
        <v>823.0</v>
      </c>
      <c r="D225" s="8">
        <v>179.0</v>
      </c>
      <c r="E225" s="8">
        <v>71.0</v>
      </c>
      <c r="F225" s="8">
        <v>7.0</v>
      </c>
      <c r="G225" s="8">
        <v>573.0</v>
      </c>
      <c r="H225" s="8">
        <v>996846.0</v>
      </c>
      <c r="I225" s="8">
        <v>241.0</v>
      </c>
      <c r="J225" s="8">
        <v>50.0</v>
      </c>
      <c r="K225" s="8">
        <v>191.0</v>
      </c>
      <c r="L225" s="8">
        <v>212072.0</v>
      </c>
    </row>
    <row r="226" ht="15.75" customHeight="1">
      <c r="A226" s="7">
        <v>45913.0</v>
      </c>
      <c r="B226" s="4" t="s">
        <v>105</v>
      </c>
      <c r="C226" s="8">
        <v>1449.0</v>
      </c>
      <c r="D226" s="8">
        <v>365.0</v>
      </c>
      <c r="E226" s="8">
        <v>64.0</v>
      </c>
      <c r="F226" s="8">
        <v>12.0</v>
      </c>
      <c r="G226" s="8">
        <v>1020.0</v>
      </c>
      <c r="H226" s="8">
        <v>997866.0</v>
      </c>
      <c r="I226" s="8">
        <v>219.0</v>
      </c>
      <c r="J226" s="8">
        <v>75.0</v>
      </c>
      <c r="K226" s="8">
        <v>144.0</v>
      </c>
      <c r="L226" s="8">
        <v>212216.0</v>
      </c>
    </row>
    <row r="227" ht="15.75" customHeight="1">
      <c r="A227" s="7">
        <v>45914.0</v>
      </c>
      <c r="B227" s="4" t="s">
        <v>59</v>
      </c>
      <c r="C227" s="8">
        <v>2438.0</v>
      </c>
      <c r="D227" s="8">
        <v>342.0</v>
      </c>
      <c r="E227" s="8">
        <v>72.0</v>
      </c>
      <c r="F227" s="8">
        <v>1.0</v>
      </c>
      <c r="G227" s="8">
        <v>2024.0</v>
      </c>
      <c r="H227" s="8">
        <v>999890.0</v>
      </c>
      <c r="I227" s="8">
        <v>619.0</v>
      </c>
      <c r="J227" s="8">
        <v>78.0</v>
      </c>
      <c r="K227" s="8">
        <v>541.0</v>
      </c>
      <c r="L227" s="8">
        <v>212757.0</v>
      </c>
    </row>
    <row r="228" ht="15.75" customHeight="1">
      <c r="A228" s="7">
        <v>45915.0</v>
      </c>
      <c r="B228" s="4" t="s">
        <v>98</v>
      </c>
      <c r="C228" s="8">
        <v>1900.0</v>
      </c>
      <c r="D228" s="8">
        <v>327.0</v>
      </c>
      <c r="E228" s="8">
        <v>45.0</v>
      </c>
      <c r="F228" s="8">
        <v>6.0</v>
      </c>
      <c r="G228" s="8">
        <v>1528.0</v>
      </c>
      <c r="H228" s="8">
        <v>1001418.0</v>
      </c>
      <c r="I228" s="8">
        <v>274.0</v>
      </c>
      <c r="J228" s="8">
        <v>129.0</v>
      </c>
      <c r="K228" s="8">
        <v>145.0</v>
      </c>
      <c r="L228" s="8">
        <v>212902.0</v>
      </c>
    </row>
    <row r="229" ht="15.75" customHeight="1">
      <c r="A229" s="7">
        <v>45916.0</v>
      </c>
      <c r="B229" s="4" t="s">
        <v>91</v>
      </c>
      <c r="C229" s="8">
        <v>1885.0</v>
      </c>
      <c r="D229" s="8">
        <v>152.0</v>
      </c>
      <c r="E229" s="8">
        <v>177.0</v>
      </c>
      <c r="F229" s="8">
        <v>11.0</v>
      </c>
      <c r="G229" s="8">
        <v>1556.0</v>
      </c>
      <c r="H229" s="8">
        <v>1002974.0</v>
      </c>
      <c r="I229" s="8">
        <v>430.0</v>
      </c>
      <c r="J229" s="8">
        <v>106.0</v>
      </c>
      <c r="K229" s="8">
        <v>324.0</v>
      </c>
      <c r="L229" s="8">
        <v>213226.0</v>
      </c>
    </row>
    <row r="230" ht="15.75" customHeight="1">
      <c r="A230" s="7">
        <v>45917.0</v>
      </c>
      <c r="B230" s="4" t="s">
        <v>82</v>
      </c>
      <c r="C230" s="8">
        <v>2343.0</v>
      </c>
      <c r="D230" s="8">
        <v>226.0</v>
      </c>
      <c r="E230" s="8">
        <v>70.0</v>
      </c>
      <c r="F230" s="8">
        <v>2.0</v>
      </c>
      <c r="G230" s="8">
        <v>2047.0</v>
      </c>
      <c r="H230" s="8">
        <v>1005021.0</v>
      </c>
      <c r="I230" s="8">
        <v>565.0</v>
      </c>
      <c r="J230" s="8">
        <v>124.0</v>
      </c>
      <c r="K230" s="8">
        <v>441.0</v>
      </c>
      <c r="L230" s="8">
        <v>213667.0</v>
      </c>
    </row>
    <row r="231" ht="15.75" customHeight="1">
      <c r="A231" s="7">
        <v>45918.0</v>
      </c>
      <c r="B231" s="4" t="s">
        <v>75</v>
      </c>
      <c r="C231" s="8">
        <v>810.0</v>
      </c>
      <c r="D231" s="8">
        <v>348.0</v>
      </c>
      <c r="E231" s="8">
        <v>71.0</v>
      </c>
      <c r="F231" s="8">
        <v>0.0</v>
      </c>
      <c r="G231" s="8">
        <v>391.0</v>
      </c>
      <c r="H231" s="8">
        <v>1005412.0</v>
      </c>
      <c r="I231" s="8">
        <v>464.0</v>
      </c>
      <c r="J231" s="8">
        <v>80.0</v>
      </c>
      <c r="K231" s="8">
        <v>384.0</v>
      </c>
      <c r="L231" s="8">
        <v>214051.0</v>
      </c>
    </row>
    <row r="232" ht="15.75" customHeight="1">
      <c r="A232" s="7">
        <v>45919.0</v>
      </c>
      <c r="B232" s="4" t="s">
        <v>135</v>
      </c>
      <c r="C232" s="8">
        <v>1130.0</v>
      </c>
      <c r="D232" s="8">
        <v>251.0</v>
      </c>
      <c r="E232" s="8">
        <v>48.0</v>
      </c>
      <c r="F232" s="8">
        <v>1.0</v>
      </c>
      <c r="G232" s="8">
        <v>831.0</v>
      </c>
      <c r="H232" s="8">
        <v>1006243.0</v>
      </c>
      <c r="I232" s="8">
        <v>224.0</v>
      </c>
      <c r="J232" s="8">
        <v>136.0</v>
      </c>
      <c r="K232" s="8">
        <v>88.0</v>
      </c>
      <c r="L232" s="8">
        <v>214139.0</v>
      </c>
    </row>
    <row r="233" ht="15.75" customHeight="1">
      <c r="A233" s="7">
        <v>45920.0</v>
      </c>
      <c r="B233" s="4" t="s">
        <v>105</v>
      </c>
      <c r="C233" s="8">
        <v>1775.0</v>
      </c>
      <c r="D233" s="8">
        <v>207.0</v>
      </c>
      <c r="E233" s="8">
        <v>40.0</v>
      </c>
      <c r="F233" s="8">
        <v>3.0</v>
      </c>
      <c r="G233" s="8">
        <v>1528.0</v>
      </c>
      <c r="H233" s="8">
        <v>1007771.0</v>
      </c>
      <c r="I233" s="8">
        <v>526.0</v>
      </c>
      <c r="J233" s="8">
        <v>94.0</v>
      </c>
      <c r="K233" s="8">
        <v>432.0</v>
      </c>
      <c r="L233" s="8">
        <v>214571.0</v>
      </c>
    </row>
    <row r="234" ht="15.75" customHeight="1">
      <c r="A234" s="7">
        <v>45921.0</v>
      </c>
      <c r="B234" s="4" t="s">
        <v>59</v>
      </c>
      <c r="C234" s="8">
        <v>2142.0</v>
      </c>
      <c r="D234" s="8">
        <v>270.0</v>
      </c>
      <c r="E234" s="8">
        <v>176.0</v>
      </c>
      <c r="F234" s="8">
        <v>7.0</v>
      </c>
      <c r="G234" s="8">
        <v>1696.0</v>
      </c>
      <c r="H234" s="8">
        <v>1009467.0</v>
      </c>
      <c r="I234" s="8">
        <v>667.0</v>
      </c>
      <c r="J234" s="8">
        <v>124.0</v>
      </c>
      <c r="K234" s="8">
        <v>543.0</v>
      </c>
      <c r="L234" s="8">
        <v>215114.0</v>
      </c>
    </row>
    <row r="235" ht="15.75" customHeight="1">
      <c r="A235" s="7">
        <v>45922.0</v>
      </c>
      <c r="B235" s="4" t="s">
        <v>98</v>
      </c>
      <c r="C235" s="8">
        <v>1440.0</v>
      </c>
      <c r="D235" s="8">
        <v>300.0</v>
      </c>
      <c r="E235" s="8">
        <v>177.0</v>
      </c>
      <c r="F235" s="8">
        <v>8.0</v>
      </c>
      <c r="G235" s="8">
        <v>963.0</v>
      </c>
      <c r="H235" s="8">
        <v>1010430.0</v>
      </c>
      <c r="I235" s="8">
        <v>447.0</v>
      </c>
      <c r="J235" s="8">
        <v>117.0</v>
      </c>
      <c r="K235" s="8">
        <v>330.0</v>
      </c>
      <c r="L235" s="8">
        <v>215444.0</v>
      </c>
    </row>
    <row r="236" ht="15.75" customHeight="1">
      <c r="A236" s="7">
        <v>45923.0</v>
      </c>
      <c r="B236" s="4" t="s">
        <v>91</v>
      </c>
      <c r="C236" s="8">
        <v>891.0</v>
      </c>
      <c r="D236" s="8">
        <v>138.0</v>
      </c>
      <c r="E236" s="8">
        <v>76.0</v>
      </c>
      <c r="F236" s="8">
        <v>4.0</v>
      </c>
      <c r="G236" s="8">
        <v>677.0</v>
      </c>
      <c r="H236" s="8">
        <v>1011107.0</v>
      </c>
      <c r="I236" s="8">
        <v>301.0</v>
      </c>
      <c r="J236" s="8">
        <v>64.0</v>
      </c>
      <c r="K236" s="8">
        <v>237.0</v>
      </c>
      <c r="L236" s="8">
        <v>215681.0</v>
      </c>
    </row>
    <row r="237" ht="15.75" customHeight="1">
      <c r="A237" s="7">
        <v>45924.0</v>
      </c>
      <c r="B237" s="4" t="s">
        <v>82</v>
      </c>
      <c r="C237" s="8">
        <v>1074.0</v>
      </c>
      <c r="D237" s="8">
        <v>230.0</v>
      </c>
      <c r="E237" s="8">
        <v>131.0</v>
      </c>
      <c r="F237" s="8">
        <v>4.0</v>
      </c>
      <c r="G237" s="8">
        <v>713.0</v>
      </c>
      <c r="H237" s="8">
        <v>1011820.0</v>
      </c>
      <c r="I237" s="8">
        <v>488.0</v>
      </c>
      <c r="J237" s="8">
        <v>115.0</v>
      </c>
      <c r="K237" s="8">
        <v>373.0</v>
      </c>
      <c r="L237" s="8">
        <v>216054.0</v>
      </c>
    </row>
    <row r="238" ht="15.75" customHeight="1">
      <c r="A238" s="7">
        <v>45925.0</v>
      </c>
      <c r="B238" s="4" t="s">
        <v>75</v>
      </c>
      <c r="C238" s="8">
        <v>952.0</v>
      </c>
      <c r="D238" s="8">
        <v>250.0</v>
      </c>
      <c r="E238" s="8">
        <v>137.0</v>
      </c>
      <c r="F238" s="8">
        <v>10.0</v>
      </c>
      <c r="G238" s="8">
        <v>565.0</v>
      </c>
      <c r="H238" s="8">
        <v>1012385.0</v>
      </c>
      <c r="I238" s="8">
        <v>461.0</v>
      </c>
      <c r="J238" s="8">
        <v>73.0</v>
      </c>
      <c r="K238" s="8">
        <v>388.0</v>
      </c>
      <c r="L238" s="8">
        <v>216442.0</v>
      </c>
    </row>
    <row r="239" ht="15.75" customHeight="1">
      <c r="A239" s="7">
        <v>45926.0</v>
      </c>
      <c r="B239" s="4" t="s">
        <v>135</v>
      </c>
      <c r="C239" s="8">
        <v>970.0</v>
      </c>
      <c r="D239" s="8">
        <v>337.0</v>
      </c>
      <c r="E239" s="8">
        <v>76.0</v>
      </c>
      <c r="F239" s="8">
        <v>8.0</v>
      </c>
      <c r="G239" s="8">
        <v>557.0</v>
      </c>
      <c r="H239" s="8">
        <v>1012942.0</v>
      </c>
      <c r="I239" s="8">
        <v>310.0</v>
      </c>
      <c r="J239" s="8">
        <v>128.0</v>
      </c>
      <c r="K239" s="8">
        <v>182.0</v>
      </c>
      <c r="L239" s="8">
        <v>216624.0</v>
      </c>
    </row>
    <row r="240" ht="15.75" customHeight="1">
      <c r="A240" s="7">
        <v>45927.0</v>
      </c>
      <c r="B240" s="4" t="s">
        <v>105</v>
      </c>
      <c r="C240" s="8">
        <v>1553.0</v>
      </c>
      <c r="D240" s="8">
        <v>218.0</v>
      </c>
      <c r="E240" s="8">
        <v>135.0</v>
      </c>
      <c r="F240" s="8">
        <v>9.0</v>
      </c>
      <c r="G240" s="8">
        <v>1200.0</v>
      </c>
      <c r="H240" s="8">
        <v>1014142.0</v>
      </c>
      <c r="I240" s="8">
        <v>579.0</v>
      </c>
      <c r="J240" s="8">
        <v>131.0</v>
      </c>
      <c r="K240" s="8">
        <v>448.0</v>
      </c>
      <c r="L240" s="8">
        <v>217072.0</v>
      </c>
    </row>
    <row r="241" ht="15.75" customHeight="1">
      <c r="A241" s="7">
        <v>45928.0</v>
      </c>
      <c r="B241" s="4" t="s">
        <v>59</v>
      </c>
      <c r="C241" s="8">
        <v>2343.0</v>
      </c>
      <c r="D241" s="8">
        <v>334.0</v>
      </c>
      <c r="E241" s="8">
        <v>120.0</v>
      </c>
      <c r="F241" s="8">
        <v>12.0</v>
      </c>
      <c r="G241" s="8">
        <v>1889.0</v>
      </c>
      <c r="H241" s="8">
        <v>1016031.0</v>
      </c>
      <c r="I241" s="8">
        <v>302.0</v>
      </c>
      <c r="J241" s="8">
        <v>59.0</v>
      </c>
      <c r="K241" s="8">
        <v>243.0</v>
      </c>
      <c r="L241" s="8">
        <v>217315.0</v>
      </c>
    </row>
    <row r="242" ht="15.75" customHeight="1">
      <c r="A242" s="7">
        <v>45929.0</v>
      </c>
      <c r="B242" s="4" t="s">
        <v>98</v>
      </c>
      <c r="C242" s="8">
        <v>2036.0</v>
      </c>
      <c r="D242" s="8">
        <v>159.0</v>
      </c>
      <c r="E242" s="8">
        <v>71.0</v>
      </c>
      <c r="F242" s="8">
        <v>8.0</v>
      </c>
      <c r="G242" s="8">
        <v>1806.0</v>
      </c>
      <c r="H242" s="8">
        <v>1017837.0</v>
      </c>
      <c r="I242" s="8">
        <v>306.0</v>
      </c>
      <c r="J242" s="8">
        <v>74.0</v>
      </c>
      <c r="K242" s="8">
        <v>232.0</v>
      </c>
      <c r="L242" s="8">
        <v>217547.0</v>
      </c>
    </row>
    <row r="243" ht="15.75" customHeight="1">
      <c r="A243" s="7">
        <v>45930.0</v>
      </c>
      <c r="B243" s="4" t="s">
        <v>91</v>
      </c>
      <c r="C243" s="8">
        <v>935.0</v>
      </c>
      <c r="D243" s="8">
        <v>165.0</v>
      </c>
      <c r="E243" s="8">
        <v>125.0</v>
      </c>
      <c r="F243" s="8">
        <v>12.0</v>
      </c>
      <c r="G243" s="8">
        <v>645.0</v>
      </c>
      <c r="H243" s="8">
        <v>1018482.0</v>
      </c>
      <c r="I243" s="8">
        <v>348.0</v>
      </c>
      <c r="J243" s="8">
        <v>86.0</v>
      </c>
      <c r="K243" s="8">
        <v>262.0</v>
      </c>
      <c r="L243" s="8">
        <v>217809.0</v>
      </c>
    </row>
    <row r="244" ht="15.75" customHeight="1">
      <c r="A244" s="7">
        <v>45931.0</v>
      </c>
      <c r="B244" s="4" t="s">
        <v>82</v>
      </c>
      <c r="C244" s="8">
        <v>1388.0</v>
      </c>
      <c r="D244" s="8">
        <v>125.0</v>
      </c>
      <c r="E244" s="8">
        <v>136.0</v>
      </c>
      <c r="F244" s="8">
        <v>3.0</v>
      </c>
      <c r="G244" s="8">
        <v>1127.0</v>
      </c>
      <c r="H244" s="8">
        <v>1019609.0</v>
      </c>
      <c r="I244" s="8">
        <v>352.0</v>
      </c>
      <c r="J244" s="8">
        <v>52.0</v>
      </c>
      <c r="K244" s="8">
        <v>300.0</v>
      </c>
      <c r="L244" s="8">
        <v>218109.0</v>
      </c>
    </row>
    <row r="245" ht="15.75" customHeight="1">
      <c r="A245" s="7">
        <v>45932.0</v>
      </c>
      <c r="B245" s="4" t="s">
        <v>75</v>
      </c>
      <c r="C245" s="8">
        <v>1157.0</v>
      </c>
      <c r="D245" s="8">
        <v>276.0</v>
      </c>
      <c r="E245" s="8">
        <v>165.0</v>
      </c>
      <c r="F245" s="8">
        <v>1.0</v>
      </c>
      <c r="G245" s="8">
        <v>716.0</v>
      </c>
      <c r="H245" s="8">
        <v>1020325.0</v>
      </c>
      <c r="I245" s="8">
        <v>295.0</v>
      </c>
      <c r="J245" s="8">
        <v>115.0</v>
      </c>
      <c r="K245" s="8">
        <v>180.0</v>
      </c>
      <c r="L245" s="8">
        <v>218289.0</v>
      </c>
    </row>
    <row r="246" ht="15.75" customHeight="1">
      <c r="A246" s="7">
        <v>45933.0</v>
      </c>
      <c r="B246" s="4" t="s">
        <v>135</v>
      </c>
      <c r="C246" s="8">
        <v>1514.0</v>
      </c>
      <c r="D246" s="8">
        <v>258.0</v>
      </c>
      <c r="E246" s="8">
        <v>65.0</v>
      </c>
      <c r="F246" s="8">
        <v>0.0</v>
      </c>
      <c r="G246" s="8">
        <v>1191.0</v>
      </c>
      <c r="H246" s="8">
        <v>1021516.0</v>
      </c>
      <c r="I246" s="8">
        <v>508.0</v>
      </c>
      <c r="J246" s="8">
        <v>117.0</v>
      </c>
      <c r="K246" s="8">
        <v>391.0</v>
      </c>
      <c r="L246" s="8">
        <v>218680.0</v>
      </c>
    </row>
    <row r="247" ht="15.75" customHeight="1">
      <c r="A247" s="7">
        <v>45934.0</v>
      </c>
      <c r="B247" s="4" t="s">
        <v>105</v>
      </c>
      <c r="C247" s="8">
        <v>2020.0</v>
      </c>
      <c r="D247" s="8">
        <v>296.0</v>
      </c>
      <c r="E247" s="8">
        <v>176.0</v>
      </c>
      <c r="F247" s="8">
        <v>8.0</v>
      </c>
      <c r="G247" s="8">
        <v>1548.0</v>
      </c>
      <c r="H247" s="8">
        <v>1023064.0</v>
      </c>
      <c r="I247" s="8">
        <v>344.0</v>
      </c>
      <c r="J247" s="8">
        <v>134.0</v>
      </c>
      <c r="K247" s="8">
        <v>210.0</v>
      </c>
      <c r="L247" s="8">
        <v>218890.0</v>
      </c>
    </row>
    <row r="248" ht="15.75" customHeight="1">
      <c r="A248" s="7">
        <v>45935.0</v>
      </c>
      <c r="B248" s="4" t="s">
        <v>59</v>
      </c>
      <c r="C248" s="8">
        <v>2246.0</v>
      </c>
      <c r="D248" s="8">
        <v>185.0</v>
      </c>
      <c r="E248" s="8">
        <v>42.0</v>
      </c>
      <c r="F248" s="8">
        <v>10.0</v>
      </c>
      <c r="G248" s="8">
        <v>2019.0</v>
      </c>
      <c r="H248" s="8">
        <v>1025083.0</v>
      </c>
      <c r="I248" s="8">
        <v>610.0</v>
      </c>
      <c r="J248" s="8">
        <v>73.0</v>
      </c>
      <c r="K248" s="8">
        <v>537.0</v>
      </c>
      <c r="L248" s="8">
        <v>219427.0</v>
      </c>
    </row>
    <row r="249" ht="15.75" customHeight="1">
      <c r="A249" s="7">
        <v>45936.0</v>
      </c>
      <c r="B249" s="4" t="s">
        <v>98</v>
      </c>
      <c r="C249" s="8">
        <v>1163.0</v>
      </c>
      <c r="D249" s="8">
        <v>313.0</v>
      </c>
      <c r="E249" s="8">
        <v>108.0</v>
      </c>
      <c r="F249" s="8">
        <v>0.0</v>
      </c>
      <c r="G249" s="8">
        <v>742.0</v>
      </c>
      <c r="H249" s="8">
        <v>1025825.0</v>
      </c>
      <c r="I249" s="8">
        <v>278.0</v>
      </c>
      <c r="J249" s="8">
        <v>112.0</v>
      </c>
      <c r="K249" s="8">
        <v>166.0</v>
      </c>
      <c r="L249" s="8">
        <v>219593.0</v>
      </c>
    </row>
    <row r="250" ht="15.75" customHeight="1">
      <c r="A250" s="7">
        <v>45937.0</v>
      </c>
      <c r="B250" s="4" t="s">
        <v>91</v>
      </c>
      <c r="C250" s="8">
        <v>1713.0</v>
      </c>
      <c r="D250" s="8">
        <v>247.0</v>
      </c>
      <c r="E250" s="8">
        <v>147.0</v>
      </c>
      <c r="F250" s="8">
        <v>11.0</v>
      </c>
      <c r="G250" s="8">
        <v>1319.0</v>
      </c>
      <c r="H250" s="8">
        <v>1027144.0</v>
      </c>
      <c r="I250" s="8">
        <v>596.0</v>
      </c>
      <c r="J250" s="8">
        <v>126.0</v>
      </c>
      <c r="K250" s="8">
        <v>470.0</v>
      </c>
      <c r="L250" s="8">
        <v>220063.0</v>
      </c>
    </row>
    <row r="251" ht="15.75" customHeight="1">
      <c r="A251" s="7">
        <v>45938.0</v>
      </c>
      <c r="B251" s="4" t="s">
        <v>82</v>
      </c>
      <c r="C251" s="8">
        <v>1676.0</v>
      </c>
      <c r="D251" s="8">
        <v>359.0</v>
      </c>
      <c r="E251" s="8">
        <v>113.0</v>
      </c>
      <c r="F251" s="8">
        <v>4.0</v>
      </c>
      <c r="G251" s="8">
        <v>1204.0</v>
      </c>
      <c r="H251" s="8">
        <v>1028348.0</v>
      </c>
      <c r="I251" s="8">
        <v>646.0</v>
      </c>
      <c r="J251" s="8">
        <v>104.0</v>
      </c>
      <c r="K251" s="8">
        <v>542.0</v>
      </c>
      <c r="L251" s="8">
        <v>220605.0</v>
      </c>
    </row>
    <row r="252" ht="15.75" customHeight="1">
      <c r="A252" s="7">
        <v>45939.0</v>
      </c>
      <c r="B252" s="4" t="s">
        <v>75</v>
      </c>
      <c r="C252" s="8">
        <v>2498.0</v>
      </c>
      <c r="D252" s="8">
        <v>237.0</v>
      </c>
      <c r="E252" s="8">
        <v>62.0</v>
      </c>
      <c r="F252" s="8">
        <v>4.0</v>
      </c>
      <c r="G252" s="8">
        <v>2199.0</v>
      </c>
      <c r="H252" s="8">
        <v>1030547.0</v>
      </c>
      <c r="I252" s="8">
        <v>655.0</v>
      </c>
      <c r="J252" s="8">
        <v>79.0</v>
      </c>
      <c r="K252" s="8">
        <v>576.0</v>
      </c>
      <c r="L252" s="8">
        <v>221181.0</v>
      </c>
    </row>
    <row r="253" ht="15.75" customHeight="1">
      <c r="A253" s="7">
        <v>45940.0</v>
      </c>
      <c r="B253" s="4" t="s">
        <v>135</v>
      </c>
      <c r="C253" s="8">
        <v>1082.0</v>
      </c>
      <c r="D253" s="8">
        <v>160.0</v>
      </c>
      <c r="E253" s="8">
        <v>101.0</v>
      </c>
      <c r="F253" s="8">
        <v>1.0</v>
      </c>
      <c r="G253" s="8">
        <v>821.0</v>
      </c>
      <c r="H253" s="8">
        <v>1031368.0</v>
      </c>
      <c r="I253" s="8">
        <v>554.0</v>
      </c>
      <c r="J253" s="8">
        <v>49.0</v>
      </c>
      <c r="K253" s="8">
        <v>505.0</v>
      </c>
      <c r="L253" s="8">
        <v>221686.0</v>
      </c>
    </row>
    <row r="254" ht="15.75" customHeight="1">
      <c r="A254" s="7">
        <v>45941.0</v>
      </c>
      <c r="B254" s="4" t="s">
        <v>105</v>
      </c>
      <c r="C254" s="8">
        <v>2937.0</v>
      </c>
      <c r="D254" s="8">
        <v>372.0</v>
      </c>
      <c r="E254" s="8">
        <v>148.0</v>
      </c>
      <c r="F254" s="8">
        <v>10.0</v>
      </c>
      <c r="G254" s="8">
        <v>2417.0</v>
      </c>
      <c r="H254" s="8">
        <v>1033785.0</v>
      </c>
      <c r="I254" s="8">
        <v>412.0</v>
      </c>
      <c r="J254" s="8">
        <v>41.0</v>
      </c>
      <c r="K254" s="8">
        <v>371.0</v>
      </c>
      <c r="L254" s="8">
        <v>222057.0</v>
      </c>
    </row>
    <row r="255" ht="15.75" customHeight="1">
      <c r="A255" s="7">
        <v>45942.0</v>
      </c>
      <c r="B255" s="4" t="s">
        <v>59</v>
      </c>
      <c r="C255" s="8">
        <v>2254.0</v>
      </c>
      <c r="D255" s="8">
        <v>183.0</v>
      </c>
      <c r="E255" s="8">
        <v>43.0</v>
      </c>
      <c r="F255" s="8">
        <v>9.0</v>
      </c>
      <c r="G255" s="8">
        <v>2028.0</v>
      </c>
      <c r="H255" s="8">
        <v>1035813.0</v>
      </c>
      <c r="I255" s="8">
        <v>549.0</v>
      </c>
      <c r="J255" s="8">
        <v>91.0</v>
      </c>
      <c r="K255" s="8">
        <v>458.0</v>
      </c>
      <c r="L255" s="8">
        <v>222515.0</v>
      </c>
    </row>
    <row r="256" ht="15.75" customHeight="1">
      <c r="A256" s="7">
        <v>45943.0</v>
      </c>
      <c r="B256" s="4" t="s">
        <v>98</v>
      </c>
      <c r="C256" s="8">
        <v>895.0</v>
      </c>
      <c r="D256" s="8">
        <v>337.0</v>
      </c>
      <c r="E256" s="8">
        <v>176.0</v>
      </c>
      <c r="F256" s="8">
        <v>11.0</v>
      </c>
      <c r="G256" s="8">
        <v>382.0</v>
      </c>
      <c r="H256" s="8">
        <v>1036195.0</v>
      </c>
      <c r="I256" s="8">
        <v>599.0</v>
      </c>
      <c r="J256" s="8">
        <v>129.0</v>
      </c>
      <c r="K256" s="8">
        <v>470.0</v>
      </c>
      <c r="L256" s="8">
        <v>222985.0</v>
      </c>
    </row>
    <row r="257" ht="15.75" customHeight="1">
      <c r="A257" s="7">
        <v>45944.0</v>
      </c>
      <c r="B257" s="4" t="s">
        <v>91</v>
      </c>
      <c r="C257" s="8">
        <v>2369.0</v>
      </c>
      <c r="D257" s="8">
        <v>141.0</v>
      </c>
      <c r="E257" s="8">
        <v>154.0</v>
      </c>
      <c r="F257" s="8">
        <v>2.0</v>
      </c>
      <c r="G257" s="8">
        <v>2074.0</v>
      </c>
      <c r="H257" s="8">
        <v>1038269.0</v>
      </c>
      <c r="I257" s="8">
        <v>661.0</v>
      </c>
      <c r="J257" s="8">
        <v>117.0</v>
      </c>
      <c r="K257" s="8">
        <v>544.0</v>
      </c>
      <c r="L257" s="8">
        <v>223529.0</v>
      </c>
    </row>
    <row r="258" ht="15.75" customHeight="1">
      <c r="A258" s="7">
        <v>45945.0</v>
      </c>
      <c r="B258" s="4" t="s">
        <v>82</v>
      </c>
      <c r="C258" s="8">
        <v>2059.0</v>
      </c>
      <c r="D258" s="8">
        <v>209.0</v>
      </c>
      <c r="E258" s="8">
        <v>133.0</v>
      </c>
      <c r="F258" s="8">
        <v>2.0</v>
      </c>
      <c r="G258" s="8">
        <v>1717.0</v>
      </c>
      <c r="H258" s="8">
        <v>1039986.0</v>
      </c>
      <c r="I258" s="8">
        <v>324.0</v>
      </c>
      <c r="J258" s="8">
        <v>49.0</v>
      </c>
      <c r="K258" s="8">
        <v>275.0</v>
      </c>
      <c r="L258" s="8">
        <v>223804.0</v>
      </c>
    </row>
    <row r="259" ht="15.75" customHeight="1">
      <c r="A259" s="7">
        <v>45946.0</v>
      </c>
      <c r="B259" s="4" t="s">
        <v>75</v>
      </c>
      <c r="C259" s="8">
        <v>1831.0</v>
      </c>
      <c r="D259" s="8">
        <v>314.0</v>
      </c>
      <c r="E259" s="8">
        <v>135.0</v>
      </c>
      <c r="F259" s="8">
        <v>1.0</v>
      </c>
      <c r="G259" s="8">
        <v>1382.0</v>
      </c>
      <c r="H259" s="8">
        <v>1041368.0</v>
      </c>
      <c r="I259" s="8">
        <v>476.0</v>
      </c>
      <c r="J259" s="8">
        <v>61.0</v>
      </c>
      <c r="K259" s="8">
        <v>415.0</v>
      </c>
      <c r="L259" s="8">
        <v>224219.0</v>
      </c>
    </row>
    <row r="260" ht="15.75" customHeight="1">
      <c r="A260" s="7">
        <v>45947.0</v>
      </c>
      <c r="B260" s="4" t="s">
        <v>135</v>
      </c>
      <c r="C260" s="8">
        <v>2094.0</v>
      </c>
      <c r="D260" s="8">
        <v>180.0</v>
      </c>
      <c r="E260" s="8">
        <v>116.0</v>
      </c>
      <c r="F260" s="8">
        <v>7.0</v>
      </c>
      <c r="G260" s="8">
        <v>1798.0</v>
      </c>
      <c r="H260" s="8">
        <v>1043166.0</v>
      </c>
      <c r="I260" s="8">
        <v>676.0</v>
      </c>
      <c r="J260" s="8">
        <v>77.0</v>
      </c>
      <c r="K260" s="8">
        <v>599.0</v>
      </c>
      <c r="L260" s="8">
        <v>224818.0</v>
      </c>
    </row>
    <row r="261" ht="15.75" customHeight="1">
      <c r="A261" s="7">
        <v>45948.0</v>
      </c>
      <c r="B261" s="4" t="s">
        <v>105</v>
      </c>
      <c r="C261" s="8">
        <v>2923.0</v>
      </c>
      <c r="D261" s="8">
        <v>321.0</v>
      </c>
      <c r="E261" s="8">
        <v>118.0</v>
      </c>
      <c r="F261" s="8">
        <v>10.0</v>
      </c>
      <c r="G261" s="8">
        <v>2484.0</v>
      </c>
      <c r="H261" s="8">
        <v>1045650.0</v>
      </c>
      <c r="I261" s="8">
        <v>636.0</v>
      </c>
      <c r="J261" s="8">
        <v>67.0</v>
      </c>
      <c r="K261" s="8">
        <v>569.0</v>
      </c>
      <c r="L261" s="8">
        <v>225387.0</v>
      </c>
    </row>
    <row r="262" ht="15.75" customHeight="1">
      <c r="A262" s="7">
        <v>45949.0</v>
      </c>
      <c r="B262" s="4" t="s">
        <v>59</v>
      </c>
      <c r="C262" s="8">
        <v>2211.0</v>
      </c>
      <c r="D262" s="8">
        <v>369.0</v>
      </c>
      <c r="E262" s="8">
        <v>131.0</v>
      </c>
      <c r="F262" s="8">
        <v>0.0</v>
      </c>
      <c r="G262" s="8">
        <v>1711.0</v>
      </c>
      <c r="H262" s="8">
        <v>1047361.0</v>
      </c>
      <c r="I262" s="8">
        <v>627.0</v>
      </c>
      <c r="J262" s="8">
        <v>47.0</v>
      </c>
      <c r="K262" s="8">
        <v>580.0</v>
      </c>
      <c r="L262" s="8">
        <v>225967.0</v>
      </c>
    </row>
    <row r="263" ht="15.75" customHeight="1">
      <c r="A263" s="7">
        <v>45950.0</v>
      </c>
      <c r="B263" s="4" t="s">
        <v>98</v>
      </c>
      <c r="C263" s="8">
        <v>1676.0</v>
      </c>
      <c r="D263" s="8">
        <v>122.0</v>
      </c>
      <c r="E263" s="8">
        <v>87.0</v>
      </c>
      <c r="F263" s="8">
        <v>6.0</v>
      </c>
      <c r="G263" s="8">
        <v>1467.0</v>
      </c>
      <c r="H263" s="8">
        <v>1048828.0</v>
      </c>
      <c r="I263" s="8">
        <v>257.0</v>
      </c>
      <c r="J263" s="8">
        <v>84.0</v>
      </c>
      <c r="K263" s="8">
        <v>173.0</v>
      </c>
      <c r="L263" s="8">
        <v>226140.0</v>
      </c>
    </row>
    <row r="264" ht="15.75" customHeight="1">
      <c r="A264" s="7">
        <v>45951.0</v>
      </c>
      <c r="B264" s="4" t="s">
        <v>91</v>
      </c>
      <c r="C264" s="8">
        <v>1987.0</v>
      </c>
      <c r="D264" s="8">
        <v>163.0</v>
      </c>
      <c r="E264" s="8">
        <v>171.0</v>
      </c>
      <c r="F264" s="8">
        <v>2.0</v>
      </c>
      <c r="G264" s="8">
        <v>1653.0</v>
      </c>
      <c r="H264" s="8">
        <v>1050481.0</v>
      </c>
      <c r="I264" s="8">
        <v>309.0</v>
      </c>
      <c r="J264" s="8">
        <v>107.0</v>
      </c>
      <c r="K264" s="8">
        <v>202.0</v>
      </c>
      <c r="L264" s="8">
        <v>226342.0</v>
      </c>
    </row>
    <row r="265" ht="15.75" customHeight="1">
      <c r="A265" s="7">
        <v>45952.0</v>
      </c>
      <c r="B265" s="4" t="s">
        <v>82</v>
      </c>
      <c r="C265" s="8">
        <v>895.0</v>
      </c>
      <c r="D265" s="8">
        <v>248.0</v>
      </c>
      <c r="E265" s="8">
        <v>160.0</v>
      </c>
      <c r="F265" s="8">
        <v>6.0</v>
      </c>
      <c r="G265" s="8">
        <v>487.0</v>
      </c>
      <c r="H265" s="8">
        <v>1050968.0</v>
      </c>
      <c r="I265" s="8">
        <v>284.0</v>
      </c>
      <c r="J265" s="8">
        <v>68.0</v>
      </c>
      <c r="K265" s="8">
        <v>216.0</v>
      </c>
      <c r="L265" s="8">
        <v>226558.0</v>
      </c>
    </row>
    <row r="266" ht="15.75" customHeight="1">
      <c r="A266" s="7">
        <v>45953.0</v>
      </c>
      <c r="B266" s="4" t="s">
        <v>75</v>
      </c>
      <c r="C266" s="8">
        <v>1290.0</v>
      </c>
      <c r="D266" s="8">
        <v>257.0</v>
      </c>
      <c r="E266" s="8">
        <v>152.0</v>
      </c>
      <c r="F266" s="8">
        <v>10.0</v>
      </c>
      <c r="G266" s="8">
        <v>881.0</v>
      </c>
      <c r="H266" s="8">
        <v>1051849.0</v>
      </c>
      <c r="I266" s="8">
        <v>499.0</v>
      </c>
      <c r="J266" s="8">
        <v>53.0</v>
      </c>
      <c r="K266" s="8">
        <v>446.0</v>
      </c>
      <c r="L266" s="8">
        <v>227004.0</v>
      </c>
    </row>
    <row r="267" ht="15.75" customHeight="1">
      <c r="A267" s="7">
        <v>45954.0</v>
      </c>
      <c r="B267" s="4" t="s">
        <v>135</v>
      </c>
      <c r="C267" s="8">
        <v>1676.0</v>
      </c>
      <c r="D267" s="8">
        <v>342.0</v>
      </c>
      <c r="E267" s="8">
        <v>131.0</v>
      </c>
      <c r="F267" s="8">
        <v>11.0</v>
      </c>
      <c r="G267" s="8">
        <v>1203.0</v>
      </c>
      <c r="H267" s="8">
        <v>1053052.0</v>
      </c>
      <c r="I267" s="8">
        <v>618.0</v>
      </c>
      <c r="J267" s="8">
        <v>40.0</v>
      </c>
      <c r="K267" s="8">
        <v>578.0</v>
      </c>
      <c r="L267" s="8">
        <v>227582.0</v>
      </c>
    </row>
    <row r="268" ht="15.75" customHeight="1">
      <c r="A268" s="7">
        <v>45955.0</v>
      </c>
      <c r="B268" s="4" t="s">
        <v>105</v>
      </c>
      <c r="C268" s="8">
        <v>1115.0</v>
      </c>
      <c r="D268" s="8">
        <v>322.0</v>
      </c>
      <c r="E268" s="8">
        <v>124.0</v>
      </c>
      <c r="F268" s="8">
        <v>0.0</v>
      </c>
      <c r="G268" s="8">
        <v>669.0</v>
      </c>
      <c r="H268" s="8">
        <v>1053721.0</v>
      </c>
      <c r="I268" s="8">
        <v>313.0</v>
      </c>
      <c r="J268" s="8">
        <v>93.0</v>
      </c>
      <c r="K268" s="8">
        <v>220.0</v>
      </c>
      <c r="L268" s="8">
        <v>227802.0</v>
      </c>
    </row>
    <row r="269" ht="15.75" customHeight="1">
      <c r="A269" s="7">
        <v>45956.0</v>
      </c>
      <c r="B269" s="4" t="s">
        <v>59</v>
      </c>
      <c r="C269" s="8">
        <v>2252.0</v>
      </c>
      <c r="D269" s="8">
        <v>256.0</v>
      </c>
      <c r="E269" s="8">
        <v>147.0</v>
      </c>
      <c r="F269" s="8">
        <v>7.0</v>
      </c>
      <c r="G269" s="8">
        <v>1849.0</v>
      </c>
      <c r="H269" s="8">
        <v>1055570.0</v>
      </c>
      <c r="I269" s="8">
        <v>657.0</v>
      </c>
      <c r="J269" s="8">
        <v>55.0</v>
      </c>
      <c r="K269" s="8">
        <v>602.0</v>
      </c>
      <c r="L269" s="8">
        <v>228404.0</v>
      </c>
    </row>
    <row r="270" ht="15.75" customHeight="1">
      <c r="A270" s="7">
        <v>45957.0</v>
      </c>
      <c r="B270" s="4" t="s">
        <v>98</v>
      </c>
      <c r="C270" s="8">
        <v>2488.0</v>
      </c>
      <c r="D270" s="8">
        <v>286.0</v>
      </c>
      <c r="E270" s="8">
        <v>142.0</v>
      </c>
      <c r="F270" s="8">
        <v>8.0</v>
      </c>
      <c r="G270" s="8">
        <v>2060.0</v>
      </c>
      <c r="H270" s="8">
        <v>1057630.0</v>
      </c>
      <c r="I270" s="8">
        <v>269.0</v>
      </c>
      <c r="J270" s="8">
        <v>136.0</v>
      </c>
      <c r="K270" s="8">
        <v>133.0</v>
      </c>
      <c r="L270" s="8">
        <v>228537.0</v>
      </c>
    </row>
    <row r="271" ht="15.75" customHeight="1">
      <c r="A271" s="7">
        <v>45958.0</v>
      </c>
      <c r="B271" s="4" t="s">
        <v>91</v>
      </c>
      <c r="C271" s="8">
        <v>1755.0</v>
      </c>
      <c r="D271" s="8">
        <v>176.0</v>
      </c>
      <c r="E271" s="8">
        <v>45.0</v>
      </c>
      <c r="F271" s="8">
        <v>2.0</v>
      </c>
      <c r="G271" s="8">
        <v>1534.0</v>
      </c>
      <c r="H271" s="8">
        <v>1059164.0</v>
      </c>
      <c r="I271" s="8">
        <v>271.0</v>
      </c>
      <c r="J271" s="8">
        <v>53.0</v>
      </c>
      <c r="K271" s="8">
        <v>218.0</v>
      </c>
      <c r="L271" s="8">
        <v>228755.0</v>
      </c>
    </row>
    <row r="272" ht="15.75" customHeight="1">
      <c r="A272" s="7">
        <v>45959.0</v>
      </c>
      <c r="B272" s="4" t="s">
        <v>82</v>
      </c>
      <c r="C272" s="8">
        <v>2608.0</v>
      </c>
      <c r="D272" s="8">
        <v>241.0</v>
      </c>
      <c r="E272" s="8">
        <v>127.0</v>
      </c>
      <c r="F272" s="8">
        <v>6.0</v>
      </c>
      <c r="G272" s="8">
        <v>2240.0</v>
      </c>
      <c r="H272" s="8">
        <v>1061404.0</v>
      </c>
      <c r="I272" s="8">
        <v>583.0</v>
      </c>
      <c r="J272" s="8">
        <v>46.0</v>
      </c>
      <c r="K272" s="8">
        <v>537.0</v>
      </c>
      <c r="L272" s="8">
        <v>229292.0</v>
      </c>
    </row>
    <row r="273" ht="15.75" customHeight="1">
      <c r="A273" s="7">
        <v>45960.0</v>
      </c>
      <c r="B273" s="4" t="s">
        <v>75</v>
      </c>
      <c r="C273" s="8">
        <v>1857.0</v>
      </c>
      <c r="D273" s="8">
        <v>268.0</v>
      </c>
      <c r="E273" s="8">
        <v>164.0</v>
      </c>
      <c r="F273" s="8">
        <v>1.0</v>
      </c>
      <c r="G273" s="8">
        <v>1425.0</v>
      </c>
      <c r="H273" s="8">
        <v>1062829.0</v>
      </c>
      <c r="I273" s="8">
        <v>467.0</v>
      </c>
      <c r="J273" s="8">
        <v>76.0</v>
      </c>
      <c r="K273" s="8">
        <v>391.0</v>
      </c>
      <c r="L273" s="8">
        <v>229683.0</v>
      </c>
    </row>
    <row r="274" ht="15.75" customHeight="1">
      <c r="A274" s="7">
        <v>45961.0</v>
      </c>
      <c r="B274" s="4" t="s">
        <v>135</v>
      </c>
      <c r="C274" s="8">
        <v>1223.0</v>
      </c>
      <c r="D274" s="8">
        <v>215.0</v>
      </c>
      <c r="E274" s="8">
        <v>111.0</v>
      </c>
      <c r="F274" s="8">
        <v>12.0</v>
      </c>
      <c r="G274" s="8">
        <v>897.0</v>
      </c>
      <c r="H274" s="8">
        <v>1063726.0</v>
      </c>
      <c r="I274" s="8">
        <v>608.0</v>
      </c>
      <c r="J274" s="8">
        <v>71.0</v>
      </c>
      <c r="K274" s="8">
        <v>537.0</v>
      </c>
      <c r="L274" s="8">
        <v>230220.0</v>
      </c>
    </row>
    <row r="275" ht="15.75" customHeight="1">
      <c r="A275" s="7">
        <v>45962.0</v>
      </c>
      <c r="B275" s="4" t="s">
        <v>105</v>
      </c>
      <c r="C275" s="8">
        <v>3598.0</v>
      </c>
      <c r="D275" s="8">
        <v>339.0</v>
      </c>
      <c r="E275" s="8">
        <v>161.0</v>
      </c>
      <c r="F275" s="8">
        <v>11.0</v>
      </c>
      <c r="G275" s="8">
        <v>3098.0</v>
      </c>
      <c r="H275" s="8">
        <v>1066824.0</v>
      </c>
      <c r="I275" s="8">
        <v>492.0</v>
      </c>
      <c r="J275" s="8">
        <v>65.0</v>
      </c>
      <c r="K275" s="8">
        <v>427.0</v>
      </c>
      <c r="L275" s="8">
        <v>230647.0</v>
      </c>
    </row>
    <row r="276" ht="15.75" customHeight="1">
      <c r="A276" s="7">
        <v>45963.0</v>
      </c>
      <c r="B276" s="4" t="s">
        <v>59</v>
      </c>
      <c r="C276" s="8">
        <v>3694.0</v>
      </c>
      <c r="D276" s="8">
        <v>212.0</v>
      </c>
      <c r="E276" s="8">
        <v>78.0</v>
      </c>
      <c r="F276" s="8">
        <v>3.0</v>
      </c>
      <c r="G276" s="8">
        <v>3404.0</v>
      </c>
      <c r="H276" s="8">
        <v>1070228.0</v>
      </c>
      <c r="I276" s="8">
        <v>703.0</v>
      </c>
      <c r="J276" s="8">
        <v>64.0</v>
      </c>
      <c r="K276" s="8">
        <v>639.0</v>
      </c>
      <c r="L276" s="8">
        <v>231286.0</v>
      </c>
    </row>
    <row r="277" ht="15.75" customHeight="1">
      <c r="A277" s="7">
        <v>45964.0</v>
      </c>
      <c r="B277" s="4" t="s">
        <v>98</v>
      </c>
      <c r="C277" s="8">
        <v>1903.0</v>
      </c>
      <c r="D277" s="8">
        <v>194.0</v>
      </c>
      <c r="E277" s="8">
        <v>44.0</v>
      </c>
      <c r="F277" s="8">
        <v>9.0</v>
      </c>
      <c r="G277" s="8">
        <v>1665.0</v>
      </c>
      <c r="H277" s="8">
        <v>1071893.0</v>
      </c>
      <c r="I277" s="8">
        <v>389.0</v>
      </c>
      <c r="J277" s="8">
        <v>94.0</v>
      </c>
      <c r="K277" s="8">
        <v>295.0</v>
      </c>
      <c r="L277" s="8">
        <v>231581.0</v>
      </c>
    </row>
    <row r="278" ht="15.75" customHeight="1">
      <c r="A278" s="7">
        <v>45965.0</v>
      </c>
      <c r="B278" s="4" t="s">
        <v>91</v>
      </c>
      <c r="C278" s="8">
        <v>2209.0</v>
      </c>
      <c r="D278" s="8">
        <v>276.0</v>
      </c>
      <c r="E278" s="8">
        <v>99.0</v>
      </c>
      <c r="F278" s="8">
        <v>3.0</v>
      </c>
      <c r="G278" s="8">
        <v>1834.0</v>
      </c>
      <c r="H278" s="8">
        <v>1073727.0</v>
      </c>
      <c r="I278" s="8">
        <v>543.0</v>
      </c>
      <c r="J278" s="8">
        <v>129.0</v>
      </c>
      <c r="K278" s="8">
        <v>414.0</v>
      </c>
      <c r="L278" s="8">
        <v>231995.0</v>
      </c>
    </row>
    <row r="279" ht="15.75" customHeight="1">
      <c r="A279" s="7">
        <v>45966.0</v>
      </c>
      <c r="B279" s="4" t="s">
        <v>82</v>
      </c>
      <c r="C279" s="8">
        <v>2581.0</v>
      </c>
      <c r="D279" s="8">
        <v>146.0</v>
      </c>
      <c r="E279" s="8">
        <v>68.0</v>
      </c>
      <c r="F279" s="8">
        <v>4.0</v>
      </c>
      <c r="G279" s="8">
        <v>2367.0</v>
      </c>
      <c r="H279" s="8">
        <v>1076094.0</v>
      </c>
      <c r="I279" s="8">
        <v>557.0</v>
      </c>
      <c r="J279" s="8">
        <v>78.0</v>
      </c>
      <c r="K279" s="8">
        <v>479.0</v>
      </c>
      <c r="L279" s="8">
        <v>232474.0</v>
      </c>
    </row>
    <row r="280" ht="15.75" customHeight="1">
      <c r="A280" s="7">
        <v>45967.0</v>
      </c>
      <c r="B280" s="4" t="s">
        <v>75</v>
      </c>
      <c r="C280" s="8">
        <v>3159.0</v>
      </c>
      <c r="D280" s="8">
        <v>246.0</v>
      </c>
      <c r="E280" s="8">
        <v>52.0</v>
      </c>
      <c r="F280" s="8">
        <v>2.0</v>
      </c>
      <c r="G280" s="8">
        <v>2861.0</v>
      </c>
      <c r="H280" s="8">
        <v>1078955.0</v>
      </c>
      <c r="I280" s="8">
        <v>551.0</v>
      </c>
      <c r="J280" s="8">
        <v>80.0</v>
      </c>
      <c r="K280" s="8">
        <v>471.0</v>
      </c>
      <c r="L280" s="8">
        <v>232945.0</v>
      </c>
    </row>
    <row r="281" ht="15.75" customHeight="1">
      <c r="A281" s="7">
        <v>45968.0</v>
      </c>
      <c r="B281" s="4" t="s">
        <v>135</v>
      </c>
      <c r="C281" s="8">
        <v>3255.0</v>
      </c>
      <c r="D281" s="8">
        <v>228.0</v>
      </c>
      <c r="E281" s="8">
        <v>160.0</v>
      </c>
      <c r="F281" s="8">
        <v>4.0</v>
      </c>
      <c r="G281" s="8">
        <v>2867.0</v>
      </c>
      <c r="H281" s="8">
        <v>1081822.0</v>
      </c>
      <c r="I281" s="8">
        <v>481.0</v>
      </c>
      <c r="J281" s="8">
        <v>76.0</v>
      </c>
      <c r="K281" s="8">
        <v>405.0</v>
      </c>
      <c r="L281" s="8">
        <v>233350.0</v>
      </c>
    </row>
    <row r="282" ht="15.75" customHeight="1">
      <c r="A282" s="7">
        <v>45969.0</v>
      </c>
      <c r="B282" s="4" t="s">
        <v>105</v>
      </c>
      <c r="C282" s="8">
        <v>1896.0</v>
      </c>
      <c r="D282" s="8">
        <v>371.0</v>
      </c>
      <c r="E282" s="8">
        <v>125.0</v>
      </c>
      <c r="F282" s="8">
        <v>4.0</v>
      </c>
      <c r="G282" s="8">
        <v>1400.0</v>
      </c>
      <c r="H282" s="8">
        <v>1083222.0</v>
      </c>
      <c r="I282" s="8">
        <v>497.0</v>
      </c>
      <c r="J282" s="8">
        <v>86.0</v>
      </c>
      <c r="K282" s="8">
        <v>411.0</v>
      </c>
      <c r="L282" s="8">
        <v>233761.0</v>
      </c>
    </row>
    <row r="283" ht="15.75" customHeight="1">
      <c r="A283" s="7">
        <v>45970.0</v>
      </c>
      <c r="B283" s="4" t="s">
        <v>59</v>
      </c>
      <c r="C283" s="8">
        <v>3538.0</v>
      </c>
      <c r="D283" s="8">
        <v>186.0</v>
      </c>
      <c r="E283" s="8">
        <v>132.0</v>
      </c>
      <c r="F283" s="8">
        <v>11.0</v>
      </c>
      <c r="G283" s="8">
        <v>3220.0</v>
      </c>
      <c r="H283" s="8">
        <v>1086442.0</v>
      </c>
      <c r="I283" s="8">
        <v>743.0</v>
      </c>
      <c r="J283" s="8">
        <v>82.0</v>
      </c>
      <c r="K283" s="8">
        <v>661.0</v>
      </c>
      <c r="L283" s="8">
        <v>234422.0</v>
      </c>
    </row>
    <row r="284" ht="15.75" customHeight="1">
      <c r="A284" s="7">
        <v>45971.0</v>
      </c>
      <c r="B284" s="4" t="s">
        <v>98</v>
      </c>
      <c r="C284" s="8">
        <v>2808.0</v>
      </c>
      <c r="D284" s="8">
        <v>310.0</v>
      </c>
      <c r="E284" s="8">
        <v>110.0</v>
      </c>
      <c r="F284" s="8">
        <v>3.0</v>
      </c>
      <c r="G284" s="8">
        <v>2388.0</v>
      </c>
      <c r="H284" s="8">
        <v>1088830.0</v>
      </c>
      <c r="I284" s="8">
        <v>630.0</v>
      </c>
      <c r="J284" s="8">
        <v>70.0</v>
      </c>
      <c r="K284" s="8">
        <v>560.0</v>
      </c>
      <c r="L284" s="8">
        <v>234982.0</v>
      </c>
    </row>
    <row r="285" ht="15.75" customHeight="1">
      <c r="A285" s="7">
        <v>45972.0</v>
      </c>
      <c r="B285" s="4" t="s">
        <v>91</v>
      </c>
      <c r="C285" s="8">
        <v>1423.0</v>
      </c>
      <c r="D285" s="8">
        <v>181.0</v>
      </c>
      <c r="E285" s="8">
        <v>88.0</v>
      </c>
      <c r="F285" s="8">
        <v>3.0</v>
      </c>
      <c r="G285" s="8">
        <v>1154.0</v>
      </c>
      <c r="H285" s="8">
        <v>1089984.0</v>
      </c>
      <c r="I285" s="8">
        <v>344.0</v>
      </c>
      <c r="J285" s="8">
        <v>45.0</v>
      </c>
      <c r="K285" s="8">
        <v>299.0</v>
      </c>
      <c r="L285" s="8">
        <v>235281.0</v>
      </c>
    </row>
    <row r="286" ht="15.75" customHeight="1">
      <c r="A286" s="7">
        <v>45973.0</v>
      </c>
      <c r="B286" s="4" t="s">
        <v>82</v>
      </c>
      <c r="C286" s="8">
        <v>1334.0</v>
      </c>
      <c r="D286" s="8">
        <v>295.0</v>
      </c>
      <c r="E286" s="8">
        <v>161.0</v>
      </c>
      <c r="F286" s="8">
        <v>12.0</v>
      </c>
      <c r="G286" s="8">
        <v>878.0</v>
      </c>
      <c r="H286" s="8">
        <v>1090862.0</v>
      </c>
      <c r="I286" s="8">
        <v>642.0</v>
      </c>
      <c r="J286" s="8">
        <v>78.0</v>
      </c>
      <c r="K286" s="8">
        <v>564.0</v>
      </c>
      <c r="L286" s="8">
        <v>235845.0</v>
      </c>
    </row>
    <row r="287" ht="15.75" customHeight="1">
      <c r="A287" s="7">
        <v>45974.0</v>
      </c>
      <c r="B287" s="4" t="s">
        <v>75</v>
      </c>
      <c r="C287" s="8">
        <v>1244.0</v>
      </c>
      <c r="D287" s="8">
        <v>218.0</v>
      </c>
      <c r="E287" s="8">
        <v>180.0</v>
      </c>
      <c r="F287" s="8">
        <v>11.0</v>
      </c>
      <c r="G287" s="8">
        <v>846.0</v>
      </c>
      <c r="H287" s="8">
        <v>1091708.0</v>
      </c>
      <c r="I287" s="8">
        <v>343.0</v>
      </c>
      <c r="J287" s="8">
        <v>93.0</v>
      </c>
      <c r="K287" s="8">
        <v>250.0</v>
      </c>
      <c r="L287" s="8">
        <v>236095.0</v>
      </c>
    </row>
    <row r="288" ht="15.75" customHeight="1">
      <c r="A288" s="7">
        <v>45975.0</v>
      </c>
      <c r="B288" s="4" t="s">
        <v>135</v>
      </c>
      <c r="C288" s="8">
        <v>2725.0</v>
      </c>
      <c r="D288" s="8">
        <v>307.0</v>
      </c>
      <c r="E288" s="8">
        <v>70.0</v>
      </c>
      <c r="F288" s="8">
        <v>6.0</v>
      </c>
      <c r="G288" s="8">
        <v>2348.0</v>
      </c>
      <c r="H288" s="8">
        <v>1094056.0</v>
      </c>
      <c r="I288" s="8">
        <v>499.0</v>
      </c>
      <c r="J288" s="8">
        <v>97.0</v>
      </c>
      <c r="K288" s="8">
        <v>402.0</v>
      </c>
      <c r="L288" s="8">
        <v>236497.0</v>
      </c>
    </row>
    <row r="289" ht="15.75" customHeight="1">
      <c r="A289" s="7">
        <v>45976.0</v>
      </c>
      <c r="B289" s="4" t="s">
        <v>105</v>
      </c>
      <c r="C289" s="8">
        <v>2947.0</v>
      </c>
      <c r="D289" s="8">
        <v>131.0</v>
      </c>
      <c r="E289" s="8">
        <v>110.0</v>
      </c>
      <c r="F289" s="8">
        <v>11.0</v>
      </c>
      <c r="G289" s="8">
        <v>2706.0</v>
      </c>
      <c r="H289" s="8">
        <v>1096762.0</v>
      </c>
      <c r="I289" s="8">
        <v>940.0</v>
      </c>
      <c r="J289" s="8">
        <v>61.0</v>
      </c>
      <c r="K289" s="8">
        <v>879.0</v>
      </c>
      <c r="L289" s="8">
        <v>237376.0</v>
      </c>
    </row>
    <row r="290" ht="15.75" customHeight="1">
      <c r="A290" s="7">
        <v>45977.0</v>
      </c>
      <c r="B290" s="4" t="s">
        <v>59</v>
      </c>
      <c r="C290" s="8">
        <v>3153.0</v>
      </c>
      <c r="D290" s="8">
        <v>217.0</v>
      </c>
      <c r="E290" s="8">
        <v>141.0</v>
      </c>
      <c r="F290" s="8">
        <v>7.0</v>
      </c>
      <c r="G290" s="8">
        <v>2795.0</v>
      </c>
      <c r="H290" s="8">
        <v>1099557.0</v>
      </c>
      <c r="I290" s="8">
        <v>339.0</v>
      </c>
      <c r="J290" s="8">
        <v>134.0</v>
      </c>
      <c r="K290" s="8">
        <v>205.0</v>
      </c>
      <c r="L290" s="8">
        <v>237581.0</v>
      </c>
    </row>
    <row r="291" ht="15.75" customHeight="1">
      <c r="A291" s="7">
        <v>45978.0</v>
      </c>
      <c r="B291" s="4" t="s">
        <v>98</v>
      </c>
      <c r="C291" s="8">
        <v>1334.0</v>
      </c>
      <c r="D291" s="8">
        <v>344.0</v>
      </c>
      <c r="E291" s="8">
        <v>170.0</v>
      </c>
      <c r="F291" s="8">
        <v>6.0</v>
      </c>
      <c r="G291" s="8">
        <v>820.0</v>
      </c>
      <c r="H291" s="8">
        <v>1100377.0</v>
      </c>
      <c r="I291" s="8">
        <v>369.0</v>
      </c>
      <c r="J291" s="8">
        <v>136.0</v>
      </c>
      <c r="K291" s="8">
        <v>233.0</v>
      </c>
      <c r="L291" s="8">
        <v>237814.0</v>
      </c>
    </row>
    <row r="292" ht="15.75" customHeight="1">
      <c r="A292" s="7">
        <v>45979.0</v>
      </c>
      <c r="B292" s="4" t="s">
        <v>91</v>
      </c>
      <c r="C292" s="8">
        <v>2860.0</v>
      </c>
      <c r="D292" s="8">
        <v>225.0</v>
      </c>
      <c r="E292" s="8">
        <v>40.0</v>
      </c>
      <c r="F292" s="8">
        <v>2.0</v>
      </c>
      <c r="G292" s="8">
        <v>2595.0</v>
      </c>
      <c r="H292" s="8">
        <v>1102972.0</v>
      </c>
      <c r="I292" s="8">
        <v>446.0</v>
      </c>
      <c r="J292" s="8">
        <v>63.0</v>
      </c>
      <c r="K292" s="8">
        <v>383.0</v>
      </c>
      <c r="L292" s="8">
        <v>238197.0</v>
      </c>
    </row>
    <row r="293" ht="15.75" customHeight="1">
      <c r="A293" s="7">
        <v>45980.0</v>
      </c>
      <c r="B293" s="4" t="s">
        <v>82</v>
      </c>
      <c r="C293" s="8">
        <v>1145.0</v>
      </c>
      <c r="D293" s="8">
        <v>353.0</v>
      </c>
      <c r="E293" s="8">
        <v>174.0</v>
      </c>
      <c r="F293" s="8">
        <v>4.0</v>
      </c>
      <c r="G293" s="8">
        <v>618.0</v>
      </c>
      <c r="H293" s="8">
        <v>1103590.0</v>
      </c>
      <c r="I293" s="8">
        <v>817.0</v>
      </c>
      <c r="J293" s="8">
        <v>104.0</v>
      </c>
      <c r="K293" s="8">
        <v>713.0</v>
      </c>
      <c r="L293" s="8">
        <v>238910.0</v>
      </c>
    </row>
    <row r="294" ht="15.75" customHeight="1">
      <c r="A294" s="7">
        <v>45981.0</v>
      </c>
      <c r="B294" s="4" t="s">
        <v>75</v>
      </c>
      <c r="C294" s="8">
        <v>3150.0</v>
      </c>
      <c r="D294" s="8">
        <v>180.0</v>
      </c>
      <c r="E294" s="8">
        <v>97.0</v>
      </c>
      <c r="F294" s="8">
        <v>0.0</v>
      </c>
      <c r="G294" s="8">
        <v>2873.0</v>
      </c>
      <c r="H294" s="8">
        <v>1106463.0</v>
      </c>
      <c r="I294" s="8">
        <v>443.0</v>
      </c>
      <c r="J294" s="8">
        <v>61.0</v>
      </c>
      <c r="K294" s="8">
        <v>382.0</v>
      </c>
      <c r="L294" s="8">
        <v>239292.0</v>
      </c>
    </row>
    <row r="295" ht="15.75" customHeight="1">
      <c r="A295" s="7">
        <v>45982.0</v>
      </c>
      <c r="B295" s="4" t="s">
        <v>135</v>
      </c>
      <c r="C295" s="8">
        <v>2952.0</v>
      </c>
      <c r="D295" s="8">
        <v>262.0</v>
      </c>
      <c r="E295" s="8">
        <v>109.0</v>
      </c>
      <c r="F295" s="8">
        <v>12.0</v>
      </c>
      <c r="G295" s="8">
        <v>2581.0</v>
      </c>
      <c r="H295" s="8">
        <v>1109044.0</v>
      </c>
      <c r="I295" s="8">
        <v>357.0</v>
      </c>
      <c r="J295" s="8">
        <v>57.0</v>
      </c>
      <c r="K295" s="8">
        <v>300.0</v>
      </c>
      <c r="L295" s="8">
        <v>239592.0</v>
      </c>
    </row>
    <row r="296" ht="15.75" customHeight="1">
      <c r="A296" s="7">
        <v>45983.0</v>
      </c>
      <c r="B296" s="4" t="s">
        <v>105</v>
      </c>
      <c r="C296" s="8">
        <v>1980.0</v>
      </c>
      <c r="D296" s="8">
        <v>179.0</v>
      </c>
      <c r="E296" s="8">
        <v>128.0</v>
      </c>
      <c r="F296" s="8">
        <v>10.0</v>
      </c>
      <c r="G296" s="8">
        <v>1673.0</v>
      </c>
      <c r="H296" s="8">
        <v>1110717.0</v>
      </c>
      <c r="I296" s="8">
        <v>729.0</v>
      </c>
      <c r="J296" s="8">
        <v>40.0</v>
      </c>
      <c r="K296" s="8">
        <v>689.0</v>
      </c>
      <c r="L296" s="8">
        <v>240281.0</v>
      </c>
    </row>
    <row r="297" ht="15.75" customHeight="1">
      <c r="A297" s="7">
        <v>45984.0</v>
      </c>
      <c r="B297" s="4" t="s">
        <v>59</v>
      </c>
      <c r="C297" s="8">
        <v>1561.0</v>
      </c>
      <c r="D297" s="8">
        <v>255.0</v>
      </c>
      <c r="E297" s="8">
        <v>74.0</v>
      </c>
      <c r="F297" s="8">
        <v>6.0</v>
      </c>
      <c r="G297" s="8">
        <v>1232.0</v>
      </c>
      <c r="H297" s="8">
        <v>1111949.0</v>
      </c>
      <c r="I297" s="8">
        <v>871.0</v>
      </c>
      <c r="J297" s="8">
        <v>132.0</v>
      </c>
      <c r="K297" s="8">
        <v>739.0</v>
      </c>
      <c r="L297" s="8">
        <v>241020.0</v>
      </c>
    </row>
    <row r="298" ht="15.75" customHeight="1">
      <c r="A298" s="7">
        <v>45985.0</v>
      </c>
      <c r="B298" s="4" t="s">
        <v>98</v>
      </c>
      <c r="C298" s="8">
        <v>1283.0</v>
      </c>
      <c r="D298" s="8">
        <v>125.0</v>
      </c>
      <c r="E298" s="8">
        <v>96.0</v>
      </c>
      <c r="F298" s="8">
        <v>11.0</v>
      </c>
      <c r="G298" s="8">
        <v>1062.0</v>
      </c>
      <c r="H298" s="8">
        <v>1113011.0</v>
      </c>
      <c r="I298" s="8">
        <v>700.0</v>
      </c>
      <c r="J298" s="8">
        <v>85.0</v>
      </c>
      <c r="K298" s="8">
        <v>615.0</v>
      </c>
      <c r="L298" s="8">
        <v>241635.0</v>
      </c>
    </row>
    <row r="299" ht="15.75" customHeight="1">
      <c r="A299" s="7">
        <v>45986.0</v>
      </c>
      <c r="B299" s="4" t="s">
        <v>91</v>
      </c>
      <c r="C299" s="8">
        <v>1164.0</v>
      </c>
      <c r="D299" s="8">
        <v>174.0</v>
      </c>
      <c r="E299" s="8">
        <v>137.0</v>
      </c>
      <c r="F299" s="8">
        <v>10.0</v>
      </c>
      <c r="G299" s="8">
        <v>853.0</v>
      </c>
      <c r="H299" s="8">
        <v>1113864.0</v>
      </c>
      <c r="I299" s="8">
        <v>637.0</v>
      </c>
      <c r="J299" s="8">
        <v>132.0</v>
      </c>
      <c r="K299" s="8">
        <v>505.0</v>
      </c>
      <c r="L299" s="8">
        <v>242140.0</v>
      </c>
    </row>
    <row r="300" ht="15.75" customHeight="1">
      <c r="A300" s="7">
        <v>45987.0</v>
      </c>
      <c r="B300" s="4" t="s">
        <v>82</v>
      </c>
      <c r="C300" s="8">
        <v>2851.0</v>
      </c>
      <c r="D300" s="8">
        <v>225.0</v>
      </c>
      <c r="E300" s="8">
        <v>96.0</v>
      </c>
      <c r="F300" s="8">
        <v>5.0</v>
      </c>
      <c r="G300" s="8">
        <v>2530.0</v>
      </c>
      <c r="H300" s="8">
        <v>1116394.0</v>
      </c>
      <c r="I300" s="8">
        <v>646.0</v>
      </c>
      <c r="J300" s="8">
        <v>96.0</v>
      </c>
      <c r="K300" s="8">
        <v>550.0</v>
      </c>
      <c r="L300" s="8">
        <v>242690.0</v>
      </c>
    </row>
    <row r="301" ht="15.75" customHeight="1">
      <c r="A301" s="7">
        <v>45988.0</v>
      </c>
      <c r="B301" s="4" t="s">
        <v>75</v>
      </c>
      <c r="C301" s="8">
        <v>3277.0</v>
      </c>
      <c r="D301" s="8">
        <v>199.0</v>
      </c>
      <c r="E301" s="8">
        <v>99.0</v>
      </c>
      <c r="F301" s="8">
        <v>11.0</v>
      </c>
      <c r="G301" s="8">
        <v>2979.0</v>
      </c>
      <c r="H301" s="8">
        <v>1119373.0</v>
      </c>
      <c r="I301" s="8">
        <v>534.0</v>
      </c>
      <c r="J301" s="8">
        <v>97.0</v>
      </c>
      <c r="K301" s="8">
        <v>437.0</v>
      </c>
      <c r="L301" s="8">
        <v>243127.0</v>
      </c>
    </row>
    <row r="302" ht="15.75" customHeight="1">
      <c r="A302" s="7">
        <v>45989.0</v>
      </c>
      <c r="B302" s="4" t="s">
        <v>135</v>
      </c>
      <c r="C302" s="8">
        <v>2493.0</v>
      </c>
      <c r="D302" s="8">
        <v>373.0</v>
      </c>
      <c r="E302" s="8">
        <v>157.0</v>
      </c>
      <c r="F302" s="8">
        <v>2.0</v>
      </c>
      <c r="G302" s="8">
        <v>1963.0</v>
      </c>
      <c r="H302" s="8">
        <v>1121336.0</v>
      </c>
      <c r="I302" s="8">
        <v>317.0</v>
      </c>
      <c r="J302" s="8">
        <v>63.0</v>
      </c>
      <c r="K302" s="8">
        <v>254.0</v>
      </c>
      <c r="L302" s="8">
        <v>243381.0</v>
      </c>
    </row>
    <row r="303" ht="15.75" customHeight="1">
      <c r="A303" s="7">
        <v>45990.0</v>
      </c>
      <c r="B303" s="4" t="s">
        <v>105</v>
      </c>
      <c r="C303" s="8">
        <v>3165.0</v>
      </c>
      <c r="D303" s="8">
        <v>212.0</v>
      </c>
      <c r="E303" s="8">
        <v>112.0</v>
      </c>
      <c r="F303" s="8">
        <v>0.0</v>
      </c>
      <c r="G303" s="8">
        <v>2841.0</v>
      </c>
      <c r="H303" s="8">
        <v>1124177.0</v>
      </c>
      <c r="I303" s="8">
        <v>693.0</v>
      </c>
      <c r="J303" s="8">
        <v>122.0</v>
      </c>
      <c r="K303" s="8">
        <v>571.0</v>
      </c>
      <c r="L303" s="8">
        <v>243952.0</v>
      </c>
    </row>
    <row r="304" ht="15.75" customHeight="1">
      <c r="A304" s="7">
        <v>45991.0</v>
      </c>
      <c r="B304" s="4" t="s">
        <v>59</v>
      </c>
      <c r="C304" s="8">
        <v>2587.0</v>
      </c>
      <c r="D304" s="8">
        <v>216.0</v>
      </c>
      <c r="E304" s="8">
        <v>76.0</v>
      </c>
      <c r="F304" s="8">
        <v>1.0</v>
      </c>
      <c r="G304" s="8">
        <v>2295.0</v>
      </c>
      <c r="H304" s="8">
        <v>1126472.0</v>
      </c>
      <c r="I304" s="8">
        <v>854.0</v>
      </c>
      <c r="J304" s="8">
        <v>48.0</v>
      </c>
      <c r="K304" s="8">
        <v>806.0</v>
      </c>
      <c r="L304" s="8">
        <v>244758.0</v>
      </c>
    </row>
    <row r="305" ht="15.75" customHeight="1">
      <c r="A305" s="7">
        <v>45992.0</v>
      </c>
      <c r="B305" s="4" t="s">
        <v>98</v>
      </c>
      <c r="C305" s="8">
        <v>2651.0</v>
      </c>
      <c r="D305" s="8">
        <v>171.0</v>
      </c>
      <c r="E305" s="8">
        <v>174.0</v>
      </c>
      <c r="F305" s="8">
        <v>2.0</v>
      </c>
      <c r="G305" s="8">
        <v>2306.0</v>
      </c>
      <c r="H305" s="8">
        <v>1128778.0</v>
      </c>
      <c r="I305" s="8">
        <v>482.0</v>
      </c>
      <c r="J305" s="8">
        <v>132.0</v>
      </c>
      <c r="K305" s="8">
        <v>350.0</v>
      </c>
      <c r="L305" s="8">
        <v>245108.0</v>
      </c>
    </row>
    <row r="306" ht="15.75" customHeight="1">
      <c r="A306" s="7">
        <v>45993.0</v>
      </c>
      <c r="B306" s="4" t="s">
        <v>91</v>
      </c>
      <c r="C306" s="8">
        <v>2543.0</v>
      </c>
      <c r="D306" s="8">
        <v>313.0</v>
      </c>
      <c r="E306" s="8">
        <v>45.0</v>
      </c>
      <c r="F306" s="8">
        <v>1.0</v>
      </c>
      <c r="G306" s="8">
        <v>2185.0</v>
      </c>
      <c r="H306" s="8">
        <v>1130963.0</v>
      </c>
      <c r="I306" s="8">
        <v>288.0</v>
      </c>
      <c r="J306" s="8">
        <v>89.0</v>
      </c>
      <c r="K306" s="8">
        <v>199.0</v>
      </c>
      <c r="L306" s="8">
        <v>245307.0</v>
      </c>
    </row>
    <row r="307" ht="15.75" customHeight="1">
      <c r="A307" s="7">
        <v>45994.0</v>
      </c>
      <c r="B307" s="4" t="s">
        <v>82</v>
      </c>
      <c r="C307" s="8">
        <v>2648.0</v>
      </c>
      <c r="D307" s="8">
        <v>187.0</v>
      </c>
      <c r="E307" s="8">
        <v>61.0</v>
      </c>
      <c r="F307" s="8">
        <v>4.0</v>
      </c>
      <c r="G307" s="8">
        <v>2400.0</v>
      </c>
      <c r="H307" s="8">
        <v>1133363.0</v>
      </c>
      <c r="I307" s="8">
        <v>252.0</v>
      </c>
      <c r="J307" s="8">
        <v>71.0</v>
      </c>
      <c r="K307" s="8">
        <v>181.0</v>
      </c>
      <c r="L307" s="8">
        <v>245488.0</v>
      </c>
    </row>
    <row r="308" ht="15.75" customHeight="1">
      <c r="A308" s="7">
        <v>45995.0</v>
      </c>
      <c r="B308" s="4" t="s">
        <v>75</v>
      </c>
      <c r="C308" s="8">
        <v>1033.0</v>
      </c>
      <c r="D308" s="8">
        <v>124.0</v>
      </c>
      <c r="E308" s="8">
        <v>178.0</v>
      </c>
      <c r="F308" s="8">
        <v>11.0</v>
      </c>
      <c r="G308" s="8">
        <v>731.0</v>
      </c>
      <c r="H308" s="8">
        <v>1134094.0</v>
      </c>
      <c r="I308" s="8">
        <v>731.0</v>
      </c>
      <c r="J308" s="8">
        <v>53.0</v>
      </c>
      <c r="K308" s="8">
        <v>678.0</v>
      </c>
      <c r="L308" s="8">
        <v>246166.0</v>
      </c>
    </row>
    <row r="309" ht="15.75" customHeight="1">
      <c r="A309" s="7">
        <v>45996.0</v>
      </c>
      <c r="B309" s="4" t="s">
        <v>135</v>
      </c>
      <c r="C309" s="8">
        <v>1217.0</v>
      </c>
      <c r="D309" s="8">
        <v>191.0</v>
      </c>
      <c r="E309" s="8">
        <v>153.0</v>
      </c>
      <c r="F309" s="8">
        <v>2.0</v>
      </c>
      <c r="G309" s="8">
        <v>873.0</v>
      </c>
      <c r="H309" s="8">
        <v>1134967.0</v>
      </c>
      <c r="I309" s="8">
        <v>353.0</v>
      </c>
      <c r="J309" s="8">
        <v>101.0</v>
      </c>
      <c r="K309" s="8">
        <v>252.0</v>
      </c>
      <c r="L309" s="8">
        <v>246418.0</v>
      </c>
    </row>
    <row r="310" ht="15.75" customHeight="1">
      <c r="A310" s="7">
        <v>45997.0</v>
      </c>
      <c r="B310" s="4" t="s">
        <v>105</v>
      </c>
      <c r="C310" s="8">
        <v>1867.0</v>
      </c>
      <c r="D310" s="8">
        <v>256.0</v>
      </c>
      <c r="E310" s="8">
        <v>179.0</v>
      </c>
      <c r="F310" s="8">
        <v>1.0</v>
      </c>
      <c r="G310" s="8">
        <v>1432.0</v>
      </c>
      <c r="H310" s="8">
        <v>1136399.0</v>
      </c>
      <c r="I310" s="8">
        <v>299.0</v>
      </c>
      <c r="J310" s="8">
        <v>120.0</v>
      </c>
      <c r="K310" s="8">
        <v>179.0</v>
      </c>
      <c r="L310" s="8">
        <v>246597.0</v>
      </c>
    </row>
    <row r="311" ht="15.75" customHeight="1">
      <c r="A311" s="7">
        <v>45998.0</v>
      </c>
      <c r="B311" s="4" t="s">
        <v>59</v>
      </c>
      <c r="C311" s="8">
        <v>10107.0</v>
      </c>
      <c r="D311" s="8">
        <v>172.0</v>
      </c>
      <c r="E311" s="8">
        <v>146.0</v>
      </c>
      <c r="F311" s="8">
        <v>2.0</v>
      </c>
      <c r="G311" s="8">
        <v>9789.0</v>
      </c>
      <c r="H311" s="8">
        <v>1146188.0</v>
      </c>
      <c r="I311" s="8">
        <v>475.0</v>
      </c>
      <c r="J311" s="8">
        <v>105.0</v>
      </c>
      <c r="K311" s="8">
        <v>370.0</v>
      </c>
      <c r="L311" s="8">
        <v>246967.0</v>
      </c>
    </row>
    <row r="312" ht="15.75" customHeight="1">
      <c r="A312" s="7">
        <v>45999.0</v>
      </c>
      <c r="B312" s="4" t="s">
        <v>98</v>
      </c>
      <c r="C312" s="8">
        <v>1986.0</v>
      </c>
      <c r="D312" s="8">
        <v>300.0</v>
      </c>
      <c r="E312" s="8">
        <v>113.0</v>
      </c>
      <c r="F312" s="8">
        <v>3.0</v>
      </c>
      <c r="G312" s="8">
        <v>1573.0</v>
      </c>
      <c r="H312" s="8">
        <v>1147761.0</v>
      </c>
      <c r="I312" s="8">
        <v>318.0</v>
      </c>
      <c r="J312" s="8">
        <v>123.0</v>
      </c>
      <c r="K312" s="8">
        <v>195.0</v>
      </c>
      <c r="L312" s="8">
        <v>247162.0</v>
      </c>
    </row>
    <row r="313" ht="15.75" customHeight="1">
      <c r="A313" s="7">
        <v>46000.0</v>
      </c>
      <c r="B313" s="4" t="s">
        <v>91</v>
      </c>
      <c r="C313" s="8">
        <v>2757.0</v>
      </c>
      <c r="D313" s="8">
        <v>177.0</v>
      </c>
      <c r="E313" s="8">
        <v>83.0</v>
      </c>
      <c r="F313" s="8">
        <v>1.0</v>
      </c>
      <c r="G313" s="8">
        <v>2497.0</v>
      </c>
      <c r="H313" s="8">
        <v>1150258.0</v>
      </c>
      <c r="I313" s="8">
        <v>682.0</v>
      </c>
      <c r="J313" s="8">
        <v>102.0</v>
      </c>
      <c r="K313" s="8">
        <v>580.0</v>
      </c>
      <c r="L313" s="8">
        <v>247742.0</v>
      </c>
    </row>
    <row r="314" ht="15.75" customHeight="1">
      <c r="A314" s="7">
        <v>46001.0</v>
      </c>
      <c r="B314" s="4" t="s">
        <v>82</v>
      </c>
      <c r="C314" s="8">
        <v>1721.0</v>
      </c>
      <c r="D314" s="8">
        <v>159.0</v>
      </c>
      <c r="E314" s="8">
        <v>125.0</v>
      </c>
      <c r="F314" s="8">
        <v>1.0</v>
      </c>
      <c r="G314" s="8">
        <v>1437.0</v>
      </c>
      <c r="H314" s="8">
        <v>1151695.0</v>
      </c>
      <c r="I314" s="8">
        <v>452.0</v>
      </c>
      <c r="J314" s="8">
        <v>118.0</v>
      </c>
      <c r="K314" s="8">
        <v>334.0</v>
      </c>
      <c r="L314" s="8">
        <v>248076.0</v>
      </c>
    </row>
    <row r="315" ht="15.75" customHeight="1">
      <c r="A315" s="7">
        <v>46002.0</v>
      </c>
      <c r="B315" s="4" t="s">
        <v>75</v>
      </c>
      <c r="C315" s="8">
        <v>1216.0</v>
      </c>
      <c r="D315" s="8">
        <v>197.0</v>
      </c>
      <c r="E315" s="8">
        <v>149.0</v>
      </c>
      <c r="F315" s="8">
        <v>8.0</v>
      </c>
      <c r="G315" s="8">
        <v>870.0</v>
      </c>
      <c r="H315" s="8">
        <v>1152565.0</v>
      </c>
      <c r="I315" s="8">
        <v>252.0</v>
      </c>
      <c r="J315" s="8">
        <v>62.0</v>
      </c>
      <c r="K315" s="8">
        <v>190.0</v>
      </c>
      <c r="L315" s="8">
        <v>248266.0</v>
      </c>
    </row>
    <row r="316" ht="15.75" customHeight="1">
      <c r="A316" s="7">
        <v>46003.0</v>
      </c>
      <c r="B316" s="4" t="s">
        <v>135</v>
      </c>
      <c r="C316" s="8">
        <v>2087.0</v>
      </c>
      <c r="D316" s="8">
        <v>274.0</v>
      </c>
      <c r="E316" s="8">
        <v>113.0</v>
      </c>
      <c r="F316" s="8">
        <v>5.0</v>
      </c>
      <c r="G316" s="8">
        <v>1700.0</v>
      </c>
      <c r="H316" s="8">
        <v>1154265.0</v>
      </c>
      <c r="I316" s="8">
        <v>320.0</v>
      </c>
      <c r="J316" s="8">
        <v>119.0</v>
      </c>
      <c r="K316" s="8">
        <v>201.0</v>
      </c>
      <c r="L316" s="8">
        <v>248467.0</v>
      </c>
    </row>
    <row r="317" ht="15.75" customHeight="1">
      <c r="A317" s="7">
        <v>46004.0</v>
      </c>
      <c r="B317" s="4" t="s">
        <v>105</v>
      </c>
      <c r="C317" s="8">
        <v>15188.0</v>
      </c>
      <c r="D317" s="8">
        <v>308.0</v>
      </c>
      <c r="E317" s="8">
        <v>59.0</v>
      </c>
      <c r="F317" s="8">
        <v>12.0</v>
      </c>
      <c r="G317" s="8">
        <v>14821.0</v>
      </c>
      <c r="H317" s="8">
        <v>1169086.0</v>
      </c>
      <c r="I317" s="8">
        <v>744.0</v>
      </c>
      <c r="J317" s="8">
        <v>73.0</v>
      </c>
      <c r="K317" s="8">
        <v>671.0</v>
      </c>
      <c r="L317" s="8">
        <v>249138.0</v>
      </c>
    </row>
    <row r="318" ht="15.75" customHeight="1">
      <c r="A318" s="7">
        <v>46005.0</v>
      </c>
      <c r="B318" s="4" t="s">
        <v>59</v>
      </c>
      <c r="C318" s="8">
        <v>3080.0</v>
      </c>
      <c r="D318" s="8">
        <v>283.0</v>
      </c>
      <c r="E318" s="8">
        <v>139.0</v>
      </c>
      <c r="F318" s="8">
        <v>7.0</v>
      </c>
      <c r="G318" s="8">
        <v>2658.0</v>
      </c>
      <c r="H318" s="8">
        <v>1171744.0</v>
      </c>
      <c r="I318" s="8">
        <v>366.0</v>
      </c>
      <c r="J318" s="8">
        <v>58.0</v>
      </c>
      <c r="K318" s="8">
        <v>308.0</v>
      </c>
      <c r="L318" s="8">
        <v>249446.0</v>
      </c>
    </row>
    <row r="319" ht="15.75" customHeight="1">
      <c r="A319" s="7">
        <v>46006.0</v>
      </c>
      <c r="B319" s="4" t="s">
        <v>98</v>
      </c>
      <c r="C319" s="8">
        <v>2223.0</v>
      </c>
      <c r="D319" s="8">
        <v>154.0</v>
      </c>
      <c r="E319" s="8">
        <v>149.0</v>
      </c>
      <c r="F319" s="8">
        <v>11.0</v>
      </c>
      <c r="G319" s="8">
        <v>1920.0</v>
      </c>
      <c r="H319" s="8">
        <v>1173664.0</v>
      </c>
      <c r="I319" s="8">
        <v>746.0</v>
      </c>
      <c r="J319" s="8">
        <v>54.0</v>
      </c>
      <c r="K319" s="8">
        <v>692.0</v>
      </c>
      <c r="L319" s="8">
        <v>250138.0</v>
      </c>
    </row>
    <row r="320" ht="15.75" customHeight="1">
      <c r="A320" s="7">
        <v>46007.0</v>
      </c>
      <c r="B320" s="4" t="s">
        <v>91</v>
      </c>
      <c r="C320" s="8">
        <v>1326.0</v>
      </c>
      <c r="D320" s="8">
        <v>317.0</v>
      </c>
      <c r="E320" s="8">
        <v>121.0</v>
      </c>
      <c r="F320" s="8">
        <v>7.0</v>
      </c>
      <c r="G320" s="8">
        <v>888.0</v>
      </c>
      <c r="H320" s="8">
        <v>1174552.0</v>
      </c>
      <c r="I320" s="8">
        <v>341.0</v>
      </c>
      <c r="J320" s="8">
        <v>85.0</v>
      </c>
      <c r="K320" s="8">
        <v>256.0</v>
      </c>
      <c r="L320" s="8">
        <v>250394.0</v>
      </c>
    </row>
    <row r="321" ht="15.75" customHeight="1">
      <c r="A321" s="7">
        <v>46008.0</v>
      </c>
      <c r="B321" s="4" t="s">
        <v>82</v>
      </c>
      <c r="C321" s="8">
        <v>2058.0</v>
      </c>
      <c r="D321" s="8">
        <v>290.0</v>
      </c>
      <c r="E321" s="8">
        <v>102.0</v>
      </c>
      <c r="F321" s="8">
        <v>6.0</v>
      </c>
      <c r="G321" s="8">
        <v>1666.0</v>
      </c>
      <c r="H321" s="8">
        <v>1176218.0</v>
      </c>
      <c r="I321" s="8">
        <v>610.0</v>
      </c>
      <c r="J321" s="8">
        <v>57.0</v>
      </c>
      <c r="K321" s="8">
        <v>553.0</v>
      </c>
      <c r="L321" s="8">
        <v>250947.0</v>
      </c>
    </row>
    <row r="322" ht="15.75" customHeight="1">
      <c r="A322" s="7">
        <v>46009.0</v>
      </c>
      <c r="B322" s="4" t="s">
        <v>75</v>
      </c>
      <c r="C322" s="8">
        <v>2366.0</v>
      </c>
      <c r="D322" s="8">
        <v>237.0</v>
      </c>
      <c r="E322" s="8">
        <v>61.0</v>
      </c>
      <c r="F322" s="8">
        <v>9.0</v>
      </c>
      <c r="G322" s="8">
        <v>2068.0</v>
      </c>
      <c r="H322" s="8">
        <v>1178286.0</v>
      </c>
      <c r="I322" s="8">
        <v>540.0</v>
      </c>
      <c r="J322" s="8">
        <v>89.0</v>
      </c>
      <c r="K322" s="8">
        <v>451.0</v>
      </c>
      <c r="L322" s="8">
        <v>251398.0</v>
      </c>
    </row>
    <row r="323" ht="15.75" customHeight="1">
      <c r="A323" s="7">
        <v>46010.0</v>
      </c>
      <c r="B323" s="4" t="s">
        <v>135</v>
      </c>
      <c r="C323" s="8">
        <v>2987.0</v>
      </c>
      <c r="D323" s="8">
        <v>232.0</v>
      </c>
      <c r="E323" s="8">
        <v>62.0</v>
      </c>
      <c r="F323" s="8">
        <v>3.0</v>
      </c>
      <c r="G323" s="8">
        <v>2693.0</v>
      </c>
      <c r="H323" s="8">
        <v>1180979.0</v>
      </c>
      <c r="I323" s="8">
        <v>668.0</v>
      </c>
      <c r="J323" s="8">
        <v>129.0</v>
      </c>
      <c r="K323" s="8">
        <v>539.0</v>
      </c>
      <c r="L323" s="8">
        <v>251937.0</v>
      </c>
    </row>
    <row r="324" ht="15.75" customHeight="1">
      <c r="A324" s="7">
        <v>46011.0</v>
      </c>
      <c r="B324" s="4" t="s">
        <v>105</v>
      </c>
      <c r="C324" s="8">
        <v>1200.0</v>
      </c>
      <c r="D324" s="8">
        <v>362.0</v>
      </c>
      <c r="E324" s="8">
        <v>68.0</v>
      </c>
      <c r="F324" s="8">
        <v>0.0</v>
      </c>
      <c r="G324" s="8">
        <v>770.0</v>
      </c>
      <c r="H324" s="8">
        <v>1181749.0</v>
      </c>
      <c r="I324" s="8">
        <v>524.0</v>
      </c>
      <c r="J324" s="8">
        <v>57.0</v>
      </c>
      <c r="K324" s="8">
        <v>467.0</v>
      </c>
      <c r="L324" s="8">
        <v>252404.0</v>
      </c>
    </row>
    <row r="325" ht="15.75" customHeight="1">
      <c r="A325" s="7">
        <v>46012.0</v>
      </c>
      <c r="B325" s="4" t="s">
        <v>59</v>
      </c>
      <c r="C325" s="8">
        <v>3441.0</v>
      </c>
      <c r="D325" s="8">
        <v>191.0</v>
      </c>
      <c r="E325" s="8">
        <v>157.0</v>
      </c>
      <c r="F325" s="8">
        <v>2.0</v>
      </c>
      <c r="G325" s="8">
        <v>3093.0</v>
      </c>
      <c r="H325" s="8">
        <v>1184842.0</v>
      </c>
      <c r="I325" s="8">
        <v>861.0</v>
      </c>
      <c r="J325" s="8">
        <v>77.0</v>
      </c>
      <c r="K325" s="8">
        <v>784.0</v>
      </c>
      <c r="L325" s="8">
        <v>253188.0</v>
      </c>
    </row>
    <row r="326" ht="15.75" customHeight="1">
      <c r="A326" s="7">
        <v>46013.0</v>
      </c>
      <c r="B326" s="4" t="s">
        <v>98</v>
      </c>
      <c r="C326" s="8">
        <v>2077.0</v>
      </c>
      <c r="D326" s="8">
        <v>227.0</v>
      </c>
      <c r="E326" s="8">
        <v>54.0</v>
      </c>
      <c r="F326" s="8">
        <v>11.0</v>
      </c>
      <c r="G326" s="8">
        <v>1796.0</v>
      </c>
      <c r="H326" s="8">
        <v>1186638.0</v>
      </c>
      <c r="I326" s="8">
        <v>380.0</v>
      </c>
      <c r="J326" s="8">
        <v>68.0</v>
      </c>
      <c r="K326" s="8">
        <v>312.0</v>
      </c>
      <c r="L326" s="8">
        <v>253500.0</v>
      </c>
    </row>
    <row r="327" ht="15.75" customHeight="1">
      <c r="A327" s="7">
        <v>46014.0</v>
      </c>
      <c r="B327" s="4" t="s">
        <v>91</v>
      </c>
      <c r="C327" s="8">
        <v>2801.0</v>
      </c>
      <c r="D327" s="8">
        <v>313.0</v>
      </c>
      <c r="E327" s="8">
        <v>46.0</v>
      </c>
      <c r="F327" s="8">
        <v>11.0</v>
      </c>
      <c r="G327" s="8">
        <v>2442.0</v>
      </c>
      <c r="H327" s="8">
        <v>1189080.0</v>
      </c>
      <c r="I327" s="8">
        <v>316.0</v>
      </c>
      <c r="J327" s="8">
        <v>133.0</v>
      </c>
      <c r="K327" s="8">
        <v>183.0</v>
      </c>
      <c r="L327" s="8">
        <v>253683.0</v>
      </c>
    </row>
    <row r="328" ht="15.75" customHeight="1">
      <c r="A328" s="7">
        <v>46015.0</v>
      </c>
      <c r="B328" s="4" t="s">
        <v>82</v>
      </c>
      <c r="C328" s="8">
        <v>2795.0</v>
      </c>
      <c r="D328" s="8">
        <v>157.0</v>
      </c>
      <c r="E328" s="8">
        <v>80.0</v>
      </c>
      <c r="F328" s="8">
        <v>0.0</v>
      </c>
      <c r="G328" s="8">
        <v>2558.0</v>
      </c>
      <c r="H328" s="8">
        <v>1191638.0</v>
      </c>
      <c r="I328" s="8">
        <v>292.0</v>
      </c>
      <c r="J328" s="8">
        <v>101.0</v>
      </c>
      <c r="K328" s="8">
        <v>191.0</v>
      </c>
      <c r="L328" s="8">
        <v>253874.0</v>
      </c>
    </row>
    <row r="329" ht="15.75" customHeight="1">
      <c r="A329" s="7">
        <v>46016.0</v>
      </c>
      <c r="B329" s="4" t="s">
        <v>75</v>
      </c>
      <c r="C329" s="8">
        <v>1626.0</v>
      </c>
      <c r="D329" s="8">
        <v>126.0</v>
      </c>
      <c r="E329" s="8">
        <v>146.0</v>
      </c>
      <c r="F329" s="8">
        <v>2.0</v>
      </c>
      <c r="G329" s="8">
        <v>1354.0</v>
      </c>
      <c r="H329" s="8">
        <v>1192992.0</v>
      </c>
      <c r="I329" s="8">
        <v>273.0</v>
      </c>
      <c r="J329" s="8">
        <v>112.0</v>
      </c>
      <c r="K329" s="8">
        <v>161.0</v>
      </c>
      <c r="L329" s="8">
        <v>254035.0</v>
      </c>
    </row>
    <row r="330" ht="15.75" customHeight="1">
      <c r="A330" s="7">
        <v>46017.0</v>
      </c>
      <c r="B330" s="4" t="s">
        <v>135</v>
      </c>
      <c r="C330" s="8">
        <v>1357.0</v>
      </c>
      <c r="D330" s="8">
        <v>273.0</v>
      </c>
      <c r="E330" s="8">
        <v>145.0</v>
      </c>
      <c r="F330" s="8">
        <v>11.0</v>
      </c>
      <c r="G330" s="8">
        <v>939.0</v>
      </c>
      <c r="H330" s="8">
        <v>1193931.0</v>
      </c>
      <c r="I330" s="8">
        <v>703.0</v>
      </c>
      <c r="J330" s="8">
        <v>100.0</v>
      </c>
      <c r="K330" s="8">
        <v>603.0</v>
      </c>
      <c r="L330" s="8">
        <v>254638.0</v>
      </c>
    </row>
    <row r="331" ht="15.75" customHeight="1">
      <c r="A331" s="7">
        <v>46018.0</v>
      </c>
      <c r="B331" s="4" t="s">
        <v>105</v>
      </c>
      <c r="C331" s="8">
        <v>3195.0</v>
      </c>
      <c r="D331" s="8">
        <v>266.0</v>
      </c>
      <c r="E331" s="8">
        <v>79.0</v>
      </c>
      <c r="F331" s="8">
        <v>0.0</v>
      </c>
      <c r="G331" s="8">
        <v>2850.0</v>
      </c>
      <c r="H331" s="8">
        <v>1196781.0</v>
      </c>
      <c r="I331" s="8">
        <v>267.0</v>
      </c>
      <c r="J331" s="8">
        <v>54.0</v>
      </c>
      <c r="K331" s="8">
        <v>213.0</v>
      </c>
      <c r="L331" s="8">
        <v>254851.0</v>
      </c>
    </row>
    <row r="332" ht="15.75" customHeight="1">
      <c r="A332" s="7">
        <v>46019.0</v>
      </c>
      <c r="B332" s="4" t="s">
        <v>59</v>
      </c>
      <c r="C332" s="8">
        <v>3360.0</v>
      </c>
      <c r="D332" s="8">
        <v>377.0</v>
      </c>
      <c r="E332" s="8">
        <v>42.0</v>
      </c>
      <c r="F332" s="8">
        <v>6.0</v>
      </c>
      <c r="G332" s="8">
        <v>2941.0</v>
      </c>
      <c r="H332" s="8">
        <v>1199722.0</v>
      </c>
      <c r="I332" s="8">
        <v>385.0</v>
      </c>
      <c r="J332" s="8">
        <v>60.0</v>
      </c>
      <c r="K332" s="8">
        <v>325.0</v>
      </c>
      <c r="L332" s="8">
        <v>255176.0</v>
      </c>
    </row>
    <row r="333" ht="15.75" customHeight="1">
      <c r="A333" s="7">
        <v>46020.0</v>
      </c>
      <c r="B333" s="4" t="s">
        <v>98</v>
      </c>
      <c r="C333" s="8">
        <v>2162.0</v>
      </c>
      <c r="D333" s="8">
        <v>252.0</v>
      </c>
      <c r="E333" s="8">
        <v>168.0</v>
      </c>
      <c r="F333" s="8">
        <v>4.0</v>
      </c>
      <c r="G333" s="8">
        <v>1742.0</v>
      </c>
      <c r="H333" s="8">
        <v>1201464.0</v>
      </c>
      <c r="I333" s="8">
        <v>578.0</v>
      </c>
      <c r="J333" s="8">
        <v>113.0</v>
      </c>
      <c r="K333" s="8">
        <v>465.0</v>
      </c>
      <c r="L333" s="8">
        <v>255641.0</v>
      </c>
    </row>
    <row r="334" ht="15.75" customHeight="1">
      <c r="A334" s="7">
        <v>46021.0</v>
      </c>
      <c r="B334" s="4" t="s">
        <v>91</v>
      </c>
      <c r="C334" s="8">
        <v>1401.0</v>
      </c>
      <c r="D334" s="8">
        <v>167.0</v>
      </c>
      <c r="E334" s="8">
        <v>136.0</v>
      </c>
      <c r="F334" s="8">
        <v>2.0</v>
      </c>
      <c r="G334" s="8">
        <v>1098.0</v>
      </c>
      <c r="H334" s="8">
        <v>1202562.0</v>
      </c>
      <c r="I334" s="8">
        <v>398.0</v>
      </c>
      <c r="J334" s="8">
        <v>106.0</v>
      </c>
      <c r="K334" s="8">
        <v>292.0</v>
      </c>
      <c r="L334" s="8">
        <v>255933.0</v>
      </c>
    </row>
    <row r="335" ht="15.75" customHeight="1">
      <c r="A335" s="7">
        <v>46022.0</v>
      </c>
      <c r="B335" s="4" t="s">
        <v>82</v>
      </c>
      <c r="C335" s="8">
        <v>1142.0</v>
      </c>
      <c r="D335" s="8">
        <v>320.0</v>
      </c>
      <c r="E335" s="8">
        <v>59.0</v>
      </c>
      <c r="F335" s="8">
        <v>11.0</v>
      </c>
      <c r="G335" s="8">
        <v>763.0</v>
      </c>
      <c r="H335" s="8">
        <v>1203325.0</v>
      </c>
      <c r="I335" s="8">
        <v>365.0</v>
      </c>
      <c r="J335" s="8">
        <v>63.0</v>
      </c>
      <c r="K335" s="8">
        <v>302.0</v>
      </c>
      <c r="L335" s="8">
        <v>256235.0</v>
      </c>
    </row>
    <row r="336" ht="15.75" customHeight="1">
      <c r="A336" s="7">
        <v>46023.0</v>
      </c>
      <c r="B336" s="4" t="s">
        <v>75</v>
      </c>
      <c r="C336" s="8">
        <v>1796.0</v>
      </c>
      <c r="D336" s="8">
        <v>314.0</v>
      </c>
      <c r="E336" s="8">
        <v>53.0</v>
      </c>
      <c r="F336" s="8">
        <v>12.0</v>
      </c>
      <c r="G336" s="8">
        <v>1429.0</v>
      </c>
      <c r="H336" s="8">
        <v>1204754.0</v>
      </c>
      <c r="I336" s="8">
        <v>328.0</v>
      </c>
      <c r="J336" s="8">
        <v>61.0</v>
      </c>
      <c r="K336" s="8">
        <v>267.0</v>
      </c>
      <c r="L336" s="8">
        <v>256502.0</v>
      </c>
    </row>
    <row r="337" ht="15.75" customHeight="1">
      <c r="A337" s="7">
        <v>46024.0</v>
      </c>
      <c r="B337" s="4" t="s">
        <v>135</v>
      </c>
      <c r="C337" s="8">
        <v>1149.0</v>
      </c>
      <c r="D337" s="8">
        <v>173.0</v>
      </c>
      <c r="E337" s="8">
        <v>132.0</v>
      </c>
      <c r="F337" s="8">
        <v>9.0</v>
      </c>
      <c r="G337" s="8">
        <v>844.0</v>
      </c>
      <c r="H337" s="8">
        <v>1205598.0</v>
      </c>
      <c r="I337" s="8">
        <v>199.0</v>
      </c>
      <c r="J337" s="8">
        <v>49.0</v>
      </c>
      <c r="K337" s="8">
        <v>150.0</v>
      </c>
      <c r="L337" s="8">
        <v>256652.0</v>
      </c>
    </row>
    <row r="338" ht="15.75" customHeight="1">
      <c r="A338" s="7">
        <v>46025.0</v>
      </c>
      <c r="B338" s="4" t="s">
        <v>105</v>
      </c>
      <c r="C338" s="8">
        <v>1260.0</v>
      </c>
      <c r="D338" s="8">
        <v>978.0</v>
      </c>
      <c r="E338" s="8">
        <v>67.0</v>
      </c>
      <c r="F338" s="8">
        <v>1.0</v>
      </c>
      <c r="G338" s="8">
        <v>215.0</v>
      </c>
      <c r="H338" s="8">
        <v>1205813.0</v>
      </c>
      <c r="I338" s="8">
        <v>316.0</v>
      </c>
      <c r="J338" s="8">
        <v>109.0</v>
      </c>
      <c r="K338" s="8">
        <v>207.0</v>
      </c>
      <c r="L338" s="8">
        <v>256859.0</v>
      </c>
    </row>
    <row r="339" ht="15.75" customHeight="1">
      <c r="A339" s="7">
        <v>46026.0</v>
      </c>
      <c r="B339" s="4" t="s">
        <v>59</v>
      </c>
      <c r="C339" s="8">
        <v>1157.0</v>
      </c>
      <c r="D339" s="8">
        <v>223.0</v>
      </c>
      <c r="E339" s="8">
        <v>48.0</v>
      </c>
      <c r="F339" s="8">
        <v>3.0</v>
      </c>
      <c r="G339" s="8">
        <v>886.0</v>
      </c>
      <c r="H339" s="8">
        <v>1206699.0</v>
      </c>
      <c r="I339" s="8">
        <v>451.0</v>
      </c>
      <c r="J339" s="8">
        <v>121.0</v>
      </c>
      <c r="K339" s="8">
        <v>330.0</v>
      </c>
      <c r="L339" s="8">
        <v>257189.0</v>
      </c>
    </row>
    <row r="340" ht="15.75" customHeight="1">
      <c r="A340" s="7">
        <v>46027.0</v>
      </c>
      <c r="B340" s="4" t="s">
        <v>98</v>
      </c>
      <c r="C340" s="8">
        <v>1662.0</v>
      </c>
      <c r="D340" s="8">
        <v>367.0</v>
      </c>
      <c r="E340" s="8">
        <v>52.0</v>
      </c>
      <c r="F340" s="8">
        <v>5.0</v>
      </c>
      <c r="G340" s="8">
        <v>1243.0</v>
      </c>
      <c r="H340" s="8">
        <v>1207942.0</v>
      </c>
      <c r="I340" s="8">
        <v>171.0</v>
      </c>
      <c r="J340" s="8">
        <v>45.0</v>
      </c>
      <c r="K340" s="8">
        <v>126.0</v>
      </c>
      <c r="L340" s="8">
        <v>257315.0</v>
      </c>
    </row>
    <row r="341" ht="15.75" customHeight="1">
      <c r="A341" s="7">
        <v>46028.0</v>
      </c>
      <c r="B341" s="4" t="s">
        <v>91</v>
      </c>
      <c r="C341" s="8">
        <v>1300.0</v>
      </c>
      <c r="D341" s="8">
        <v>264.0</v>
      </c>
      <c r="E341" s="8">
        <v>168.0</v>
      </c>
      <c r="F341" s="8">
        <v>3.0</v>
      </c>
      <c r="G341" s="8">
        <v>868.0</v>
      </c>
      <c r="H341" s="8">
        <v>1208810.0</v>
      </c>
      <c r="I341" s="8">
        <v>479.0</v>
      </c>
      <c r="J341" s="8">
        <v>90.0</v>
      </c>
      <c r="K341" s="8">
        <v>389.0</v>
      </c>
      <c r="L341" s="8">
        <v>257704.0</v>
      </c>
    </row>
    <row r="342" ht="15.75" customHeight="1">
      <c r="A342" s="7">
        <v>46029.0</v>
      </c>
      <c r="B342" s="4" t="s">
        <v>82</v>
      </c>
      <c r="C342" s="8">
        <v>1298.0</v>
      </c>
      <c r="D342" s="8">
        <v>169.0</v>
      </c>
      <c r="E342" s="8">
        <v>144.0</v>
      </c>
      <c r="F342" s="8">
        <v>11.0</v>
      </c>
      <c r="G342" s="8">
        <v>985.0</v>
      </c>
      <c r="H342" s="8">
        <v>1209795.0</v>
      </c>
      <c r="I342" s="8">
        <v>209.0</v>
      </c>
      <c r="J342" s="8">
        <v>82.0</v>
      </c>
      <c r="K342" s="8">
        <v>127.0</v>
      </c>
      <c r="L342" s="8">
        <v>257831.0</v>
      </c>
    </row>
    <row r="343" ht="15.75" customHeight="1">
      <c r="A343" s="7">
        <v>46030.0</v>
      </c>
      <c r="B343" s="4" t="s">
        <v>75</v>
      </c>
      <c r="C343" s="8">
        <v>2028.0</v>
      </c>
      <c r="D343" s="8">
        <v>132.0</v>
      </c>
      <c r="E343" s="8">
        <v>137.0</v>
      </c>
      <c r="F343" s="8">
        <v>7.0</v>
      </c>
      <c r="G343" s="8">
        <v>1759.0</v>
      </c>
      <c r="H343" s="8">
        <v>1211554.0</v>
      </c>
      <c r="I343" s="8">
        <v>217.0</v>
      </c>
      <c r="J343" s="8">
        <v>115.0</v>
      </c>
      <c r="K343" s="8">
        <v>102.0</v>
      </c>
      <c r="L343" s="8">
        <v>257933.0</v>
      </c>
    </row>
    <row r="344" ht="15.75" customHeight="1">
      <c r="A344" s="7">
        <v>46031.0</v>
      </c>
      <c r="B344" s="4" t="s">
        <v>135</v>
      </c>
      <c r="C344" s="8">
        <v>1184.0</v>
      </c>
      <c r="D344" s="8">
        <v>197.0</v>
      </c>
      <c r="E344" s="8">
        <v>158.0</v>
      </c>
      <c r="F344" s="8">
        <v>1.0</v>
      </c>
      <c r="G344" s="8">
        <v>829.0</v>
      </c>
      <c r="H344" s="8">
        <v>1212383.0</v>
      </c>
      <c r="I344" s="8">
        <v>222.0</v>
      </c>
      <c r="J344" s="8">
        <v>127.0</v>
      </c>
      <c r="K344" s="8">
        <v>95.0</v>
      </c>
      <c r="L344" s="8">
        <v>258028.0</v>
      </c>
    </row>
    <row r="345" ht="15.75" customHeight="1">
      <c r="A345" s="7">
        <v>46032.0</v>
      </c>
      <c r="B345" s="4" t="s">
        <v>105</v>
      </c>
      <c r="C345" s="8">
        <v>2219.0</v>
      </c>
      <c r="D345" s="8">
        <v>230.0</v>
      </c>
      <c r="E345" s="8">
        <v>76.0</v>
      </c>
      <c r="F345" s="8">
        <v>12.0</v>
      </c>
      <c r="G345" s="8">
        <v>1913.0</v>
      </c>
      <c r="H345" s="8">
        <v>1214296.0</v>
      </c>
      <c r="I345" s="8">
        <v>291.0</v>
      </c>
      <c r="J345" s="8">
        <v>127.0</v>
      </c>
      <c r="K345" s="8">
        <v>164.0</v>
      </c>
      <c r="L345" s="8">
        <v>258192.0</v>
      </c>
    </row>
    <row r="346" ht="15.75" customHeight="1">
      <c r="A346" s="7">
        <v>46033.0</v>
      </c>
      <c r="B346" s="4" t="s">
        <v>59</v>
      </c>
      <c r="C346" s="8">
        <v>1785.0</v>
      </c>
      <c r="D346" s="8">
        <v>294.0</v>
      </c>
      <c r="E346" s="8">
        <v>73.0</v>
      </c>
      <c r="F346" s="8">
        <v>5.0</v>
      </c>
      <c r="G346" s="8">
        <v>1418.0</v>
      </c>
      <c r="H346" s="8">
        <v>1215714.0</v>
      </c>
      <c r="I346" s="8">
        <v>434.0</v>
      </c>
      <c r="J346" s="8">
        <v>97.0</v>
      </c>
      <c r="K346" s="8">
        <v>337.0</v>
      </c>
      <c r="L346" s="8">
        <v>258529.0</v>
      </c>
    </row>
    <row r="347" ht="15.75" customHeight="1">
      <c r="A347" s="7">
        <v>46034.0</v>
      </c>
      <c r="B347" s="4" t="s">
        <v>98</v>
      </c>
      <c r="C347" s="8">
        <v>1429.0</v>
      </c>
      <c r="D347" s="8">
        <v>318.0</v>
      </c>
      <c r="E347" s="8">
        <v>93.0</v>
      </c>
      <c r="F347" s="8">
        <v>9.0</v>
      </c>
      <c r="G347" s="8">
        <v>1018.0</v>
      </c>
      <c r="H347" s="8">
        <v>1216732.0</v>
      </c>
      <c r="I347" s="8">
        <v>170.0</v>
      </c>
      <c r="J347" s="8">
        <v>70.0</v>
      </c>
      <c r="K347" s="8">
        <v>100.0</v>
      </c>
      <c r="L347" s="8">
        <v>258629.0</v>
      </c>
    </row>
    <row r="348" ht="15.75" customHeight="1">
      <c r="A348" s="7">
        <v>46035.0</v>
      </c>
      <c r="B348" s="4" t="s">
        <v>91</v>
      </c>
      <c r="C348" s="8">
        <v>1666.0</v>
      </c>
      <c r="D348" s="8">
        <v>374.0</v>
      </c>
      <c r="E348" s="8">
        <v>43.0</v>
      </c>
      <c r="F348" s="8">
        <v>2.0</v>
      </c>
      <c r="G348" s="8">
        <v>1249.0</v>
      </c>
      <c r="H348" s="8">
        <v>1217981.0</v>
      </c>
      <c r="I348" s="8">
        <v>425.0</v>
      </c>
      <c r="J348" s="8">
        <v>52.0</v>
      </c>
      <c r="K348" s="8">
        <v>373.0</v>
      </c>
      <c r="L348" s="8">
        <v>259002.0</v>
      </c>
    </row>
    <row r="349" ht="15.75" customHeight="1">
      <c r="A349" s="7">
        <v>46036.0</v>
      </c>
      <c r="B349" s="4" t="s">
        <v>82</v>
      </c>
      <c r="C349" s="8">
        <v>2040.0</v>
      </c>
      <c r="D349" s="8">
        <v>375.0</v>
      </c>
      <c r="E349" s="8">
        <v>156.0</v>
      </c>
      <c r="F349" s="8">
        <v>5.0</v>
      </c>
      <c r="G349" s="8">
        <v>1509.0</v>
      </c>
      <c r="H349" s="8">
        <v>1219490.0</v>
      </c>
      <c r="I349" s="8">
        <v>190.0</v>
      </c>
      <c r="J349" s="8">
        <v>52.0</v>
      </c>
      <c r="K349" s="8">
        <v>138.0</v>
      </c>
      <c r="L349" s="8">
        <v>259140.0</v>
      </c>
    </row>
    <row r="350" ht="15.75" customHeight="1">
      <c r="A350" s="7">
        <v>46037.0</v>
      </c>
      <c r="B350" s="4" t="s">
        <v>75</v>
      </c>
      <c r="C350" s="8">
        <v>798.0</v>
      </c>
      <c r="D350" s="8">
        <v>306.0</v>
      </c>
      <c r="E350" s="8">
        <v>62.0</v>
      </c>
      <c r="F350" s="8">
        <v>1.0</v>
      </c>
      <c r="G350" s="8">
        <v>430.0</v>
      </c>
      <c r="H350" s="8">
        <v>1219920.0</v>
      </c>
      <c r="I350" s="8">
        <v>274.0</v>
      </c>
      <c r="J350" s="8">
        <v>85.0</v>
      </c>
      <c r="K350" s="8">
        <v>189.0</v>
      </c>
      <c r="L350" s="8">
        <v>259329.0</v>
      </c>
    </row>
    <row r="351" ht="15.75" customHeight="1">
      <c r="A351" s="7">
        <v>46038.0</v>
      </c>
      <c r="B351" s="4" t="s">
        <v>135</v>
      </c>
      <c r="C351" s="8">
        <v>1128.0</v>
      </c>
      <c r="D351" s="8">
        <v>251.0</v>
      </c>
      <c r="E351" s="8">
        <v>153.0</v>
      </c>
      <c r="F351" s="8">
        <v>10.0</v>
      </c>
      <c r="G351" s="8">
        <v>724.0</v>
      </c>
      <c r="H351" s="8">
        <v>1220644.0</v>
      </c>
      <c r="I351" s="8">
        <v>358.0</v>
      </c>
      <c r="J351" s="8">
        <v>137.0</v>
      </c>
      <c r="K351" s="8">
        <v>221.0</v>
      </c>
      <c r="L351" s="8">
        <v>259550.0</v>
      </c>
    </row>
    <row r="352" ht="15.75" customHeight="1">
      <c r="A352" s="7">
        <v>46039.0</v>
      </c>
      <c r="B352" s="4" t="s">
        <v>105</v>
      </c>
      <c r="C352" s="8">
        <v>1919.0</v>
      </c>
      <c r="D352" s="8">
        <v>140.0</v>
      </c>
      <c r="E352" s="8">
        <v>113.0</v>
      </c>
      <c r="F352" s="8">
        <v>6.0</v>
      </c>
      <c r="G352" s="8">
        <v>1666.0</v>
      </c>
      <c r="H352" s="8">
        <v>1222310.0</v>
      </c>
      <c r="I352" s="8">
        <v>419.0</v>
      </c>
      <c r="J352" s="8">
        <v>86.0</v>
      </c>
      <c r="K352" s="8">
        <v>333.0</v>
      </c>
      <c r="L352" s="8">
        <v>259883.0</v>
      </c>
    </row>
    <row r="353" ht="15.75" customHeight="1">
      <c r="A353" s="7">
        <v>46040.0</v>
      </c>
      <c r="B353" s="4" t="s">
        <v>59</v>
      </c>
      <c r="C353" s="8">
        <v>2143.0</v>
      </c>
      <c r="D353" s="8">
        <v>345.0</v>
      </c>
      <c r="E353" s="8">
        <v>171.0</v>
      </c>
      <c r="F353" s="8">
        <v>9.0</v>
      </c>
      <c r="G353" s="8">
        <v>1627.0</v>
      </c>
      <c r="H353" s="8">
        <v>1223937.0</v>
      </c>
      <c r="I353" s="8">
        <v>240.0</v>
      </c>
      <c r="J353" s="8">
        <v>86.0</v>
      </c>
      <c r="K353" s="8">
        <v>154.0</v>
      </c>
      <c r="L353" s="8">
        <v>260037.0</v>
      </c>
    </row>
    <row r="354" ht="15.75" customHeight="1">
      <c r="A354" s="7">
        <v>46041.0</v>
      </c>
      <c r="B354" s="4" t="s">
        <v>98</v>
      </c>
      <c r="C354" s="8">
        <v>1867.0</v>
      </c>
      <c r="D354" s="8">
        <v>379.0</v>
      </c>
      <c r="E354" s="8">
        <v>107.0</v>
      </c>
      <c r="F354" s="8">
        <v>10.0</v>
      </c>
      <c r="G354" s="8">
        <v>1381.0</v>
      </c>
      <c r="H354" s="8">
        <v>1225318.0</v>
      </c>
      <c r="I354" s="8">
        <v>332.0</v>
      </c>
      <c r="J354" s="8">
        <v>97.0</v>
      </c>
      <c r="K354" s="8">
        <v>235.0</v>
      </c>
      <c r="L354" s="8">
        <v>260272.0</v>
      </c>
    </row>
    <row r="355" ht="15.75" customHeight="1">
      <c r="A355" s="7">
        <v>46042.0</v>
      </c>
      <c r="B355" s="4" t="s">
        <v>91</v>
      </c>
      <c r="C355" s="8">
        <v>778.0</v>
      </c>
      <c r="D355" s="8">
        <v>245.0</v>
      </c>
      <c r="E355" s="8">
        <v>42.0</v>
      </c>
      <c r="F355" s="8">
        <v>2.0</v>
      </c>
      <c r="G355" s="8">
        <v>491.0</v>
      </c>
      <c r="H355" s="8">
        <v>1225809.0</v>
      </c>
      <c r="I355" s="8">
        <v>475.0</v>
      </c>
      <c r="J355" s="8">
        <v>129.0</v>
      </c>
      <c r="K355" s="8">
        <v>346.0</v>
      </c>
      <c r="L355" s="8">
        <v>260618.0</v>
      </c>
    </row>
    <row r="356" ht="15.75" customHeight="1">
      <c r="A356" s="7">
        <v>46043.0</v>
      </c>
      <c r="B356" s="4" t="s">
        <v>82</v>
      </c>
      <c r="C356" s="8">
        <v>955.0</v>
      </c>
      <c r="D356" s="8">
        <v>324.0</v>
      </c>
      <c r="E356" s="8">
        <v>97.0</v>
      </c>
      <c r="F356" s="8">
        <v>6.0</v>
      </c>
      <c r="G356" s="8">
        <v>534.0</v>
      </c>
      <c r="H356" s="8">
        <v>1226343.0</v>
      </c>
      <c r="I356" s="8">
        <v>400.0</v>
      </c>
      <c r="J356" s="8">
        <v>49.0</v>
      </c>
      <c r="K356" s="8">
        <v>351.0</v>
      </c>
      <c r="L356" s="8">
        <v>260969.0</v>
      </c>
    </row>
    <row r="357" ht="15.75" customHeight="1">
      <c r="A357" s="7">
        <v>46044.0</v>
      </c>
      <c r="B357" s="4" t="s">
        <v>75</v>
      </c>
      <c r="C357" s="8">
        <v>1286.0</v>
      </c>
      <c r="D357" s="8">
        <v>359.0</v>
      </c>
      <c r="E357" s="8">
        <v>176.0</v>
      </c>
      <c r="F357" s="8">
        <v>7.0</v>
      </c>
      <c r="G357" s="8">
        <v>751.0</v>
      </c>
      <c r="H357" s="8">
        <v>1227094.0</v>
      </c>
      <c r="I357" s="8">
        <v>355.0</v>
      </c>
      <c r="J357" s="8">
        <v>122.0</v>
      </c>
      <c r="K357" s="8">
        <v>233.0</v>
      </c>
      <c r="L357" s="8">
        <v>261202.0</v>
      </c>
    </row>
    <row r="358" ht="15.75" customHeight="1">
      <c r="A358" s="7">
        <v>46045.0</v>
      </c>
      <c r="B358" s="4" t="s">
        <v>135</v>
      </c>
      <c r="C358" s="8">
        <v>867.0</v>
      </c>
      <c r="D358" s="8">
        <v>341.0</v>
      </c>
      <c r="E358" s="8">
        <v>142.0</v>
      </c>
      <c r="F358" s="8">
        <v>5.0</v>
      </c>
      <c r="G358" s="8">
        <v>384.0</v>
      </c>
      <c r="H358" s="8">
        <v>1227478.0</v>
      </c>
      <c r="I358" s="8">
        <v>325.0</v>
      </c>
      <c r="J358" s="8">
        <v>65.0</v>
      </c>
      <c r="K358" s="8">
        <v>260.0</v>
      </c>
      <c r="L358" s="8">
        <v>261462.0</v>
      </c>
    </row>
    <row r="359" ht="15.75" customHeight="1">
      <c r="A359" s="7">
        <v>46046.0</v>
      </c>
      <c r="B359" s="4" t="s">
        <v>105</v>
      </c>
      <c r="C359" s="8">
        <v>1991.0</v>
      </c>
      <c r="D359" s="8">
        <v>228.0</v>
      </c>
      <c r="E359" s="8">
        <v>161.0</v>
      </c>
      <c r="F359" s="8">
        <v>1.0</v>
      </c>
      <c r="G359" s="8">
        <v>1602.0</v>
      </c>
      <c r="H359" s="8">
        <v>1229080.0</v>
      </c>
      <c r="I359" s="8">
        <v>418.0</v>
      </c>
      <c r="J359" s="8">
        <v>129.0</v>
      </c>
      <c r="K359" s="8">
        <v>289.0</v>
      </c>
      <c r="L359" s="8">
        <v>261751.0</v>
      </c>
    </row>
    <row r="360" ht="15.75" customHeight="1">
      <c r="A360" s="7">
        <v>46047.0</v>
      </c>
      <c r="B360" s="4" t="s">
        <v>59</v>
      </c>
      <c r="C360" s="8">
        <v>1092.0</v>
      </c>
      <c r="D360" s="8">
        <v>194.0</v>
      </c>
      <c r="E360" s="8">
        <v>94.0</v>
      </c>
      <c r="F360" s="8">
        <v>5.0</v>
      </c>
      <c r="G360" s="8">
        <v>804.0</v>
      </c>
      <c r="H360" s="8">
        <v>1229884.0</v>
      </c>
      <c r="I360" s="8">
        <v>410.0</v>
      </c>
      <c r="J360" s="8">
        <v>121.0</v>
      </c>
      <c r="K360" s="8">
        <v>289.0</v>
      </c>
      <c r="L360" s="8">
        <v>262040.0</v>
      </c>
    </row>
    <row r="361" ht="15.75" customHeight="1">
      <c r="A361" s="7">
        <v>46048.0</v>
      </c>
      <c r="B361" s="4" t="s">
        <v>98</v>
      </c>
      <c r="C361" s="8">
        <v>2027.0</v>
      </c>
      <c r="D361" s="8">
        <v>151.0</v>
      </c>
      <c r="E361" s="8">
        <v>150.0</v>
      </c>
      <c r="F361" s="8">
        <v>7.0</v>
      </c>
      <c r="G361" s="8">
        <v>1726.0</v>
      </c>
      <c r="H361" s="8">
        <v>1231610.0</v>
      </c>
      <c r="I361" s="8">
        <v>317.0</v>
      </c>
      <c r="J361" s="8">
        <v>86.0</v>
      </c>
      <c r="K361" s="8">
        <v>231.0</v>
      </c>
      <c r="L361" s="8">
        <v>262271.0</v>
      </c>
    </row>
    <row r="362" ht="15.75" customHeight="1">
      <c r="A362" s="7">
        <v>46049.0</v>
      </c>
      <c r="B362" s="4" t="s">
        <v>91</v>
      </c>
      <c r="C362" s="8">
        <v>719.0</v>
      </c>
      <c r="D362" s="8">
        <v>336.0</v>
      </c>
      <c r="E362" s="8">
        <v>104.0</v>
      </c>
      <c r="F362" s="8">
        <v>10.0</v>
      </c>
      <c r="G362" s="8">
        <v>279.0</v>
      </c>
      <c r="H362" s="8">
        <v>1231889.0</v>
      </c>
      <c r="I362" s="8">
        <v>482.0</v>
      </c>
      <c r="J362" s="8">
        <v>74.0</v>
      </c>
      <c r="K362" s="8">
        <v>408.0</v>
      </c>
      <c r="L362" s="8">
        <v>262679.0</v>
      </c>
    </row>
    <row r="363" ht="15.75" customHeight="1">
      <c r="A363" s="7">
        <v>46050.0</v>
      </c>
      <c r="B363" s="4" t="s">
        <v>82</v>
      </c>
      <c r="C363" s="8">
        <v>1156.0</v>
      </c>
      <c r="D363" s="8">
        <v>161.0</v>
      </c>
      <c r="E363" s="8">
        <v>155.0</v>
      </c>
      <c r="F363" s="8">
        <v>6.0</v>
      </c>
      <c r="G363" s="8">
        <v>840.0</v>
      </c>
      <c r="H363" s="8">
        <v>1232729.0</v>
      </c>
      <c r="I363" s="8">
        <v>328.0</v>
      </c>
      <c r="J363" s="8">
        <v>78.0</v>
      </c>
      <c r="K363" s="8">
        <v>250.0</v>
      </c>
      <c r="L363" s="8">
        <v>262929.0</v>
      </c>
    </row>
    <row r="364" ht="15.75" customHeight="1">
      <c r="A364" s="7">
        <v>46051.0</v>
      </c>
      <c r="B364" s="4" t="s">
        <v>75</v>
      </c>
      <c r="C364" s="8">
        <v>1131.0</v>
      </c>
      <c r="D364" s="8">
        <v>147.0</v>
      </c>
      <c r="E364" s="8">
        <v>149.0</v>
      </c>
      <c r="F364" s="8">
        <v>5.0</v>
      </c>
      <c r="G364" s="8">
        <v>835.0</v>
      </c>
      <c r="H364" s="8">
        <v>1233564.0</v>
      </c>
      <c r="I364" s="8">
        <v>232.0</v>
      </c>
      <c r="J364" s="8">
        <v>51.0</v>
      </c>
      <c r="K364" s="8">
        <v>181.0</v>
      </c>
      <c r="L364" s="8">
        <v>263110.0</v>
      </c>
    </row>
    <row r="365" ht="15.75" customHeight="1">
      <c r="A365" s="7">
        <v>46052.0</v>
      </c>
      <c r="B365" s="4" t="s">
        <v>135</v>
      </c>
      <c r="C365" s="8">
        <v>1025.0</v>
      </c>
      <c r="D365" s="8">
        <v>334.0</v>
      </c>
      <c r="E365" s="8">
        <v>161.0</v>
      </c>
      <c r="F365" s="8">
        <v>8.0</v>
      </c>
      <c r="G365" s="8">
        <v>530.0</v>
      </c>
      <c r="H365" s="8">
        <v>1234094.0</v>
      </c>
      <c r="I365" s="8">
        <v>304.0</v>
      </c>
      <c r="J365" s="8">
        <v>101.0</v>
      </c>
      <c r="K365" s="8">
        <v>203.0</v>
      </c>
      <c r="L365" s="8">
        <v>263313.0</v>
      </c>
    </row>
    <row r="366" ht="15.75" customHeight="1">
      <c r="A366" s="7">
        <v>46053.0</v>
      </c>
      <c r="B366" s="4" t="s">
        <v>105</v>
      </c>
      <c r="C366" s="8">
        <v>2175.0</v>
      </c>
      <c r="D366" s="8">
        <v>301.0</v>
      </c>
      <c r="E366" s="8">
        <v>139.0</v>
      </c>
      <c r="F366" s="8">
        <v>0.0</v>
      </c>
      <c r="G366" s="8">
        <v>1735.0</v>
      </c>
      <c r="H366" s="8">
        <v>1235829.0</v>
      </c>
      <c r="I366" s="8">
        <v>393.0</v>
      </c>
      <c r="J366" s="8">
        <v>128.0</v>
      </c>
      <c r="K366" s="8">
        <v>265.0</v>
      </c>
      <c r="L366" s="8">
        <v>263578.0</v>
      </c>
    </row>
    <row r="367" ht="15.75" customHeight="1">
      <c r="A367" s="7">
        <v>46054.0</v>
      </c>
      <c r="B367" s="4" t="s">
        <v>59</v>
      </c>
      <c r="C367" s="8">
        <v>1525.0</v>
      </c>
      <c r="D367" s="8">
        <v>194.0</v>
      </c>
      <c r="E367" s="8">
        <v>121.0</v>
      </c>
      <c r="F367" s="8">
        <v>0.0</v>
      </c>
      <c r="G367" s="8">
        <v>1210.0</v>
      </c>
      <c r="H367" s="8">
        <v>1237039.0</v>
      </c>
      <c r="I367" s="8">
        <v>277.0</v>
      </c>
      <c r="J367" s="8">
        <v>81.0</v>
      </c>
      <c r="K367" s="8">
        <v>196.0</v>
      </c>
      <c r="L367" s="8">
        <v>263774.0</v>
      </c>
    </row>
    <row r="368" ht="15.75" customHeight="1">
      <c r="A368" s="7">
        <v>46055.0</v>
      </c>
      <c r="B368" s="4" t="s">
        <v>98</v>
      </c>
      <c r="C368" s="8">
        <v>1212.0</v>
      </c>
      <c r="D368" s="8">
        <v>1100.0</v>
      </c>
      <c r="E368" s="8">
        <v>144.0</v>
      </c>
      <c r="F368" s="8">
        <v>4.0</v>
      </c>
      <c r="G368" s="8">
        <v>-32.0</v>
      </c>
      <c r="H368" s="8">
        <v>1237007.0</v>
      </c>
      <c r="I368" s="8">
        <v>478.0</v>
      </c>
      <c r="J368" s="8">
        <v>54.0</v>
      </c>
      <c r="K368" s="8">
        <v>424.0</v>
      </c>
      <c r="L368" s="8">
        <v>264198.0</v>
      </c>
    </row>
    <row r="369" ht="15.75" customHeight="1">
      <c r="A369" s="7">
        <v>46056.0</v>
      </c>
      <c r="B369" s="4" t="s">
        <v>91</v>
      </c>
      <c r="C369" s="8">
        <v>1162.0</v>
      </c>
      <c r="D369" s="8">
        <v>350.0</v>
      </c>
      <c r="E369" s="8">
        <v>64.0</v>
      </c>
      <c r="F369" s="8">
        <v>0.0</v>
      </c>
      <c r="G369" s="8">
        <v>748.0</v>
      </c>
      <c r="H369" s="8">
        <v>1237755.0</v>
      </c>
      <c r="I369" s="8">
        <v>554.0</v>
      </c>
      <c r="J369" s="8">
        <v>121.0</v>
      </c>
      <c r="K369" s="8">
        <v>433.0</v>
      </c>
      <c r="L369" s="8">
        <v>264631.0</v>
      </c>
    </row>
    <row r="370" ht="15.75" customHeight="1">
      <c r="A370" s="7">
        <v>46057.0</v>
      </c>
      <c r="B370" s="4" t="s">
        <v>82</v>
      </c>
      <c r="C370" s="8">
        <v>1826.0</v>
      </c>
      <c r="D370" s="8">
        <v>205.0</v>
      </c>
      <c r="E370" s="8">
        <v>136.0</v>
      </c>
      <c r="F370" s="8">
        <v>3.0</v>
      </c>
      <c r="G370" s="8">
        <v>1485.0</v>
      </c>
      <c r="H370" s="8">
        <v>1239240.0</v>
      </c>
      <c r="I370" s="8">
        <v>589.0</v>
      </c>
      <c r="J370" s="8">
        <v>116.0</v>
      </c>
      <c r="K370" s="8">
        <v>473.0</v>
      </c>
      <c r="L370" s="8">
        <v>265104.0</v>
      </c>
    </row>
    <row r="371" ht="15.75" customHeight="1">
      <c r="A371" s="7">
        <v>46058.0</v>
      </c>
      <c r="B371" s="4" t="s">
        <v>75</v>
      </c>
      <c r="C371" s="8">
        <v>2410.0</v>
      </c>
      <c r="D371" s="8">
        <v>127.0</v>
      </c>
      <c r="E371" s="8">
        <v>133.0</v>
      </c>
      <c r="F371" s="8">
        <v>0.0</v>
      </c>
      <c r="G371" s="8">
        <v>2150.0</v>
      </c>
      <c r="H371" s="8">
        <v>1241390.0</v>
      </c>
      <c r="I371" s="8">
        <v>522.0</v>
      </c>
      <c r="J371" s="8">
        <v>87.0</v>
      </c>
      <c r="K371" s="8">
        <v>435.0</v>
      </c>
      <c r="L371" s="8">
        <v>265539.0</v>
      </c>
    </row>
    <row r="372" ht="15.75" customHeight="1">
      <c r="A372" s="7">
        <v>46059.0</v>
      </c>
      <c r="B372" s="4" t="s">
        <v>135</v>
      </c>
      <c r="C372" s="8">
        <v>1160.0</v>
      </c>
      <c r="D372" s="8">
        <v>375.0</v>
      </c>
      <c r="E372" s="8">
        <v>156.0</v>
      </c>
      <c r="F372" s="8">
        <v>6.0</v>
      </c>
      <c r="G372" s="8">
        <v>629.0</v>
      </c>
      <c r="H372" s="8">
        <v>1242019.0</v>
      </c>
      <c r="I372" s="8">
        <v>591.0</v>
      </c>
      <c r="J372" s="8">
        <v>123.0</v>
      </c>
      <c r="K372" s="8">
        <v>468.0</v>
      </c>
      <c r="L372" s="8">
        <v>266007.0</v>
      </c>
    </row>
    <row r="373" ht="15.75" customHeight="1">
      <c r="A373" s="7">
        <v>46060.0</v>
      </c>
      <c r="B373" s="4" t="s">
        <v>105</v>
      </c>
      <c r="C373" s="8">
        <v>2416.0</v>
      </c>
      <c r="D373" s="8">
        <v>291.0</v>
      </c>
      <c r="E373" s="8">
        <v>85.0</v>
      </c>
      <c r="F373" s="8">
        <v>7.0</v>
      </c>
      <c r="G373" s="8">
        <v>2040.0</v>
      </c>
      <c r="H373" s="8">
        <v>1244059.0</v>
      </c>
      <c r="I373" s="8">
        <v>503.0</v>
      </c>
      <c r="J373" s="8">
        <v>54.0</v>
      </c>
      <c r="K373" s="8">
        <v>449.0</v>
      </c>
      <c r="L373" s="8">
        <v>266456.0</v>
      </c>
    </row>
    <row r="374" ht="15.75" customHeight="1">
      <c r="A374" s="7">
        <v>46061.0</v>
      </c>
      <c r="B374" s="4" t="s">
        <v>59</v>
      </c>
      <c r="C374" s="8">
        <v>2552.0</v>
      </c>
      <c r="D374" s="8">
        <v>343.0</v>
      </c>
      <c r="E374" s="8">
        <v>112.0</v>
      </c>
      <c r="F374" s="8">
        <v>10.0</v>
      </c>
      <c r="G374" s="8">
        <v>2097.0</v>
      </c>
      <c r="H374" s="8">
        <v>1246156.0</v>
      </c>
      <c r="I374" s="8">
        <v>332.0</v>
      </c>
      <c r="J374" s="8">
        <v>88.0</v>
      </c>
      <c r="K374" s="8">
        <v>244.0</v>
      </c>
      <c r="L374" s="8">
        <v>266700.0</v>
      </c>
    </row>
    <row r="375" ht="15.75" customHeight="1">
      <c r="A375" s="7">
        <v>46062.0</v>
      </c>
      <c r="B375" s="4" t="s">
        <v>98</v>
      </c>
      <c r="C375" s="8">
        <v>1518.0</v>
      </c>
      <c r="D375" s="8">
        <v>170.0</v>
      </c>
      <c r="E375" s="8">
        <v>66.0</v>
      </c>
      <c r="F375" s="8">
        <v>1.0</v>
      </c>
      <c r="G375" s="8">
        <v>1282.0</v>
      </c>
      <c r="H375" s="8">
        <v>1247438.0</v>
      </c>
      <c r="I375" s="8">
        <v>592.0</v>
      </c>
      <c r="J375" s="8">
        <v>51.0</v>
      </c>
      <c r="K375" s="8">
        <v>541.0</v>
      </c>
      <c r="L375" s="8">
        <v>267241.0</v>
      </c>
    </row>
    <row r="376" ht="15.75" customHeight="1">
      <c r="A376" s="7">
        <v>46063.0</v>
      </c>
      <c r="B376" s="4" t="s">
        <v>91</v>
      </c>
      <c r="C376" s="8">
        <v>1806.0</v>
      </c>
      <c r="D376" s="8">
        <v>374.0</v>
      </c>
      <c r="E376" s="8">
        <v>179.0</v>
      </c>
      <c r="F376" s="8">
        <v>1.0</v>
      </c>
      <c r="G376" s="8">
        <v>1253.0</v>
      </c>
      <c r="H376" s="8">
        <v>1248691.0</v>
      </c>
      <c r="I376" s="8">
        <v>256.0</v>
      </c>
      <c r="J376" s="8">
        <v>135.0</v>
      </c>
      <c r="K376" s="8">
        <v>121.0</v>
      </c>
      <c r="L376" s="8">
        <v>267362.0</v>
      </c>
    </row>
    <row r="377" ht="15.75" customHeight="1">
      <c r="A377" s="7">
        <v>46064.0</v>
      </c>
      <c r="B377" s="4" t="s">
        <v>82</v>
      </c>
      <c r="C377" s="8">
        <v>952.0</v>
      </c>
      <c r="D377" s="8">
        <v>268.0</v>
      </c>
      <c r="E377" s="8">
        <v>94.0</v>
      </c>
      <c r="F377" s="8">
        <v>3.0</v>
      </c>
      <c r="G377" s="8">
        <v>590.0</v>
      </c>
      <c r="H377" s="8">
        <v>1249281.0</v>
      </c>
      <c r="I377" s="8">
        <v>573.0</v>
      </c>
      <c r="J377" s="8">
        <v>93.0</v>
      </c>
      <c r="K377" s="8">
        <v>480.0</v>
      </c>
      <c r="L377" s="8">
        <v>267842.0</v>
      </c>
    </row>
    <row r="378" ht="15.75" customHeight="1">
      <c r="A378" s="7">
        <v>46065.0</v>
      </c>
      <c r="B378" s="4" t="s">
        <v>75</v>
      </c>
      <c r="C378" s="8">
        <v>1137.0</v>
      </c>
      <c r="D378" s="8">
        <v>360.0</v>
      </c>
      <c r="E378" s="8">
        <v>129.0</v>
      </c>
      <c r="F378" s="8">
        <v>12.0</v>
      </c>
      <c r="G378" s="8">
        <v>648.0</v>
      </c>
      <c r="H378" s="8">
        <v>1249929.0</v>
      </c>
      <c r="I378" s="8">
        <v>308.0</v>
      </c>
      <c r="J378" s="8">
        <v>55.0</v>
      </c>
      <c r="K378" s="8">
        <v>253.0</v>
      </c>
      <c r="L378" s="8">
        <v>268095.0</v>
      </c>
    </row>
    <row r="379" ht="15.75" customHeight="1">
      <c r="A379" s="7">
        <v>46066.0</v>
      </c>
      <c r="B379" s="4" t="s">
        <v>135</v>
      </c>
      <c r="C379" s="8">
        <v>2332.0</v>
      </c>
      <c r="D379" s="8">
        <v>322.0</v>
      </c>
      <c r="E379" s="8">
        <v>135.0</v>
      </c>
      <c r="F379" s="8">
        <v>12.0</v>
      </c>
      <c r="G379" s="8">
        <v>1875.0</v>
      </c>
      <c r="H379" s="8">
        <v>1251804.0</v>
      </c>
      <c r="I379" s="8">
        <v>594.0</v>
      </c>
      <c r="J379" s="8">
        <v>40.0</v>
      </c>
      <c r="K379" s="8">
        <v>554.0</v>
      </c>
      <c r="L379" s="8">
        <v>268649.0</v>
      </c>
    </row>
    <row r="380" ht="15.75" customHeight="1">
      <c r="A380" s="7">
        <v>46067.0</v>
      </c>
      <c r="B380" s="4" t="s">
        <v>105</v>
      </c>
      <c r="C380" s="8">
        <v>2717.0</v>
      </c>
      <c r="D380" s="8">
        <v>277.0</v>
      </c>
      <c r="E380" s="8">
        <v>101.0</v>
      </c>
      <c r="F380" s="8">
        <v>0.0</v>
      </c>
      <c r="G380" s="8">
        <v>2339.0</v>
      </c>
      <c r="H380" s="8">
        <v>1254143.0</v>
      </c>
      <c r="I380" s="8">
        <v>398.0</v>
      </c>
      <c r="J380" s="8">
        <v>93.0</v>
      </c>
      <c r="K380" s="8">
        <v>305.0</v>
      </c>
      <c r="L380" s="8">
        <v>268954.0</v>
      </c>
    </row>
    <row r="381" ht="15.75" customHeight="1">
      <c r="A381" s="7">
        <v>46068.0</v>
      </c>
      <c r="B381" s="4" t="s">
        <v>59</v>
      </c>
      <c r="C381" s="8">
        <v>1051.0</v>
      </c>
      <c r="D381" s="8">
        <v>198.0</v>
      </c>
      <c r="E381" s="8">
        <v>172.0</v>
      </c>
      <c r="F381" s="8">
        <v>11.0</v>
      </c>
      <c r="G381" s="8">
        <v>681.0</v>
      </c>
      <c r="H381" s="8">
        <v>1254824.0</v>
      </c>
      <c r="I381" s="8">
        <v>244.0</v>
      </c>
      <c r="J381" s="8">
        <v>87.0</v>
      </c>
      <c r="K381" s="8">
        <v>157.0</v>
      </c>
      <c r="L381" s="8">
        <v>269111.0</v>
      </c>
    </row>
    <row r="382" ht="15.75" customHeight="1">
      <c r="A382" s="7">
        <v>46069.0</v>
      </c>
      <c r="B382" s="4" t="s">
        <v>98</v>
      </c>
      <c r="C382" s="8">
        <v>2168.0</v>
      </c>
      <c r="D382" s="8">
        <v>243.0</v>
      </c>
      <c r="E382" s="8">
        <v>140.0</v>
      </c>
      <c r="F382" s="8">
        <v>3.0</v>
      </c>
      <c r="G382" s="8">
        <v>1785.0</v>
      </c>
      <c r="H382" s="8">
        <v>1256609.0</v>
      </c>
      <c r="I382" s="8">
        <v>440.0</v>
      </c>
      <c r="J382" s="8">
        <v>111.0</v>
      </c>
      <c r="K382" s="8">
        <v>329.0</v>
      </c>
      <c r="L382" s="8">
        <v>269440.0</v>
      </c>
    </row>
    <row r="383" ht="15.75" customHeight="1">
      <c r="A383" s="7">
        <v>46070.0</v>
      </c>
      <c r="B383" s="4" t="s">
        <v>91</v>
      </c>
      <c r="C383" s="8">
        <v>995.0</v>
      </c>
      <c r="D383" s="8">
        <v>339.0</v>
      </c>
      <c r="E383" s="8">
        <v>139.0</v>
      </c>
      <c r="F383" s="8">
        <v>11.0</v>
      </c>
      <c r="G383" s="8">
        <v>517.0</v>
      </c>
      <c r="H383" s="8">
        <v>1257126.0</v>
      </c>
      <c r="I383" s="8">
        <v>649.0</v>
      </c>
      <c r="J383" s="8">
        <v>56.0</v>
      </c>
      <c r="K383" s="8">
        <v>593.0</v>
      </c>
      <c r="L383" s="8">
        <v>270033.0</v>
      </c>
    </row>
    <row r="384" ht="15.75" customHeight="1">
      <c r="A384" s="7">
        <v>46071.0</v>
      </c>
      <c r="B384" s="4" t="s">
        <v>82</v>
      </c>
      <c r="C384" s="8">
        <v>2044.0</v>
      </c>
      <c r="D384" s="8">
        <v>343.0</v>
      </c>
      <c r="E384" s="8">
        <v>65.0</v>
      </c>
      <c r="F384" s="8">
        <v>11.0</v>
      </c>
      <c r="G384" s="8">
        <v>1636.0</v>
      </c>
      <c r="H384" s="8">
        <v>1258762.0</v>
      </c>
      <c r="I384" s="8">
        <v>287.0</v>
      </c>
      <c r="J384" s="8">
        <v>69.0</v>
      </c>
      <c r="K384" s="8">
        <v>218.0</v>
      </c>
      <c r="L384" s="8">
        <v>270251.0</v>
      </c>
    </row>
    <row r="385" ht="15.75" customHeight="1">
      <c r="A385" s="7">
        <v>46072.0</v>
      </c>
      <c r="B385" s="4" t="s">
        <v>75</v>
      </c>
      <c r="C385" s="8">
        <v>2302.0</v>
      </c>
      <c r="D385" s="8">
        <v>320.0</v>
      </c>
      <c r="E385" s="8">
        <v>106.0</v>
      </c>
      <c r="F385" s="8">
        <v>8.0</v>
      </c>
      <c r="G385" s="8">
        <v>1876.0</v>
      </c>
      <c r="H385" s="8">
        <v>1260638.0</v>
      </c>
      <c r="I385" s="8">
        <v>522.0</v>
      </c>
      <c r="J385" s="8">
        <v>137.0</v>
      </c>
      <c r="K385" s="8">
        <v>385.0</v>
      </c>
      <c r="L385" s="8">
        <v>270636.0</v>
      </c>
    </row>
    <row r="386" ht="15.75" customHeight="1">
      <c r="A386" s="7">
        <v>46073.0</v>
      </c>
      <c r="B386" s="4" t="s">
        <v>135</v>
      </c>
      <c r="C386" s="8">
        <v>1089.0</v>
      </c>
      <c r="D386" s="8">
        <v>133.0</v>
      </c>
      <c r="E386" s="8">
        <v>42.0</v>
      </c>
      <c r="F386" s="8">
        <v>10.0</v>
      </c>
      <c r="G386" s="8">
        <v>914.0</v>
      </c>
      <c r="H386" s="8">
        <v>1261552.0</v>
      </c>
      <c r="I386" s="8">
        <v>249.0</v>
      </c>
      <c r="J386" s="8">
        <v>95.0</v>
      </c>
      <c r="K386" s="8">
        <v>154.0</v>
      </c>
      <c r="L386" s="8">
        <v>270790.0</v>
      </c>
    </row>
    <row r="387" ht="15.75" customHeight="1">
      <c r="A387" s="7">
        <v>46074.0</v>
      </c>
      <c r="B387" s="4" t="s">
        <v>105</v>
      </c>
      <c r="C387" s="8">
        <v>2612.0</v>
      </c>
      <c r="D387" s="8">
        <v>160.0</v>
      </c>
      <c r="E387" s="8">
        <v>137.0</v>
      </c>
      <c r="F387" s="8">
        <v>0.0</v>
      </c>
      <c r="G387" s="8">
        <v>2315.0</v>
      </c>
      <c r="H387" s="8">
        <v>1263867.0</v>
      </c>
      <c r="I387" s="8">
        <v>685.0</v>
      </c>
      <c r="J387" s="8">
        <v>113.0</v>
      </c>
      <c r="K387" s="8">
        <v>572.0</v>
      </c>
      <c r="L387" s="8">
        <v>271362.0</v>
      </c>
    </row>
    <row r="388" ht="15.75" customHeight="1">
      <c r="A388" s="7">
        <v>46075.0</v>
      </c>
      <c r="B388" s="4" t="s">
        <v>59</v>
      </c>
      <c r="C388" s="8">
        <v>2187.0</v>
      </c>
      <c r="D388" s="8">
        <v>303.0</v>
      </c>
      <c r="E388" s="8">
        <v>101.0</v>
      </c>
      <c r="F388" s="8">
        <v>10.0</v>
      </c>
      <c r="G388" s="8">
        <v>1783.0</v>
      </c>
      <c r="H388" s="8">
        <v>1265650.0</v>
      </c>
      <c r="I388" s="8">
        <v>637.0</v>
      </c>
      <c r="J388" s="8">
        <v>63.0</v>
      </c>
      <c r="K388" s="8">
        <v>574.0</v>
      </c>
      <c r="L388" s="8">
        <v>271936.0</v>
      </c>
    </row>
    <row r="389" ht="15.75" customHeight="1">
      <c r="A389" s="7">
        <v>46076.0</v>
      </c>
      <c r="B389" s="4" t="s">
        <v>98</v>
      </c>
      <c r="C389" s="8">
        <v>2085.0</v>
      </c>
      <c r="D389" s="8">
        <v>245.0</v>
      </c>
      <c r="E389" s="8">
        <v>136.0</v>
      </c>
      <c r="F389" s="8">
        <v>12.0</v>
      </c>
      <c r="G389" s="8">
        <v>1704.0</v>
      </c>
      <c r="H389" s="8">
        <v>1267354.0</v>
      </c>
      <c r="I389" s="8">
        <v>671.0</v>
      </c>
      <c r="J389" s="8">
        <v>132.0</v>
      </c>
      <c r="K389" s="8">
        <v>539.0</v>
      </c>
      <c r="L389" s="8">
        <v>272475.0</v>
      </c>
    </row>
    <row r="390" ht="15.75" customHeight="1">
      <c r="A390" s="7">
        <v>46077.0</v>
      </c>
      <c r="B390" s="4" t="s">
        <v>91</v>
      </c>
      <c r="C390" s="8">
        <v>1065.0</v>
      </c>
      <c r="D390" s="8">
        <v>131.0</v>
      </c>
      <c r="E390" s="8">
        <v>66.0</v>
      </c>
      <c r="F390" s="8">
        <v>1.0</v>
      </c>
      <c r="G390" s="8">
        <v>868.0</v>
      </c>
      <c r="H390" s="8">
        <v>1268222.0</v>
      </c>
      <c r="I390" s="8">
        <v>278.0</v>
      </c>
      <c r="J390" s="8">
        <v>121.0</v>
      </c>
      <c r="K390" s="8">
        <v>157.0</v>
      </c>
      <c r="L390" s="8">
        <v>272632.0</v>
      </c>
    </row>
    <row r="391" ht="15.75" customHeight="1">
      <c r="A391" s="7">
        <v>46078.0</v>
      </c>
      <c r="B391" s="4" t="s">
        <v>82</v>
      </c>
      <c r="C391" s="8">
        <v>1120.0</v>
      </c>
      <c r="D391" s="8">
        <v>264.0</v>
      </c>
      <c r="E391" s="8">
        <v>86.0</v>
      </c>
      <c r="F391" s="8">
        <v>1.0</v>
      </c>
      <c r="G391" s="8">
        <v>770.0</v>
      </c>
      <c r="H391" s="8">
        <v>1268992.0</v>
      </c>
      <c r="I391" s="8">
        <v>277.0</v>
      </c>
      <c r="J391" s="8">
        <v>73.0</v>
      </c>
      <c r="K391" s="8">
        <v>204.0</v>
      </c>
      <c r="L391" s="8">
        <v>272836.0</v>
      </c>
    </row>
    <row r="392" ht="15.75" customHeight="1">
      <c r="A392" s="7">
        <v>46079.0</v>
      </c>
      <c r="B392" s="4" t="s">
        <v>75</v>
      </c>
      <c r="C392" s="8">
        <v>1347.0</v>
      </c>
      <c r="D392" s="8">
        <v>171.0</v>
      </c>
      <c r="E392" s="8">
        <v>45.0</v>
      </c>
      <c r="F392" s="8">
        <v>6.0</v>
      </c>
      <c r="G392" s="8">
        <v>1131.0</v>
      </c>
      <c r="H392" s="8">
        <v>1270123.0</v>
      </c>
      <c r="I392" s="8">
        <v>418.0</v>
      </c>
      <c r="J392" s="8">
        <v>102.0</v>
      </c>
      <c r="K392" s="8">
        <v>316.0</v>
      </c>
      <c r="L392" s="8">
        <v>273152.0</v>
      </c>
    </row>
    <row r="393" ht="15.75" customHeight="1">
      <c r="A393" s="7">
        <v>46080.0</v>
      </c>
      <c r="B393" s="4" t="s">
        <v>135</v>
      </c>
      <c r="C393" s="8">
        <v>1051.0</v>
      </c>
      <c r="D393" s="8">
        <v>334.0</v>
      </c>
      <c r="E393" s="8">
        <v>120.0</v>
      </c>
      <c r="F393" s="8">
        <v>10.0</v>
      </c>
      <c r="G393" s="8">
        <v>597.0</v>
      </c>
      <c r="H393" s="8">
        <v>1270720.0</v>
      </c>
      <c r="I393" s="8">
        <v>315.0</v>
      </c>
      <c r="J393" s="8">
        <v>88.0</v>
      </c>
      <c r="K393" s="8">
        <v>227.0</v>
      </c>
      <c r="L393" s="8">
        <v>273379.0</v>
      </c>
    </row>
    <row r="394" ht="15.75" customHeight="1">
      <c r="A394" s="7">
        <v>46081.0</v>
      </c>
      <c r="B394" s="4" t="s">
        <v>105</v>
      </c>
      <c r="C394" s="8">
        <v>1477.0</v>
      </c>
      <c r="D394" s="8">
        <v>125.0</v>
      </c>
      <c r="E394" s="8">
        <v>48.0</v>
      </c>
      <c r="F394" s="8">
        <v>1.0</v>
      </c>
      <c r="G394" s="8">
        <v>1304.0</v>
      </c>
      <c r="H394" s="8">
        <v>1272024.0</v>
      </c>
      <c r="I394" s="8">
        <v>419.0</v>
      </c>
      <c r="J394" s="8">
        <v>62.0</v>
      </c>
      <c r="K394" s="8">
        <v>357.0</v>
      </c>
      <c r="L394" s="8">
        <v>273736.0</v>
      </c>
    </row>
    <row r="395" ht="15.75" customHeight="1">
      <c r="A395" s="7">
        <v>46082.0</v>
      </c>
      <c r="B395" s="4" t="s">
        <v>59</v>
      </c>
      <c r="C395" s="8">
        <v>2162.0</v>
      </c>
      <c r="D395" s="8">
        <v>122.0</v>
      </c>
      <c r="E395" s="8">
        <v>173.0</v>
      </c>
      <c r="F395" s="8">
        <v>11.0</v>
      </c>
      <c r="G395" s="8">
        <v>1867.0</v>
      </c>
      <c r="H395" s="8">
        <v>1273891.0</v>
      </c>
      <c r="I395" s="8">
        <v>596.0</v>
      </c>
      <c r="J395" s="8">
        <v>60.0</v>
      </c>
      <c r="K395" s="8">
        <v>536.0</v>
      </c>
      <c r="L395" s="8">
        <v>274272.0</v>
      </c>
    </row>
    <row r="396" ht="15.75" customHeight="1">
      <c r="A396" s="7">
        <v>46083.0</v>
      </c>
      <c r="B396" s="4" t="s">
        <v>98</v>
      </c>
      <c r="C396" s="8">
        <v>2143.0</v>
      </c>
      <c r="D396" s="8">
        <v>131.0</v>
      </c>
      <c r="E396" s="8">
        <v>171.0</v>
      </c>
      <c r="F396" s="8">
        <v>12.0</v>
      </c>
      <c r="G396" s="8">
        <v>1841.0</v>
      </c>
      <c r="H396" s="8">
        <v>1275732.0</v>
      </c>
      <c r="I396" s="8">
        <v>204.0</v>
      </c>
      <c r="J396" s="8">
        <v>106.0</v>
      </c>
      <c r="K396" s="8">
        <v>98.0</v>
      </c>
      <c r="L396" s="8">
        <v>274370.0</v>
      </c>
    </row>
    <row r="397" ht="15.75" customHeight="1">
      <c r="A397" s="7">
        <v>46084.0</v>
      </c>
      <c r="B397" s="4" t="s">
        <v>91</v>
      </c>
      <c r="C397" s="8">
        <v>1086.0</v>
      </c>
      <c r="D397" s="8">
        <v>135.0</v>
      </c>
      <c r="E397" s="8">
        <v>75.0</v>
      </c>
      <c r="F397" s="8">
        <v>3.0</v>
      </c>
      <c r="G397" s="8">
        <v>876.0</v>
      </c>
      <c r="H397" s="8">
        <v>1276608.0</v>
      </c>
      <c r="I397" s="8">
        <v>305.0</v>
      </c>
      <c r="J397" s="8">
        <v>81.0</v>
      </c>
      <c r="K397" s="8">
        <v>224.0</v>
      </c>
      <c r="L397" s="8">
        <v>274594.0</v>
      </c>
    </row>
    <row r="398" ht="15.75" customHeight="1">
      <c r="A398" s="7">
        <v>46085.0</v>
      </c>
      <c r="B398" s="4" t="s">
        <v>82</v>
      </c>
      <c r="C398" s="8">
        <v>1111.0</v>
      </c>
      <c r="D398" s="8">
        <v>260.0</v>
      </c>
      <c r="E398" s="8">
        <v>91.0</v>
      </c>
      <c r="F398" s="8">
        <v>1.0</v>
      </c>
      <c r="G398" s="8">
        <v>760.0</v>
      </c>
      <c r="H398" s="8">
        <v>1277368.0</v>
      </c>
      <c r="I398" s="8">
        <v>332.0</v>
      </c>
      <c r="J398" s="8">
        <v>101.0</v>
      </c>
      <c r="K398" s="8">
        <v>231.0</v>
      </c>
      <c r="L398" s="8">
        <v>274825.0</v>
      </c>
    </row>
    <row r="399" ht="15.75" customHeight="1">
      <c r="A399" s="7">
        <v>46086.0</v>
      </c>
      <c r="B399" s="4" t="s">
        <v>75</v>
      </c>
      <c r="C399" s="8">
        <v>1472.0</v>
      </c>
      <c r="D399" s="8">
        <v>373.0</v>
      </c>
      <c r="E399" s="8">
        <v>171.0</v>
      </c>
      <c r="F399" s="8">
        <v>6.0</v>
      </c>
      <c r="G399" s="8">
        <v>928.0</v>
      </c>
      <c r="H399" s="8">
        <v>1278296.0</v>
      </c>
      <c r="I399" s="8">
        <v>439.0</v>
      </c>
      <c r="J399" s="8">
        <v>95.0</v>
      </c>
      <c r="K399" s="8">
        <v>344.0</v>
      </c>
      <c r="L399" s="8">
        <v>275169.0</v>
      </c>
    </row>
    <row r="400" ht="15.75" customHeight="1">
      <c r="A400" s="7">
        <v>46087.0</v>
      </c>
      <c r="B400" s="4" t="s">
        <v>135</v>
      </c>
      <c r="C400" s="8">
        <v>1265.0</v>
      </c>
      <c r="D400" s="8">
        <v>263.0</v>
      </c>
      <c r="E400" s="8">
        <v>66.0</v>
      </c>
      <c r="F400" s="8">
        <v>9.0</v>
      </c>
      <c r="G400" s="8">
        <v>936.0</v>
      </c>
      <c r="H400" s="8">
        <v>1279232.0</v>
      </c>
      <c r="I400" s="8">
        <v>557.0</v>
      </c>
      <c r="J400" s="8">
        <v>90.0</v>
      </c>
      <c r="K400" s="8">
        <v>467.0</v>
      </c>
      <c r="L400" s="8">
        <v>275636.0</v>
      </c>
    </row>
    <row r="401" ht="15.75" customHeight="1">
      <c r="A401" s="7">
        <v>46088.0</v>
      </c>
      <c r="B401" s="4" t="s">
        <v>105</v>
      </c>
      <c r="C401" s="8">
        <v>1375.0</v>
      </c>
      <c r="D401" s="8">
        <v>225.0</v>
      </c>
      <c r="E401" s="8">
        <v>164.0</v>
      </c>
      <c r="F401" s="8">
        <v>6.0</v>
      </c>
      <c r="G401" s="8">
        <v>986.0</v>
      </c>
      <c r="H401" s="8">
        <v>1280218.0</v>
      </c>
      <c r="I401" s="8">
        <v>707.0</v>
      </c>
      <c r="J401" s="8">
        <v>132.0</v>
      </c>
      <c r="K401" s="8">
        <v>575.0</v>
      </c>
      <c r="L401" s="8">
        <v>276211.0</v>
      </c>
    </row>
    <row r="402" ht="15.75" customHeight="1">
      <c r="A402" s="7">
        <v>46089.0</v>
      </c>
      <c r="B402" s="4" t="s">
        <v>59</v>
      </c>
      <c r="C402" s="8">
        <v>2813.0</v>
      </c>
      <c r="D402" s="8">
        <v>283.0</v>
      </c>
      <c r="E402" s="8">
        <v>67.0</v>
      </c>
      <c r="F402" s="8">
        <v>9.0</v>
      </c>
      <c r="G402" s="8">
        <v>2463.0</v>
      </c>
      <c r="H402" s="8">
        <v>1282681.0</v>
      </c>
      <c r="I402" s="8">
        <v>385.0</v>
      </c>
      <c r="J402" s="8">
        <v>119.0</v>
      </c>
      <c r="K402" s="8">
        <v>266.0</v>
      </c>
      <c r="L402" s="8">
        <v>276477.0</v>
      </c>
    </row>
    <row r="403" ht="15.75" customHeight="1">
      <c r="A403" s="7">
        <v>46090.0</v>
      </c>
      <c r="B403" s="4" t="s">
        <v>98</v>
      </c>
      <c r="C403" s="8">
        <v>1598.0</v>
      </c>
      <c r="D403" s="8">
        <v>152.0</v>
      </c>
      <c r="E403" s="8">
        <v>82.0</v>
      </c>
      <c r="F403" s="8">
        <v>0.0</v>
      </c>
      <c r="G403" s="8">
        <v>1364.0</v>
      </c>
      <c r="H403" s="8">
        <v>1284045.0</v>
      </c>
      <c r="I403" s="8">
        <v>389.0</v>
      </c>
      <c r="J403" s="8">
        <v>97.0</v>
      </c>
      <c r="K403" s="8">
        <v>292.0</v>
      </c>
      <c r="L403" s="8">
        <v>276769.0</v>
      </c>
    </row>
    <row r="404" ht="15.75" customHeight="1">
      <c r="A404" s="7">
        <v>46091.0</v>
      </c>
      <c r="B404" s="4" t="s">
        <v>91</v>
      </c>
      <c r="C404" s="8">
        <v>1720.0</v>
      </c>
      <c r="D404" s="8">
        <v>300.0</v>
      </c>
      <c r="E404" s="8">
        <v>47.0</v>
      </c>
      <c r="F404" s="8">
        <v>1.0</v>
      </c>
      <c r="G404" s="8">
        <v>1373.0</v>
      </c>
      <c r="H404" s="8">
        <v>1285418.0</v>
      </c>
      <c r="I404" s="8">
        <v>346.0</v>
      </c>
      <c r="J404" s="8">
        <v>90.0</v>
      </c>
      <c r="K404" s="8">
        <v>256.0</v>
      </c>
      <c r="L404" s="8">
        <v>277025.0</v>
      </c>
    </row>
    <row r="405" ht="15.75" customHeight="1">
      <c r="A405" s="7">
        <v>46092.0</v>
      </c>
      <c r="B405" s="4" t="s">
        <v>82</v>
      </c>
      <c r="C405" s="8">
        <v>1239.0</v>
      </c>
      <c r="D405" s="8">
        <v>245.0</v>
      </c>
      <c r="E405" s="8">
        <v>95.0</v>
      </c>
      <c r="F405" s="8">
        <v>10.0</v>
      </c>
      <c r="G405" s="8">
        <v>899.0</v>
      </c>
      <c r="H405" s="8">
        <v>1286317.0</v>
      </c>
      <c r="I405" s="8">
        <v>381.0</v>
      </c>
      <c r="J405" s="8">
        <v>49.0</v>
      </c>
      <c r="K405" s="8">
        <v>332.0</v>
      </c>
      <c r="L405" s="8">
        <v>277357.0</v>
      </c>
    </row>
    <row r="406" ht="15.75" customHeight="1">
      <c r="A406" s="7">
        <v>46093.0</v>
      </c>
      <c r="B406" s="4" t="s">
        <v>75</v>
      </c>
      <c r="C406" s="8">
        <v>1515.0</v>
      </c>
      <c r="D406" s="8">
        <v>124.0</v>
      </c>
      <c r="E406" s="8">
        <v>42.0</v>
      </c>
      <c r="F406" s="8">
        <v>11.0</v>
      </c>
      <c r="G406" s="8">
        <v>1349.0</v>
      </c>
      <c r="H406" s="8">
        <v>1287666.0</v>
      </c>
      <c r="I406" s="8">
        <v>254.0</v>
      </c>
      <c r="J406" s="8">
        <v>80.0</v>
      </c>
      <c r="K406" s="8">
        <v>174.0</v>
      </c>
      <c r="L406" s="8">
        <v>277531.0</v>
      </c>
    </row>
    <row r="407" ht="15.75" customHeight="1">
      <c r="A407" s="7">
        <v>46094.0</v>
      </c>
      <c r="B407" s="4" t="s">
        <v>135</v>
      </c>
      <c r="C407" s="8">
        <v>1530.0</v>
      </c>
      <c r="D407" s="8">
        <v>153.0</v>
      </c>
      <c r="E407" s="8">
        <v>112.0</v>
      </c>
      <c r="F407" s="8">
        <v>9.0</v>
      </c>
      <c r="G407" s="8">
        <v>1265.0</v>
      </c>
      <c r="H407" s="8">
        <v>1288931.0</v>
      </c>
      <c r="I407" s="8">
        <v>313.0</v>
      </c>
      <c r="J407" s="8">
        <v>89.0</v>
      </c>
      <c r="K407" s="8">
        <v>224.0</v>
      </c>
      <c r="L407" s="8">
        <v>277755.0</v>
      </c>
    </row>
    <row r="408" ht="15.75" customHeight="1">
      <c r="A408" s="7">
        <v>46095.0</v>
      </c>
      <c r="B408" s="4" t="s">
        <v>105</v>
      </c>
      <c r="C408" s="8">
        <v>2352.0</v>
      </c>
      <c r="D408" s="8">
        <v>158.0</v>
      </c>
      <c r="E408" s="8">
        <v>147.0</v>
      </c>
      <c r="F408" s="8">
        <v>10.0</v>
      </c>
      <c r="G408" s="8">
        <v>2047.0</v>
      </c>
      <c r="H408" s="8">
        <v>1290978.0</v>
      </c>
      <c r="I408" s="8">
        <v>388.0</v>
      </c>
      <c r="J408" s="8">
        <v>113.0</v>
      </c>
      <c r="K408" s="8">
        <v>275.0</v>
      </c>
      <c r="L408" s="8">
        <v>278030.0</v>
      </c>
    </row>
    <row r="409" ht="15.75" customHeight="1">
      <c r="A409" s="7">
        <v>46096.0</v>
      </c>
      <c r="B409" s="4" t="s">
        <v>59</v>
      </c>
      <c r="C409" s="8">
        <v>1756.0</v>
      </c>
      <c r="D409" s="8">
        <v>220.0</v>
      </c>
      <c r="E409" s="8">
        <v>166.0</v>
      </c>
      <c r="F409" s="8">
        <v>7.0</v>
      </c>
      <c r="G409" s="8">
        <v>1370.0</v>
      </c>
      <c r="H409" s="8">
        <v>1292348.0</v>
      </c>
      <c r="I409" s="8">
        <v>339.0</v>
      </c>
      <c r="J409" s="8">
        <v>46.0</v>
      </c>
      <c r="K409" s="8">
        <v>293.0</v>
      </c>
      <c r="L409" s="8">
        <v>278323.0</v>
      </c>
    </row>
    <row r="410" ht="15.75" customHeight="1">
      <c r="A410" s="7">
        <v>46097.0</v>
      </c>
      <c r="B410" s="4" t="s">
        <v>98</v>
      </c>
      <c r="C410" s="8">
        <v>1096.0</v>
      </c>
      <c r="D410" s="8">
        <v>351.0</v>
      </c>
      <c r="E410" s="8">
        <v>123.0</v>
      </c>
      <c r="F410" s="8">
        <v>9.0</v>
      </c>
      <c r="G410" s="8">
        <v>622.0</v>
      </c>
      <c r="H410" s="8">
        <v>1292970.0</v>
      </c>
      <c r="I410" s="8">
        <v>255.0</v>
      </c>
      <c r="J410" s="8">
        <v>61.0</v>
      </c>
      <c r="K410" s="8">
        <v>194.0</v>
      </c>
      <c r="L410" s="8">
        <v>278517.0</v>
      </c>
    </row>
    <row r="411" ht="15.75" customHeight="1">
      <c r="A411" s="7">
        <v>46098.0</v>
      </c>
      <c r="B411" s="4" t="s">
        <v>91</v>
      </c>
      <c r="C411" s="8">
        <v>1452.0</v>
      </c>
      <c r="D411" s="8">
        <v>122.0</v>
      </c>
      <c r="E411" s="8">
        <v>112.0</v>
      </c>
      <c r="F411" s="8">
        <v>2.0</v>
      </c>
      <c r="G411" s="8">
        <v>1218.0</v>
      </c>
      <c r="H411" s="8">
        <v>1294188.0</v>
      </c>
      <c r="I411" s="8">
        <v>198.0</v>
      </c>
      <c r="J411" s="8">
        <v>99.0</v>
      </c>
      <c r="K411" s="8">
        <v>99.0</v>
      </c>
      <c r="L411" s="8">
        <v>278616.0</v>
      </c>
    </row>
    <row r="412" ht="15.75" customHeight="1">
      <c r="A412" s="7">
        <v>46099.0</v>
      </c>
      <c r="B412" s="4" t="s">
        <v>82</v>
      </c>
      <c r="C412" s="8">
        <v>1986.0</v>
      </c>
      <c r="D412" s="8">
        <v>140.0</v>
      </c>
      <c r="E412" s="8">
        <v>44.0</v>
      </c>
      <c r="F412" s="8">
        <v>1.0</v>
      </c>
      <c r="G412" s="8">
        <v>1802.0</v>
      </c>
      <c r="H412" s="8">
        <v>1295990.0</v>
      </c>
      <c r="I412" s="8">
        <v>472.0</v>
      </c>
      <c r="J412" s="8">
        <v>83.0</v>
      </c>
      <c r="K412" s="8">
        <v>389.0</v>
      </c>
      <c r="L412" s="8">
        <v>279005.0</v>
      </c>
    </row>
    <row r="413" ht="15.75" customHeight="1">
      <c r="A413" s="7">
        <v>46100.0</v>
      </c>
      <c r="B413" s="4" t="s">
        <v>75</v>
      </c>
      <c r="C413" s="8">
        <v>1732.0</v>
      </c>
      <c r="D413" s="8">
        <v>274.0</v>
      </c>
      <c r="E413" s="8">
        <v>121.0</v>
      </c>
      <c r="F413" s="8">
        <v>12.0</v>
      </c>
      <c r="G413" s="8">
        <v>1337.0</v>
      </c>
      <c r="H413" s="8">
        <v>1297327.0</v>
      </c>
      <c r="I413" s="8">
        <v>577.0</v>
      </c>
      <c r="J413" s="8">
        <v>75.0</v>
      </c>
      <c r="K413" s="8">
        <v>502.0</v>
      </c>
      <c r="L413" s="8">
        <v>279507.0</v>
      </c>
    </row>
    <row r="414" ht="15.75" customHeight="1">
      <c r="A414" s="7">
        <v>46101.0</v>
      </c>
      <c r="B414" s="4" t="s">
        <v>135</v>
      </c>
      <c r="C414" s="8">
        <v>2505.0</v>
      </c>
      <c r="D414" s="8">
        <v>372.0</v>
      </c>
      <c r="E414" s="8">
        <v>52.0</v>
      </c>
      <c r="F414" s="8">
        <v>6.0</v>
      </c>
      <c r="G414" s="8">
        <v>2081.0</v>
      </c>
      <c r="H414" s="8">
        <v>1299408.0</v>
      </c>
      <c r="I414" s="8">
        <v>357.0</v>
      </c>
      <c r="J414" s="8">
        <v>118.0</v>
      </c>
      <c r="K414" s="8">
        <v>239.0</v>
      </c>
      <c r="L414" s="8">
        <v>279746.0</v>
      </c>
    </row>
    <row r="415" ht="15.75" customHeight="1">
      <c r="A415" s="7">
        <v>46102.0</v>
      </c>
      <c r="B415" s="4" t="s">
        <v>105</v>
      </c>
      <c r="C415" s="8">
        <v>2185.0</v>
      </c>
      <c r="D415" s="8">
        <v>182.0</v>
      </c>
      <c r="E415" s="8">
        <v>66.0</v>
      </c>
      <c r="F415" s="8">
        <v>0.0</v>
      </c>
      <c r="G415" s="8">
        <v>1937.0</v>
      </c>
      <c r="H415" s="8">
        <v>1301345.0</v>
      </c>
      <c r="I415" s="8">
        <v>741.0</v>
      </c>
      <c r="J415" s="8">
        <v>87.0</v>
      </c>
      <c r="K415" s="8">
        <v>654.0</v>
      </c>
      <c r="L415" s="8">
        <v>280400.0</v>
      </c>
    </row>
    <row r="416" ht="15.75" customHeight="1">
      <c r="A416" s="7">
        <v>46103.0</v>
      </c>
      <c r="B416" s="4" t="s">
        <v>59</v>
      </c>
      <c r="C416" s="8">
        <v>1308.0</v>
      </c>
      <c r="D416" s="8">
        <v>285.0</v>
      </c>
      <c r="E416" s="8">
        <v>151.0</v>
      </c>
      <c r="F416" s="8">
        <v>3.0</v>
      </c>
      <c r="G416" s="8">
        <v>872.0</v>
      </c>
      <c r="H416" s="8">
        <v>1302217.0</v>
      </c>
      <c r="I416" s="8">
        <v>281.0</v>
      </c>
      <c r="J416" s="8">
        <v>128.0</v>
      </c>
      <c r="K416" s="8">
        <v>153.0</v>
      </c>
      <c r="L416" s="8">
        <v>280553.0</v>
      </c>
    </row>
    <row r="417" ht="15.75" customHeight="1">
      <c r="A417" s="7">
        <v>46104.0</v>
      </c>
      <c r="B417" s="4" t="s">
        <v>98</v>
      </c>
      <c r="C417" s="8">
        <v>1632.0</v>
      </c>
      <c r="D417" s="8">
        <v>122.0</v>
      </c>
      <c r="E417" s="8">
        <v>53.0</v>
      </c>
      <c r="F417" s="8">
        <v>4.0</v>
      </c>
      <c r="G417" s="8">
        <v>1457.0</v>
      </c>
      <c r="H417" s="8">
        <v>1303674.0</v>
      </c>
      <c r="I417" s="8">
        <v>626.0</v>
      </c>
      <c r="J417" s="8">
        <v>128.0</v>
      </c>
      <c r="K417" s="8">
        <v>498.0</v>
      </c>
      <c r="L417" s="8">
        <v>281051.0</v>
      </c>
    </row>
    <row r="418" ht="15.75" customHeight="1">
      <c r="A418" s="7">
        <v>46105.0</v>
      </c>
      <c r="B418" s="4" t="s">
        <v>91</v>
      </c>
      <c r="C418" s="8">
        <v>942.0</v>
      </c>
      <c r="D418" s="8">
        <v>158.0</v>
      </c>
      <c r="E418" s="8">
        <v>124.0</v>
      </c>
      <c r="F418" s="8">
        <v>11.0</v>
      </c>
      <c r="G418" s="8">
        <v>660.0</v>
      </c>
      <c r="H418" s="8">
        <v>1304334.0</v>
      </c>
      <c r="I418" s="8">
        <v>351.0</v>
      </c>
      <c r="J418" s="8">
        <v>73.0</v>
      </c>
      <c r="K418" s="8">
        <v>278.0</v>
      </c>
      <c r="L418" s="8">
        <v>281329.0</v>
      </c>
    </row>
    <row r="419" ht="15.75" customHeight="1">
      <c r="A419" s="7">
        <v>46106.0</v>
      </c>
      <c r="B419" s="4" t="s">
        <v>82</v>
      </c>
      <c r="C419" s="8">
        <v>1419.0</v>
      </c>
      <c r="D419" s="8">
        <v>207.0</v>
      </c>
      <c r="E419" s="8">
        <v>157.0</v>
      </c>
      <c r="F419" s="8">
        <v>1.0</v>
      </c>
      <c r="G419" s="8">
        <v>1055.0</v>
      </c>
      <c r="H419" s="8">
        <v>1305389.0</v>
      </c>
      <c r="I419" s="8">
        <v>563.0</v>
      </c>
      <c r="J419" s="8">
        <v>57.0</v>
      </c>
      <c r="K419" s="8">
        <v>506.0</v>
      </c>
      <c r="L419" s="8">
        <v>281835.0</v>
      </c>
    </row>
    <row r="420" ht="15.75" customHeight="1">
      <c r="A420" s="7">
        <v>46107.0</v>
      </c>
      <c r="B420" s="4" t="s">
        <v>75</v>
      </c>
      <c r="C420" s="8">
        <v>2459.0</v>
      </c>
      <c r="D420" s="8">
        <v>331.0</v>
      </c>
      <c r="E420" s="8">
        <v>154.0</v>
      </c>
      <c r="F420" s="8">
        <v>10.0</v>
      </c>
      <c r="G420" s="8">
        <v>1974.0</v>
      </c>
      <c r="H420" s="8">
        <v>1307363.0</v>
      </c>
      <c r="I420" s="8">
        <v>502.0</v>
      </c>
      <c r="J420" s="8">
        <v>121.0</v>
      </c>
      <c r="K420" s="8">
        <v>381.0</v>
      </c>
      <c r="L420" s="8">
        <v>282216.0</v>
      </c>
    </row>
    <row r="421" ht="15.75" customHeight="1">
      <c r="A421" s="7">
        <v>46108.0</v>
      </c>
      <c r="B421" s="4" t="s">
        <v>135</v>
      </c>
      <c r="C421" s="8">
        <v>2082.0</v>
      </c>
      <c r="D421" s="8">
        <v>370.0</v>
      </c>
      <c r="E421" s="8">
        <v>122.0</v>
      </c>
      <c r="F421" s="8">
        <v>12.0</v>
      </c>
      <c r="G421" s="8">
        <v>1590.0</v>
      </c>
      <c r="H421" s="8">
        <v>1308953.0</v>
      </c>
      <c r="I421" s="8">
        <v>445.0</v>
      </c>
      <c r="J421" s="8">
        <v>75.0</v>
      </c>
      <c r="K421" s="8">
        <v>370.0</v>
      </c>
      <c r="L421" s="8">
        <v>282586.0</v>
      </c>
    </row>
    <row r="422" ht="15.75" customHeight="1">
      <c r="A422" s="7">
        <v>46109.0</v>
      </c>
      <c r="B422" s="4" t="s">
        <v>105</v>
      </c>
      <c r="C422" s="8">
        <v>1618.0</v>
      </c>
      <c r="D422" s="8">
        <v>271.0</v>
      </c>
      <c r="E422" s="8">
        <v>61.0</v>
      </c>
      <c r="F422" s="8">
        <v>5.0</v>
      </c>
      <c r="G422" s="8">
        <v>1286.0</v>
      </c>
      <c r="H422" s="8">
        <v>1310239.0</v>
      </c>
      <c r="I422" s="8">
        <v>690.0</v>
      </c>
      <c r="J422" s="8">
        <v>131.0</v>
      </c>
      <c r="K422" s="8">
        <v>559.0</v>
      </c>
      <c r="L422" s="8">
        <v>283145.0</v>
      </c>
    </row>
    <row r="423" ht="15.75" customHeight="1">
      <c r="A423" s="7">
        <v>46110.0</v>
      </c>
      <c r="B423" s="4" t="s">
        <v>59</v>
      </c>
      <c r="C423" s="8">
        <v>2596.0</v>
      </c>
      <c r="D423" s="8">
        <v>225.0</v>
      </c>
      <c r="E423" s="8">
        <v>59.0</v>
      </c>
      <c r="F423" s="8">
        <v>1.0</v>
      </c>
      <c r="G423" s="8">
        <v>2312.0</v>
      </c>
      <c r="H423" s="8">
        <v>1312551.0</v>
      </c>
      <c r="I423" s="8">
        <v>617.0</v>
      </c>
      <c r="J423" s="8">
        <v>128.0</v>
      </c>
      <c r="K423" s="8">
        <v>489.0</v>
      </c>
      <c r="L423" s="8">
        <v>283634.0</v>
      </c>
    </row>
    <row r="424" ht="15.75" customHeight="1">
      <c r="A424" s="7">
        <v>46111.0</v>
      </c>
      <c r="B424" s="4" t="s">
        <v>98</v>
      </c>
      <c r="C424" s="8">
        <v>867.0</v>
      </c>
      <c r="D424" s="8">
        <v>230.0</v>
      </c>
      <c r="E424" s="8">
        <v>138.0</v>
      </c>
      <c r="F424" s="8">
        <v>3.0</v>
      </c>
      <c r="G424" s="8">
        <v>499.0</v>
      </c>
      <c r="H424" s="8">
        <v>1313050.0</v>
      </c>
      <c r="I424" s="8">
        <v>549.0</v>
      </c>
      <c r="J424" s="8">
        <v>99.0</v>
      </c>
      <c r="K424" s="8">
        <v>450.0</v>
      </c>
      <c r="L424" s="8">
        <v>284084.0</v>
      </c>
    </row>
    <row r="425" ht="15.75" customHeight="1">
      <c r="A425" s="7">
        <v>46112.0</v>
      </c>
      <c r="B425" s="4" t="s">
        <v>91</v>
      </c>
      <c r="C425" s="8">
        <v>2109.0</v>
      </c>
      <c r="D425" s="8">
        <v>280.0</v>
      </c>
      <c r="E425" s="8">
        <v>119.0</v>
      </c>
      <c r="F425" s="8">
        <v>11.0</v>
      </c>
      <c r="G425" s="8">
        <v>1710.0</v>
      </c>
      <c r="H425" s="8">
        <v>1314760.0</v>
      </c>
      <c r="I425" s="8">
        <v>597.0</v>
      </c>
      <c r="J425" s="8">
        <v>137.0</v>
      </c>
      <c r="K425" s="8">
        <v>460.0</v>
      </c>
      <c r="L425" s="8">
        <v>284544.0</v>
      </c>
    </row>
    <row r="426" ht="15.75" customHeight="1">
      <c r="A426" s="7">
        <v>46113.0</v>
      </c>
      <c r="B426" s="4" t="s">
        <v>82</v>
      </c>
      <c r="C426" s="8">
        <v>1833.0</v>
      </c>
      <c r="D426" s="8">
        <v>186.0</v>
      </c>
      <c r="E426" s="8">
        <v>133.0</v>
      </c>
      <c r="F426" s="8">
        <v>6.0</v>
      </c>
      <c r="G426" s="8">
        <v>1514.0</v>
      </c>
      <c r="H426" s="8">
        <v>1316274.0</v>
      </c>
      <c r="I426" s="8">
        <v>234.0</v>
      </c>
      <c r="J426" s="8">
        <v>68.0</v>
      </c>
      <c r="K426" s="8">
        <v>166.0</v>
      </c>
      <c r="L426" s="8">
        <v>284710.0</v>
      </c>
    </row>
    <row r="427" ht="15.75" customHeight="1">
      <c r="A427" s="7">
        <v>46114.0</v>
      </c>
      <c r="B427" s="4" t="s">
        <v>75</v>
      </c>
      <c r="C427" s="8">
        <v>1851.0</v>
      </c>
      <c r="D427" s="8">
        <v>324.0</v>
      </c>
      <c r="E427" s="8">
        <v>57.0</v>
      </c>
      <c r="F427" s="8">
        <v>4.0</v>
      </c>
      <c r="G427" s="8">
        <v>1470.0</v>
      </c>
      <c r="H427" s="8">
        <v>1317744.0</v>
      </c>
      <c r="I427" s="8">
        <v>283.0</v>
      </c>
      <c r="J427" s="8">
        <v>64.0</v>
      </c>
      <c r="K427" s="8">
        <v>219.0</v>
      </c>
      <c r="L427" s="8">
        <v>284929.0</v>
      </c>
    </row>
    <row r="428" ht="15.75" customHeight="1">
      <c r="A428" s="7">
        <v>46115.0</v>
      </c>
      <c r="B428" s="4" t="s">
        <v>135</v>
      </c>
      <c r="C428" s="8">
        <v>1982.0</v>
      </c>
      <c r="D428" s="8">
        <v>172.0</v>
      </c>
      <c r="E428" s="8">
        <v>158.0</v>
      </c>
      <c r="F428" s="8">
        <v>1.0</v>
      </c>
      <c r="G428" s="8">
        <v>1652.0</v>
      </c>
      <c r="H428" s="8">
        <v>1319396.0</v>
      </c>
      <c r="I428" s="8">
        <v>511.0</v>
      </c>
      <c r="J428" s="8">
        <v>58.0</v>
      </c>
      <c r="K428" s="8">
        <v>453.0</v>
      </c>
      <c r="L428" s="8">
        <v>285382.0</v>
      </c>
    </row>
    <row r="429" ht="15.75" customHeight="1">
      <c r="A429" s="7">
        <v>46116.0</v>
      </c>
      <c r="B429" s="4" t="s">
        <v>105</v>
      </c>
      <c r="C429" s="8">
        <v>2004.0</v>
      </c>
      <c r="D429" s="8">
        <v>256.0</v>
      </c>
      <c r="E429" s="8">
        <v>161.0</v>
      </c>
      <c r="F429" s="8">
        <v>10.0</v>
      </c>
      <c r="G429" s="8">
        <v>1587.0</v>
      </c>
      <c r="H429" s="8">
        <v>1320983.0</v>
      </c>
      <c r="I429" s="8">
        <v>316.0</v>
      </c>
      <c r="J429" s="8">
        <v>43.0</v>
      </c>
      <c r="K429" s="8">
        <v>273.0</v>
      </c>
      <c r="L429" s="8">
        <v>285655.0</v>
      </c>
    </row>
    <row r="430" ht="15.75" customHeight="1">
      <c r="A430" s="7">
        <v>46117.0</v>
      </c>
      <c r="B430" s="4" t="s">
        <v>59</v>
      </c>
      <c r="C430" s="8">
        <v>1198.0</v>
      </c>
      <c r="D430" s="8">
        <v>163.0</v>
      </c>
      <c r="E430" s="8">
        <v>150.0</v>
      </c>
      <c r="F430" s="8">
        <v>3.0</v>
      </c>
      <c r="G430" s="8">
        <v>885.0</v>
      </c>
      <c r="H430" s="8">
        <v>1321868.0</v>
      </c>
      <c r="I430" s="8">
        <v>530.0</v>
      </c>
      <c r="J430" s="8">
        <v>85.0</v>
      </c>
      <c r="K430" s="8">
        <v>445.0</v>
      </c>
      <c r="L430" s="8">
        <v>286100.0</v>
      </c>
    </row>
    <row r="431" ht="15.75" customHeight="1">
      <c r="A431" s="7">
        <v>46118.0</v>
      </c>
      <c r="B431" s="4" t="s">
        <v>98</v>
      </c>
      <c r="C431" s="8">
        <v>1840.0</v>
      </c>
      <c r="D431" s="8">
        <v>147.0</v>
      </c>
      <c r="E431" s="8">
        <v>109.0</v>
      </c>
      <c r="F431" s="8">
        <v>5.0</v>
      </c>
      <c r="G431" s="8">
        <v>1584.0</v>
      </c>
      <c r="H431" s="8">
        <v>1323452.0</v>
      </c>
      <c r="I431" s="8">
        <v>350.0</v>
      </c>
      <c r="J431" s="8">
        <v>96.0</v>
      </c>
      <c r="K431" s="8">
        <v>254.0</v>
      </c>
      <c r="L431" s="8">
        <v>286354.0</v>
      </c>
    </row>
    <row r="432" ht="15.75" customHeight="1">
      <c r="A432" s="7">
        <v>46119.0</v>
      </c>
      <c r="B432" s="4" t="s">
        <v>91</v>
      </c>
      <c r="C432" s="8">
        <v>2299.0</v>
      </c>
      <c r="D432" s="8">
        <v>219.0</v>
      </c>
      <c r="E432" s="8">
        <v>88.0</v>
      </c>
      <c r="F432" s="8">
        <v>6.0</v>
      </c>
      <c r="G432" s="8">
        <v>1992.0</v>
      </c>
      <c r="H432" s="8">
        <v>1325444.0</v>
      </c>
      <c r="I432" s="8">
        <v>396.0</v>
      </c>
      <c r="J432" s="8">
        <v>77.0</v>
      </c>
      <c r="K432" s="8">
        <v>319.0</v>
      </c>
      <c r="L432" s="8">
        <v>286673.0</v>
      </c>
    </row>
    <row r="433" ht="15.75" customHeight="1">
      <c r="A433" s="7">
        <v>46120.0</v>
      </c>
      <c r="B433" s="4" t="s">
        <v>82</v>
      </c>
      <c r="C433" s="8">
        <v>2044.0</v>
      </c>
      <c r="D433" s="8">
        <v>341.0</v>
      </c>
      <c r="E433" s="8">
        <v>52.0</v>
      </c>
      <c r="F433" s="8">
        <v>10.0</v>
      </c>
      <c r="G433" s="8">
        <v>1651.0</v>
      </c>
      <c r="H433" s="8">
        <v>1327095.0</v>
      </c>
      <c r="I433" s="8">
        <v>432.0</v>
      </c>
      <c r="J433" s="8">
        <v>53.0</v>
      </c>
      <c r="K433" s="8">
        <v>379.0</v>
      </c>
      <c r="L433" s="8">
        <v>287052.0</v>
      </c>
    </row>
    <row r="434" ht="15.75" customHeight="1">
      <c r="A434" s="7">
        <v>46121.0</v>
      </c>
      <c r="B434" s="4" t="s">
        <v>75</v>
      </c>
      <c r="C434" s="8">
        <v>1035.0</v>
      </c>
      <c r="D434" s="8">
        <v>138.0</v>
      </c>
      <c r="E434" s="8">
        <v>108.0</v>
      </c>
      <c r="F434" s="8">
        <v>3.0</v>
      </c>
      <c r="G434" s="8">
        <v>789.0</v>
      </c>
      <c r="H434" s="8">
        <v>1327884.0</v>
      </c>
      <c r="I434" s="8">
        <v>207.0</v>
      </c>
      <c r="J434" s="8">
        <v>113.0</v>
      </c>
      <c r="K434" s="8">
        <v>94.0</v>
      </c>
      <c r="L434" s="8">
        <v>287146.0</v>
      </c>
    </row>
    <row r="435" ht="15.75" customHeight="1">
      <c r="A435" s="7">
        <v>46122.0</v>
      </c>
      <c r="B435" s="4" t="s">
        <v>135</v>
      </c>
      <c r="C435" s="8">
        <v>1263.0</v>
      </c>
      <c r="D435" s="8">
        <v>327.0</v>
      </c>
      <c r="E435" s="8">
        <v>140.0</v>
      </c>
      <c r="F435" s="8">
        <v>1.0</v>
      </c>
      <c r="G435" s="8">
        <v>796.0</v>
      </c>
      <c r="H435" s="8">
        <v>1328680.0</v>
      </c>
      <c r="I435" s="8">
        <v>497.0</v>
      </c>
      <c r="J435" s="8">
        <v>90.0</v>
      </c>
      <c r="K435" s="8">
        <v>407.0</v>
      </c>
      <c r="L435" s="8">
        <v>287553.0</v>
      </c>
    </row>
    <row r="436" ht="15.75" customHeight="1">
      <c r="A436" s="7">
        <v>46123.0</v>
      </c>
      <c r="B436" s="4" t="s">
        <v>105</v>
      </c>
      <c r="C436" s="8">
        <v>2548.0</v>
      </c>
      <c r="D436" s="8">
        <v>373.0</v>
      </c>
      <c r="E436" s="8">
        <v>83.0</v>
      </c>
      <c r="F436" s="8">
        <v>12.0</v>
      </c>
      <c r="G436" s="8">
        <v>2092.0</v>
      </c>
      <c r="H436" s="8">
        <v>1330772.0</v>
      </c>
      <c r="I436" s="8">
        <v>364.0</v>
      </c>
      <c r="J436" s="8">
        <v>66.0</v>
      </c>
      <c r="K436" s="8">
        <v>298.0</v>
      </c>
      <c r="L436" s="8">
        <v>287851.0</v>
      </c>
    </row>
    <row r="437" ht="15.75" customHeight="1">
      <c r="A437" s="7">
        <v>46124.0</v>
      </c>
      <c r="B437" s="4" t="s">
        <v>59</v>
      </c>
      <c r="C437" s="8">
        <v>2581.0</v>
      </c>
      <c r="D437" s="8">
        <v>267.0</v>
      </c>
      <c r="E437" s="8">
        <v>40.0</v>
      </c>
      <c r="F437" s="8">
        <v>1.0</v>
      </c>
      <c r="G437" s="8">
        <v>2274.0</v>
      </c>
      <c r="H437" s="8">
        <v>1333046.0</v>
      </c>
      <c r="I437" s="8">
        <v>557.0</v>
      </c>
      <c r="J437" s="8">
        <v>133.0</v>
      </c>
      <c r="K437" s="8">
        <v>424.0</v>
      </c>
      <c r="L437" s="8">
        <v>288275.0</v>
      </c>
    </row>
    <row r="438" ht="15.75" customHeight="1">
      <c r="A438" s="7">
        <v>46125.0</v>
      </c>
      <c r="B438" s="4" t="s">
        <v>98</v>
      </c>
      <c r="C438" s="8">
        <v>2074.0</v>
      </c>
      <c r="D438" s="8">
        <v>276.0</v>
      </c>
      <c r="E438" s="8">
        <v>101.0</v>
      </c>
      <c r="F438" s="8">
        <v>2.0</v>
      </c>
      <c r="G438" s="8">
        <v>1697.0</v>
      </c>
      <c r="H438" s="8">
        <v>1334743.0</v>
      </c>
      <c r="I438" s="8">
        <v>424.0</v>
      </c>
      <c r="J438" s="8">
        <v>128.0</v>
      </c>
      <c r="K438" s="8">
        <v>296.0</v>
      </c>
      <c r="L438" s="8">
        <v>288571.0</v>
      </c>
    </row>
    <row r="439" ht="15.75" customHeight="1">
      <c r="A439" s="7">
        <v>46126.0</v>
      </c>
      <c r="B439" s="4" t="s">
        <v>91</v>
      </c>
      <c r="C439" s="8">
        <v>1183.0</v>
      </c>
      <c r="D439" s="8">
        <v>353.0</v>
      </c>
      <c r="E439" s="8">
        <v>43.0</v>
      </c>
      <c r="F439" s="8">
        <v>10.0</v>
      </c>
      <c r="G439" s="8">
        <v>787.0</v>
      </c>
      <c r="H439" s="8">
        <v>1335530.0</v>
      </c>
      <c r="I439" s="8">
        <v>350.0</v>
      </c>
      <c r="J439" s="8">
        <v>58.0</v>
      </c>
      <c r="K439" s="8">
        <v>292.0</v>
      </c>
      <c r="L439" s="8">
        <v>288863.0</v>
      </c>
    </row>
    <row r="440" ht="15.75" customHeight="1">
      <c r="A440" s="7">
        <v>46127.0</v>
      </c>
      <c r="B440" s="4" t="s">
        <v>82</v>
      </c>
      <c r="C440" s="8">
        <v>1163.0</v>
      </c>
      <c r="D440" s="8">
        <v>159.0</v>
      </c>
      <c r="E440" s="8">
        <v>42.0</v>
      </c>
      <c r="F440" s="8">
        <v>9.0</v>
      </c>
      <c r="G440" s="8">
        <v>962.0</v>
      </c>
      <c r="H440" s="8">
        <v>1336492.0</v>
      </c>
      <c r="I440" s="8">
        <v>315.0</v>
      </c>
      <c r="J440" s="8">
        <v>61.0</v>
      </c>
      <c r="K440" s="8">
        <v>254.0</v>
      </c>
      <c r="L440" s="8">
        <v>289117.0</v>
      </c>
    </row>
    <row r="441" ht="15.75" customHeight="1">
      <c r="A441" s="7">
        <v>46128.0</v>
      </c>
      <c r="B441" s="4" t="s">
        <v>75</v>
      </c>
      <c r="C441" s="8">
        <v>802.0</v>
      </c>
      <c r="D441" s="8">
        <v>246.0</v>
      </c>
      <c r="E441" s="8">
        <v>68.0</v>
      </c>
      <c r="F441" s="8">
        <v>0.0</v>
      </c>
      <c r="G441" s="8">
        <v>488.0</v>
      </c>
      <c r="H441" s="8">
        <v>1336980.0</v>
      </c>
      <c r="I441" s="8">
        <v>430.0</v>
      </c>
      <c r="J441" s="8">
        <v>100.0</v>
      </c>
      <c r="K441" s="8">
        <v>330.0</v>
      </c>
      <c r="L441" s="8">
        <v>289447.0</v>
      </c>
    </row>
    <row r="442" ht="15.75" customHeight="1">
      <c r="A442" s="7">
        <v>46129.0</v>
      </c>
      <c r="B442" s="4" t="s">
        <v>135</v>
      </c>
      <c r="C442" s="8">
        <v>1395.0</v>
      </c>
      <c r="D442" s="8">
        <v>236.0</v>
      </c>
      <c r="E442" s="8">
        <v>168.0</v>
      </c>
      <c r="F442" s="8">
        <v>2.0</v>
      </c>
      <c r="G442" s="8">
        <v>991.0</v>
      </c>
      <c r="H442" s="8">
        <v>1337971.0</v>
      </c>
      <c r="I442" s="8">
        <v>607.0</v>
      </c>
      <c r="J442" s="8">
        <v>107.0</v>
      </c>
      <c r="K442" s="8">
        <v>500.0</v>
      </c>
      <c r="L442" s="8">
        <v>289947.0</v>
      </c>
    </row>
    <row r="443" ht="15.75" customHeight="1">
      <c r="A443" s="7">
        <v>46130.0</v>
      </c>
      <c r="B443" s="4" t="s">
        <v>105</v>
      </c>
      <c r="C443" s="8">
        <v>1154.0</v>
      </c>
      <c r="D443" s="8">
        <v>291.0</v>
      </c>
      <c r="E443" s="8">
        <v>165.0</v>
      </c>
      <c r="F443" s="8">
        <v>11.0</v>
      </c>
      <c r="G443" s="8">
        <v>698.0</v>
      </c>
      <c r="H443" s="8">
        <v>1338669.0</v>
      </c>
      <c r="I443" s="8">
        <v>385.0</v>
      </c>
      <c r="J443" s="8">
        <v>97.0</v>
      </c>
      <c r="K443" s="8">
        <v>288.0</v>
      </c>
      <c r="L443" s="8">
        <v>290235.0</v>
      </c>
    </row>
    <row r="444" ht="15.75" customHeight="1">
      <c r="A444" s="7">
        <v>46131.0</v>
      </c>
      <c r="B444" s="4" t="s">
        <v>59</v>
      </c>
      <c r="C444" s="8">
        <v>2481.0</v>
      </c>
      <c r="D444" s="8">
        <v>249.0</v>
      </c>
      <c r="E444" s="8">
        <v>157.0</v>
      </c>
      <c r="F444" s="8">
        <v>0.0</v>
      </c>
      <c r="G444" s="8">
        <v>2075.0</v>
      </c>
      <c r="H444" s="8">
        <v>1340744.0</v>
      </c>
      <c r="I444" s="8">
        <v>493.0</v>
      </c>
      <c r="J444" s="8">
        <v>86.0</v>
      </c>
      <c r="K444" s="8">
        <v>407.0</v>
      </c>
      <c r="L444" s="8">
        <v>290642.0</v>
      </c>
    </row>
    <row r="445" ht="15.75" customHeight="1">
      <c r="A445" s="7">
        <v>46132.0</v>
      </c>
      <c r="B445" s="4" t="s">
        <v>98</v>
      </c>
      <c r="C445" s="8">
        <v>1483.0</v>
      </c>
      <c r="D445" s="8">
        <v>367.0</v>
      </c>
      <c r="E445" s="8">
        <v>109.0</v>
      </c>
      <c r="F445" s="8">
        <v>10.0</v>
      </c>
      <c r="G445" s="8">
        <v>1007.0</v>
      </c>
      <c r="H445" s="8">
        <v>1341751.0</v>
      </c>
      <c r="I445" s="8">
        <v>445.0</v>
      </c>
      <c r="J445" s="8">
        <v>54.0</v>
      </c>
      <c r="K445" s="8">
        <v>391.0</v>
      </c>
      <c r="L445" s="8">
        <v>291033.0</v>
      </c>
    </row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7.0"/>
    <col customWidth="1" min="3" max="3" width="12.0"/>
    <col customWidth="1" min="4" max="4" width="21.0"/>
    <col customWidth="1" min="5" max="7" width="14.0"/>
    <col customWidth="1" min="8" max="9" width="27.0"/>
    <col customWidth="1" min="10" max="10" width="12.0"/>
    <col customWidth="1" min="11" max="11" width="21.0"/>
    <col customWidth="1" min="12" max="12" width="16.0"/>
    <col customWidth="1" min="13" max="13" width="22.0"/>
    <col customWidth="1" min="14" max="15" width="12.0"/>
    <col customWidth="1" min="16" max="16" width="22.0"/>
    <col customWidth="1" min="17" max="17" width="21.0"/>
    <col customWidth="1" min="18" max="26" width="8.71"/>
  </cols>
  <sheetData>
    <row r="1" ht="31.5" customHeight="1">
      <c r="A1" s="5" t="s">
        <v>955</v>
      </c>
      <c r="B1" s="5" t="s">
        <v>956</v>
      </c>
      <c r="C1" s="5" t="s">
        <v>957</v>
      </c>
      <c r="D1" s="5" t="s">
        <v>958</v>
      </c>
      <c r="E1" s="5" t="s">
        <v>959</v>
      </c>
      <c r="F1" s="5" t="s">
        <v>960</v>
      </c>
      <c r="G1" s="5" t="s">
        <v>961</v>
      </c>
      <c r="H1" s="5" t="s">
        <v>962</v>
      </c>
      <c r="I1" s="5" t="s">
        <v>963</v>
      </c>
      <c r="J1" s="5" t="s">
        <v>964</v>
      </c>
      <c r="K1" s="5" t="s">
        <v>965</v>
      </c>
      <c r="L1" s="5" t="s">
        <v>966</v>
      </c>
      <c r="M1" s="5" t="s">
        <v>967</v>
      </c>
      <c r="N1" s="5" t="s">
        <v>46</v>
      </c>
      <c r="O1" s="5" t="s">
        <v>968</v>
      </c>
      <c r="P1" s="5" t="s">
        <v>969</v>
      </c>
      <c r="Q1" s="5" t="s">
        <v>970</v>
      </c>
    </row>
    <row r="2">
      <c r="A2" s="4" t="s">
        <v>971</v>
      </c>
      <c r="B2" s="4" t="s">
        <v>476</v>
      </c>
      <c r="C2" s="4" t="s">
        <v>972</v>
      </c>
      <c r="D2" s="7">
        <v>45542.0</v>
      </c>
      <c r="E2" s="8">
        <v>320000.0</v>
      </c>
      <c r="F2" s="8">
        <v>323972.0</v>
      </c>
      <c r="G2" s="8">
        <v>338797.0</v>
      </c>
      <c r="H2" s="9">
        <f t="shared" ref="H2:H28" si="1">IFERROR((E2-F2)/F2,0)</f>
        <v>-0.01226031879</v>
      </c>
      <c r="I2" s="9">
        <f t="shared" ref="I2:I28" si="2">IFERROR((E2-G2)/G2,0)</f>
        <v>-0.05548160108</v>
      </c>
      <c r="J2" s="8">
        <v>236581.0</v>
      </c>
      <c r="K2" s="9">
        <f t="shared" ref="K2:K28" si="3">IFERROR(J2/E2,"")</f>
        <v>0.739315625</v>
      </c>
      <c r="L2" s="8">
        <v>61200.0</v>
      </c>
      <c r="M2" s="9">
        <f t="shared" ref="M2:M28" si="4">IFERROR(L2/E2,0)</f>
        <v>0.19125</v>
      </c>
      <c r="N2" s="10">
        <v>114.75</v>
      </c>
      <c r="O2" s="10">
        <v>157.2</v>
      </c>
      <c r="P2" s="9">
        <v>0.0398916115726921</v>
      </c>
      <c r="Q2" s="7">
        <v>46109.0</v>
      </c>
    </row>
    <row r="3">
      <c r="A3" s="4" t="s">
        <v>973</v>
      </c>
      <c r="B3" s="4" t="s">
        <v>974</v>
      </c>
      <c r="C3" s="4" t="s">
        <v>972</v>
      </c>
      <c r="D3" s="7">
        <v>45572.0</v>
      </c>
      <c r="E3" s="8">
        <v>220000.0</v>
      </c>
      <c r="F3" s="8">
        <v>233275.0</v>
      </c>
      <c r="G3" s="8">
        <v>231800.0</v>
      </c>
      <c r="H3" s="9">
        <f t="shared" si="1"/>
        <v>-0.05690708391</v>
      </c>
      <c r="I3" s="9">
        <f t="shared" si="2"/>
        <v>-0.05090595341</v>
      </c>
      <c r="J3" s="8">
        <v>77693.0</v>
      </c>
      <c r="K3" s="9">
        <f t="shared" si="3"/>
        <v>0.35315</v>
      </c>
      <c r="L3" s="8">
        <v>8328.0</v>
      </c>
      <c r="M3" s="9">
        <f t="shared" si="4"/>
        <v>0.03785454545</v>
      </c>
      <c r="N3" s="10">
        <v>135.65</v>
      </c>
      <c r="O3" s="10">
        <v>224.28</v>
      </c>
      <c r="P3" s="9">
        <v>0.0203965829184104</v>
      </c>
      <c r="Q3" s="7">
        <v>46110.0</v>
      </c>
    </row>
    <row r="4">
      <c r="A4" s="4" t="s">
        <v>975</v>
      </c>
      <c r="B4" s="4" t="s">
        <v>976</v>
      </c>
      <c r="C4" s="4" t="s">
        <v>977</v>
      </c>
      <c r="D4" s="7">
        <v>45719.0</v>
      </c>
      <c r="E4" s="8">
        <v>180000.0</v>
      </c>
      <c r="F4" s="8">
        <v>192823.0</v>
      </c>
      <c r="G4" s="8">
        <v>167917.0</v>
      </c>
      <c r="H4" s="9">
        <f t="shared" si="1"/>
        <v>-0.06650140284</v>
      </c>
      <c r="I4" s="9">
        <f t="shared" si="2"/>
        <v>0.07195816981</v>
      </c>
      <c r="J4" s="8">
        <v>92421.0</v>
      </c>
      <c r="K4" s="9">
        <f t="shared" si="3"/>
        <v>0.51345</v>
      </c>
      <c r="L4" s="8">
        <v>13151.0</v>
      </c>
      <c r="M4" s="9">
        <f t="shared" si="4"/>
        <v>0.07306111111</v>
      </c>
      <c r="N4" s="10">
        <v>116.33</v>
      </c>
      <c r="O4" s="10">
        <v>263.55</v>
      </c>
      <c r="P4" s="9">
        <v>0.0345513112802609</v>
      </c>
      <c r="Q4" s="7">
        <v>46094.0</v>
      </c>
    </row>
    <row r="5">
      <c r="A5" s="4" t="s">
        <v>978</v>
      </c>
      <c r="B5" s="4" t="s">
        <v>979</v>
      </c>
      <c r="C5" s="4" t="s">
        <v>977</v>
      </c>
      <c r="D5" s="7">
        <v>45872.0</v>
      </c>
      <c r="E5" s="8">
        <v>45000.0</v>
      </c>
      <c r="F5" s="8">
        <v>48370.0</v>
      </c>
      <c r="G5" s="8">
        <v>48946.0</v>
      </c>
      <c r="H5" s="9">
        <f t="shared" si="1"/>
        <v>-0.06967128385</v>
      </c>
      <c r="I5" s="9">
        <f t="shared" si="2"/>
        <v>-0.08061945818</v>
      </c>
      <c r="J5" s="8">
        <v>24289.0</v>
      </c>
      <c r="K5" s="9">
        <f t="shared" si="3"/>
        <v>0.5397555556</v>
      </c>
      <c r="L5" s="8">
        <v>7216.0</v>
      </c>
      <c r="M5" s="9">
        <f t="shared" si="4"/>
        <v>0.1603555556</v>
      </c>
      <c r="N5" s="10">
        <v>128.73</v>
      </c>
      <c r="O5" s="10">
        <v>173.48</v>
      </c>
      <c r="P5" s="9">
        <v>0.0547666452285005</v>
      </c>
      <c r="Q5" s="7">
        <v>46100.0</v>
      </c>
    </row>
    <row r="6">
      <c r="A6" s="4" t="s">
        <v>980</v>
      </c>
      <c r="B6" s="4" t="s">
        <v>99</v>
      </c>
      <c r="C6" s="4" t="s">
        <v>977</v>
      </c>
      <c r="D6" s="7">
        <v>45588.0</v>
      </c>
      <c r="E6" s="8">
        <v>65000.0</v>
      </c>
      <c r="F6" s="8">
        <v>66287.0</v>
      </c>
      <c r="G6" s="8">
        <v>68204.0</v>
      </c>
      <c r="H6" s="9">
        <f t="shared" si="1"/>
        <v>-0.01941557168</v>
      </c>
      <c r="I6" s="9">
        <f t="shared" si="2"/>
        <v>-0.04697671691</v>
      </c>
      <c r="J6" s="8">
        <v>47757.0</v>
      </c>
      <c r="K6" s="9">
        <f t="shared" si="3"/>
        <v>0.7347230769</v>
      </c>
      <c r="L6" s="8">
        <v>7786.0</v>
      </c>
      <c r="M6" s="9">
        <f t="shared" si="4"/>
        <v>0.1197846154</v>
      </c>
      <c r="N6" s="10">
        <v>116.84</v>
      </c>
      <c r="O6" s="10">
        <v>205.59</v>
      </c>
      <c r="P6" s="9">
        <v>0.0225113875877806</v>
      </c>
      <c r="Q6" s="7">
        <v>46101.0</v>
      </c>
    </row>
    <row r="7">
      <c r="A7" s="4" t="s">
        <v>981</v>
      </c>
      <c r="B7" s="4" t="s">
        <v>982</v>
      </c>
      <c r="C7" s="4" t="s">
        <v>977</v>
      </c>
      <c r="D7" s="7">
        <v>45899.0</v>
      </c>
      <c r="E7" s="8">
        <v>12000.0</v>
      </c>
      <c r="F7" s="8">
        <v>11276.0</v>
      </c>
      <c r="G7" s="8">
        <v>11958.0</v>
      </c>
      <c r="H7" s="9">
        <f t="shared" si="1"/>
        <v>0.06420716566</v>
      </c>
      <c r="I7" s="9">
        <f t="shared" si="2"/>
        <v>0.003512293026</v>
      </c>
      <c r="J7" s="8">
        <v>4729.0</v>
      </c>
      <c r="K7" s="9">
        <f t="shared" si="3"/>
        <v>0.3940833333</v>
      </c>
      <c r="L7" s="8">
        <v>2159.0</v>
      </c>
      <c r="M7" s="9">
        <f t="shared" si="4"/>
        <v>0.1799166667</v>
      </c>
      <c r="N7" s="10">
        <v>63.25</v>
      </c>
      <c r="O7" s="10">
        <v>79.01</v>
      </c>
      <c r="P7" s="9">
        <v>0.0291508649384493</v>
      </c>
      <c r="Q7" s="7">
        <v>46082.0</v>
      </c>
    </row>
    <row r="8">
      <c r="A8" s="4" t="s">
        <v>983</v>
      </c>
      <c r="B8" s="4" t="s">
        <v>461</v>
      </c>
      <c r="C8" s="4" t="s">
        <v>972</v>
      </c>
      <c r="D8" s="7">
        <v>45806.0</v>
      </c>
      <c r="E8" s="8">
        <v>25000.0</v>
      </c>
      <c r="F8" s="8">
        <v>25661.0</v>
      </c>
      <c r="G8" s="8">
        <v>27016.0</v>
      </c>
      <c r="H8" s="9">
        <f t="shared" si="1"/>
        <v>-0.02575893379</v>
      </c>
      <c r="I8" s="9">
        <f t="shared" si="2"/>
        <v>-0.07462244596</v>
      </c>
      <c r="J8" s="8">
        <v>10653.0</v>
      </c>
      <c r="K8" s="9">
        <f t="shared" si="3"/>
        <v>0.42612</v>
      </c>
      <c r="L8" s="8">
        <v>4670.0</v>
      </c>
      <c r="M8" s="9">
        <f t="shared" si="4"/>
        <v>0.1868</v>
      </c>
      <c r="N8" s="10">
        <v>65.99</v>
      </c>
      <c r="O8" s="10">
        <v>90.1</v>
      </c>
      <c r="P8" s="9">
        <v>0.0589361048054939</v>
      </c>
      <c r="Q8" s="7">
        <v>46091.0</v>
      </c>
    </row>
    <row r="9">
      <c r="A9" s="4" t="s">
        <v>984</v>
      </c>
      <c r="B9" s="4" t="s">
        <v>985</v>
      </c>
      <c r="C9" s="4" t="s">
        <v>972</v>
      </c>
      <c r="D9" s="7">
        <v>45589.0</v>
      </c>
      <c r="E9" s="8">
        <v>55000.0</v>
      </c>
      <c r="F9" s="8">
        <v>52525.0</v>
      </c>
      <c r="G9" s="8">
        <v>54557.0</v>
      </c>
      <c r="H9" s="9">
        <f t="shared" si="1"/>
        <v>0.04712041885</v>
      </c>
      <c r="I9" s="9">
        <f t="shared" si="2"/>
        <v>0.008119947944</v>
      </c>
      <c r="J9" s="8">
        <v>33362.0</v>
      </c>
      <c r="K9" s="9">
        <f t="shared" si="3"/>
        <v>0.6065818182</v>
      </c>
      <c r="L9" s="8">
        <v>2669.0</v>
      </c>
      <c r="M9" s="9">
        <f t="shared" si="4"/>
        <v>0.04852727273</v>
      </c>
      <c r="N9" s="10">
        <v>120.64</v>
      </c>
      <c r="O9" s="10">
        <v>207.32</v>
      </c>
      <c r="P9" s="9">
        <v>0.0609129918667368</v>
      </c>
      <c r="Q9" s="7">
        <v>46104.0</v>
      </c>
    </row>
    <row r="10">
      <c r="A10" s="4" t="s">
        <v>986</v>
      </c>
      <c r="B10" s="4" t="s">
        <v>987</v>
      </c>
      <c r="C10" s="4" t="s">
        <v>972</v>
      </c>
      <c r="D10" s="7">
        <v>45559.0</v>
      </c>
      <c r="E10" s="8">
        <v>18000.0</v>
      </c>
      <c r="F10" s="8">
        <v>19210.0</v>
      </c>
      <c r="G10" s="8">
        <v>18524.0</v>
      </c>
      <c r="H10" s="9">
        <f t="shared" si="1"/>
        <v>-0.06298802707</v>
      </c>
      <c r="I10" s="9">
        <f t="shared" si="2"/>
        <v>-0.02828762686</v>
      </c>
      <c r="J10" s="8">
        <v>11805.0</v>
      </c>
      <c r="K10" s="9">
        <f t="shared" si="3"/>
        <v>0.6558333333</v>
      </c>
      <c r="L10" s="8">
        <v>2653.0</v>
      </c>
      <c r="M10" s="9">
        <f t="shared" si="4"/>
        <v>0.1473888889</v>
      </c>
      <c r="N10" s="10">
        <v>95.81</v>
      </c>
      <c r="O10" s="10">
        <v>226.13</v>
      </c>
      <c r="P10" s="9">
        <v>0.0199069348324216</v>
      </c>
      <c r="Q10" s="7">
        <v>46093.0</v>
      </c>
    </row>
    <row r="11">
      <c r="A11" s="4" t="s">
        <v>988</v>
      </c>
      <c r="B11" s="4" t="s">
        <v>989</v>
      </c>
      <c r="C11" s="4" t="s">
        <v>977</v>
      </c>
      <c r="D11" s="7">
        <v>45548.0</v>
      </c>
      <c r="E11" s="8">
        <v>85000.0</v>
      </c>
      <c r="F11" s="8">
        <v>80045.0</v>
      </c>
      <c r="G11" s="8">
        <v>86384.0</v>
      </c>
      <c r="H11" s="9">
        <f t="shared" si="1"/>
        <v>0.06190267974</v>
      </c>
      <c r="I11" s="9">
        <f t="shared" si="2"/>
        <v>-0.01602148546</v>
      </c>
      <c r="J11" s="8">
        <v>39772.0</v>
      </c>
      <c r="K11" s="9">
        <f t="shared" si="3"/>
        <v>0.4679058824</v>
      </c>
      <c r="L11" s="8">
        <v>16590.0</v>
      </c>
      <c r="M11" s="9">
        <f t="shared" si="4"/>
        <v>0.1951764706</v>
      </c>
      <c r="N11" s="10">
        <v>126.35</v>
      </c>
      <c r="O11" s="10">
        <v>172.72</v>
      </c>
      <c r="P11" s="9">
        <v>0.0533830179272244</v>
      </c>
      <c r="Q11" s="7">
        <v>46101.0</v>
      </c>
    </row>
    <row r="12">
      <c r="A12" s="4" t="s">
        <v>990</v>
      </c>
      <c r="B12" s="4" t="s">
        <v>149</v>
      </c>
      <c r="C12" s="4" t="s">
        <v>977</v>
      </c>
      <c r="D12" s="7">
        <v>45739.0</v>
      </c>
      <c r="E12" s="8">
        <v>70000.0</v>
      </c>
      <c r="F12" s="8">
        <v>65475.0</v>
      </c>
      <c r="G12" s="8">
        <v>70557.0</v>
      </c>
      <c r="H12" s="9">
        <f t="shared" si="1"/>
        <v>0.06911034746</v>
      </c>
      <c r="I12" s="9">
        <f t="shared" si="2"/>
        <v>-0.007894326573</v>
      </c>
      <c r="J12" s="8">
        <v>20495.0</v>
      </c>
      <c r="K12" s="9">
        <f t="shared" si="3"/>
        <v>0.2927857143</v>
      </c>
      <c r="L12" s="8">
        <v>9333.0</v>
      </c>
      <c r="M12" s="9">
        <f t="shared" si="4"/>
        <v>0.1333285714</v>
      </c>
      <c r="N12" s="10">
        <v>112.27</v>
      </c>
      <c r="O12" s="10">
        <v>208.25</v>
      </c>
      <c r="P12" s="9">
        <v>0.0337982971900723</v>
      </c>
      <c r="Q12" s="7">
        <v>46126.0</v>
      </c>
    </row>
    <row r="13">
      <c r="A13" s="4" t="s">
        <v>991</v>
      </c>
      <c r="B13" s="4" t="s">
        <v>226</v>
      </c>
      <c r="C13" s="4" t="s">
        <v>977</v>
      </c>
      <c r="D13" s="7">
        <v>45712.0</v>
      </c>
      <c r="E13" s="8">
        <v>40000.0</v>
      </c>
      <c r="F13" s="8">
        <v>39752.0</v>
      </c>
      <c r="G13" s="8">
        <v>44950.0</v>
      </c>
      <c r="H13" s="9">
        <f t="shared" si="1"/>
        <v>0.006238679815</v>
      </c>
      <c r="I13" s="9">
        <f t="shared" si="2"/>
        <v>-0.1101223582</v>
      </c>
      <c r="J13" s="8">
        <v>20076.0</v>
      </c>
      <c r="K13" s="9">
        <f t="shared" si="3"/>
        <v>0.5019</v>
      </c>
      <c r="L13" s="8">
        <v>6281.0</v>
      </c>
      <c r="M13" s="9">
        <f t="shared" si="4"/>
        <v>0.157025</v>
      </c>
      <c r="N13" s="10">
        <v>90.6</v>
      </c>
      <c r="O13" s="10">
        <v>147.24</v>
      </c>
      <c r="P13" s="9">
        <v>0.0383276279347039</v>
      </c>
      <c r="Q13" s="7">
        <v>46083.0</v>
      </c>
    </row>
    <row r="14">
      <c r="A14" s="4" t="s">
        <v>992</v>
      </c>
      <c r="B14" s="4" t="s">
        <v>993</v>
      </c>
      <c r="C14" s="4" t="s">
        <v>977</v>
      </c>
      <c r="D14" s="7">
        <v>45816.0</v>
      </c>
      <c r="E14" s="8">
        <v>32000.0</v>
      </c>
      <c r="F14" s="8">
        <v>31350.0</v>
      </c>
      <c r="G14" s="8">
        <v>33160.0</v>
      </c>
      <c r="H14" s="9">
        <f t="shared" si="1"/>
        <v>0.02073365231</v>
      </c>
      <c r="I14" s="9">
        <f t="shared" si="2"/>
        <v>-0.03498190591</v>
      </c>
      <c r="J14" s="8">
        <v>14734.0</v>
      </c>
      <c r="K14" s="9">
        <f t="shared" si="3"/>
        <v>0.4604375</v>
      </c>
      <c r="L14" s="8">
        <v>5477.0</v>
      </c>
      <c r="M14" s="9">
        <f t="shared" si="4"/>
        <v>0.17115625</v>
      </c>
      <c r="N14" s="10">
        <v>111.22</v>
      </c>
      <c r="O14" s="10">
        <v>173.82</v>
      </c>
      <c r="P14" s="9">
        <v>0.0271322827712903</v>
      </c>
      <c r="Q14" s="7">
        <v>46118.0</v>
      </c>
    </row>
    <row r="15">
      <c r="A15" s="4" t="s">
        <v>994</v>
      </c>
      <c r="B15" s="4" t="s">
        <v>371</v>
      </c>
      <c r="C15" s="4" t="s">
        <v>977</v>
      </c>
      <c r="D15" s="7">
        <v>45822.0</v>
      </c>
      <c r="E15" s="8">
        <v>38000.0</v>
      </c>
      <c r="F15" s="8">
        <v>37758.0</v>
      </c>
      <c r="G15" s="8">
        <v>32919.0</v>
      </c>
      <c r="H15" s="9">
        <f t="shared" si="1"/>
        <v>0.006409237777</v>
      </c>
      <c r="I15" s="9">
        <f t="shared" si="2"/>
        <v>0.1543485525</v>
      </c>
      <c r="J15" s="8">
        <v>15073.0</v>
      </c>
      <c r="K15" s="9">
        <f t="shared" si="3"/>
        <v>0.3966578947</v>
      </c>
      <c r="L15" s="8">
        <v>6500.0</v>
      </c>
      <c r="M15" s="9">
        <f t="shared" si="4"/>
        <v>0.1710526316</v>
      </c>
      <c r="N15" s="10">
        <v>93.41</v>
      </c>
      <c r="O15" s="10">
        <v>157.26</v>
      </c>
      <c r="P15" s="9">
        <v>0.0152976422990888</v>
      </c>
      <c r="Q15" s="7">
        <v>46085.0</v>
      </c>
    </row>
    <row r="16">
      <c r="A16" s="4" t="s">
        <v>995</v>
      </c>
      <c r="B16" s="4" t="s">
        <v>427</v>
      </c>
      <c r="C16" s="4" t="s">
        <v>972</v>
      </c>
      <c r="D16" s="7">
        <v>45785.0</v>
      </c>
      <c r="E16" s="8">
        <v>22000.0</v>
      </c>
      <c r="F16" s="8">
        <v>22670.0</v>
      </c>
      <c r="G16" s="8">
        <v>24404.0</v>
      </c>
      <c r="H16" s="9">
        <f t="shared" si="1"/>
        <v>-0.02955447728</v>
      </c>
      <c r="I16" s="9">
        <f t="shared" si="2"/>
        <v>-0.09850844124</v>
      </c>
      <c r="J16" s="8">
        <v>14628.0</v>
      </c>
      <c r="K16" s="9">
        <f t="shared" si="3"/>
        <v>0.6649090909</v>
      </c>
      <c r="L16" s="8">
        <v>3299.0</v>
      </c>
      <c r="M16" s="9">
        <f t="shared" si="4"/>
        <v>0.1499545455</v>
      </c>
      <c r="N16" s="10">
        <v>88.68</v>
      </c>
      <c r="O16" s="10">
        <v>116.78</v>
      </c>
      <c r="P16" s="9">
        <v>0.0295288462063087</v>
      </c>
      <c r="Q16" s="7">
        <v>46089.0</v>
      </c>
    </row>
    <row r="17">
      <c r="A17" s="4" t="s">
        <v>996</v>
      </c>
      <c r="B17" s="4" t="s">
        <v>587</v>
      </c>
      <c r="C17" s="4" t="s">
        <v>972</v>
      </c>
      <c r="D17" s="7">
        <v>45867.0</v>
      </c>
      <c r="E17" s="8">
        <v>28000.0</v>
      </c>
      <c r="F17" s="8">
        <v>29077.0</v>
      </c>
      <c r="G17" s="8">
        <v>27960.0</v>
      </c>
      <c r="H17" s="9">
        <f t="shared" si="1"/>
        <v>-0.03703958455</v>
      </c>
      <c r="I17" s="9">
        <f t="shared" si="2"/>
        <v>0.001430615165</v>
      </c>
      <c r="J17" s="8">
        <v>15184.0</v>
      </c>
      <c r="K17" s="9">
        <f t="shared" si="3"/>
        <v>0.5422857143</v>
      </c>
      <c r="L17" s="8">
        <v>3420.0</v>
      </c>
      <c r="M17" s="9">
        <f t="shared" si="4"/>
        <v>0.1221428571</v>
      </c>
      <c r="N17" s="10">
        <v>119.36</v>
      </c>
      <c r="O17" s="10">
        <v>243.71</v>
      </c>
      <c r="P17" s="9">
        <v>0.0408132014960616</v>
      </c>
      <c r="Q17" s="7">
        <v>46096.0</v>
      </c>
    </row>
    <row r="18">
      <c r="A18" s="4" t="s">
        <v>997</v>
      </c>
      <c r="B18" s="4" t="s">
        <v>125</v>
      </c>
      <c r="C18" s="4" t="s">
        <v>977</v>
      </c>
      <c r="D18" s="7">
        <v>45298.0</v>
      </c>
      <c r="E18" s="8">
        <v>24000.0</v>
      </c>
      <c r="F18" s="8">
        <v>25173.0</v>
      </c>
      <c r="G18" s="8">
        <v>24890.0</v>
      </c>
      <c r="H18" s="9">
        <f t="shared" si="1"/>
        <v>-0.04659754499</v>
      </c>
      <c r="I18" s="9">
        <f t="shared" si="2"/>
        <v>-0.03575733226</v>
      </c>
      <c r="J18" s="8">
        <v>14108.0</v>
      </c>
      <c r="K18" s="9">
        <f t="shared" si="3"/>
        <v>0.5878333333</v>
      </c>
      <c r="L18" s="8">
        <v>4570.0</v>
      </c>
      <c r="M18" s="9">
        <f t="shared" si="4"/>
        <v>0.1904166667</v>
      </c>
      <c r="N18" s="10">
        <v>86.07</v>
      </c>
      <c r="O18" s="10">
        <v>135.4</v>
      </c>
      <c r="P18" s="9">
        <v>0.0644579314949107</v>
      </c>
      <c r="Q18" s="7">
        <v>46094.0</v>
      </c>
    </row>
    <row r="19">
      <c r="A19" s="4" t="s">
        <v>998</v>
      </c>
      <c r="B19" s="4" t="s">
        <v>458</v>
      </c>
      <c r="C19" s="4" t="s">
        <v>977</v>
      </c>
      <c r="D19" s="7">
        <v>45398.0</v>
      </c>
      <c r="E19" s="8">
        <v>26000.0</v>
      </c>
      <c r="F19" s="8">
        <v>25890.0</v>
      </c>
      <c r="G19" s="8">
        <v>28595.0</v>
      </c>
      <c r="H19" s="9">
        <f t="shared" si="1"/>
        <v>0.004248744689</v>
      </c>
      <c r="I19" s="9">
        <f t="shared" si="2"/>
        <v>-0.09075013114</v>
      </c>
      <c r="J19" s="8">
        <v>7372.0</v>
      </c>
      <c r="K19" s="9">
        <f t="shared" si="3"/>
        <v>0.2835384615</v>
      </c>
      <c r="L19" s="8">
        <v>1315.0</v>
      </c>
      <c r="M19" s="9">
        <f t="shared" si="4"/>
        <v>0.05057692308</v>
      </c>
      <c r="N19" s="10">
        <v>132.39</v>
      </c>
      <c r="O19" s="10">
        <v>241.45</v>
      </c>
      <c r="P19" s="9">
        <v>0.0273603042976162</v>
      </c>
      <c r="Q19" s="7">
        <v>46110.0</v>
      </c>
    </row>
    <row r="20">
      <c r="A20" s="4" t="s">
        <v>999</v>
      </c>
      <c r="B20" s="4" t="s">
        <v>607</v>
      </c>
      <c r="C20" s="4" t="s">
        <v>972</v>
      </c>
      <c r="D20" s="7">
        <v>45851.0</v>
      </c>
      <c r="E20" s="8">
        <v>33000.0</v>
      </c>
      <c r="F20" s="8">
        <v>31734.0</v>
      </c>
      <c r="G20" s="8">
        <v>34116.0</v>
      </c>
      <c r="H20" s="9">
        <f t="shared" si="1"/>
        <v>0.03989411987</v>
      </c>
      <c r="I20" s="9">
        <f t="shared" si="2"/>
        <v>-0.03271192402</v>
      </c>
      <c r="J20" s="8">
        <v>9168.0</v>
      </c>
      <c r="K20" s="9">
        <f t="shared" si="3"/>
        <v>0.2778181818</v>
      </c>
      <c r="L20" s="8">
        <v>1463.0</v>
      </c>
      <c r="M20" s="9">
        <f t="shared" si="4"/>
        <v>0.04433333333</v>
      </c>
      <c r="N20" s="10">
        <v>94.36</v>
      </c>
      <c r="O20" s="10">
        <v>224.52</v>
      </c>
      <c r="P20" s="9">
        <v>0.056013547865647</v>
      </c>
      <c r="Q20" s="7">
        <v>46110.0</v>
      </c>
    </row>
    <row r="21" ht="15.75" customHeight="1">
      <c r="A21" s="4" t="s">
        <v>1000</v>
      </c>
      <c r="B21" s="4" t="s">
        <v>1001</v>
      </c>
      <c r="C21" s="4" t="s">
        <v>977</v>
      </c>
      <c r="D21" s="7">
        <v>45538.0</v>
      </c>
      <c r="E21" s="8">
        <v>18000.0</v>
      </c>
      <c r="F21" s="8">
        <v>17051.0</v>
      </c>
      <c r="G21" s="8">
        <v>19304.0</v>
      </c>
      <c r="H21" s="9">
        <f t="shared" si="1"/>
        <v>0.05565655973</v>
      </c>
      <c r="I21" s="9">
        <f t="shared" si="2"/>
        <v>-0.06755076668</v>
      </c>
      <c r="J21" s="8">
        <v>10423.0</v>
      </c>
      <c r="K21" s="9">
        <f t="shared" si="3"/>
        <v>0.5790555556</v>
      </c>
      <c r="L21" s="8">
        <v>803.0</v>
      </c>
      <c r="M21" s="9">
        <f t="shared" si="4"/>
        <v>0.04461111111</v>
      </c>
      <c r="N21" s="10">
        <v>73.7</v>
      </c>
      <c r="O21" s="10">
        <v>90.36</v>
      </c>
      <c r="P21" s="9">
        <v>0.0220843092421256</v>
      </c>
      <c r="Q21" s="7">
        <v>46116.0</v>
      </c>
    </row>
    <row r="22" ht="15.75" customHeight="1">
      <c r="A22" s="4" t="s">
        <v>1002</v>
      </c>
      <c r="B22" s="4" t="s">
        <v>1003</v>
      </c>
      <c r="C22" s="4" t="s">
        <v>977</v>
      </c>
      <c r="D22" s="7">
        <v>45573.0</v>
      </c>
      <c r="E22" s="8">
        <v>27000.0</v>
      </c>
      <c r="F22" s="8">
        <v>26529.0</v>
      </c>
      <c r="G22" s="8">
        <v>28600.0</v>
      </c>
      <c r="H22" s="9">
        <f t="shared" si="1"/>
        <v>0.01775415583</v>
      </c>
      <c r="I22" s="9">
        <f t="shared" si="2"/>
        <v>-0.05594405594</v>
      </c>
      <c r="J22" s="8">
        <v>13178.0</v>
      </c>
      <c r="K22" s="9">
        <f t="shared" si="3"/>
        <v>0.4880740741</v>
      </c>
      <c r="L22" s="8">
        <v>2106.0</v>
      </c>
      <c r="M22" s="9">
        <f t="shared" si="4"/>
        <v>0.078</v>
      </c>
      <c r="N22" s="10">
        <v>115.4</v>
      </c>
      <c r="O22" s="10">
        <v>271.3</v>
      </c>
      <c r="P22" s="9">
        <v>0.0396482068178577</v>
      </c>
      <c r="Q22" s="7">
        <v>46088.0</v>
      </c>
    </row>
    <row r="23" ht="15.75" customHeight="1">
      <c r="A23" s="4" t="s">
        <v>1004</v>
      </c>
      <c r="B23" s="4" t="s">
        <v>468</v>
      </c>
      <c r="C23" s="4" t="s">
        <v>977</v>
      </c>
      <c r="D23" s="7">
        <v>45303.0</v>
      </c>
      <c r="E23" s="8">
        <v>25000.0</v>
      </c>
      <c r="F23" s="8">
        <v>25322.0</v>
      </c>
      <c r="G23" s="8">
        <v>21505.0</v>
      </c>
      <c r="H23" s="9">
        <f t="shared" si="1"/>
        <v>-0.01271621515</v>
      </c>
      <c r="I23" s="9">
        <f t="shared" si="2"/>
        <v>0.1625203441</v>
      </c>
      <c r="J23" s="8">
        <v>11461.0</v>
      </c>
      <c r="K23" s="9">
        <f t="shared" si="3"/>
        <v>0.45844</v>
      </c>
      <c r="L23" s="8">
        <v>2624.0</v>
      </c>
      <c r="M23" s="9">
        <f t="shared" si="4"/>
        <v>0.10496</v>
      </c>
      <c r="N23" s="10">
        <v>64.24</v>
      </c>
      <c r="O23" s="10">
        <v>112.32</v>
      </c>
      <c r="P23" s="9">
        <v>0.0432104542067011</v>
      </c>
      <c r="Q23" s="7">
        <v>46123.0</v>
      </c>
    </row>
    <row r="24" ht="15.75" customHeight="1">
      <c r="A24" s="4" t="s">
        <v>1005</v>
      </c>
      <c r="B24" s="4" t="s">
        <v>1006</v>
      </c>
      <c r="C24" s="4" t="s">
        <v>972</v>
      </c>
      <c r="D24" s="7">
        <v>45761.0</v>
      </c>
      <c r="E24" s="8">
        <v>95000.0</v>
      </c>
      <c r="F24" s="8">
        <v>91608.0</v>
      </c>
      <c r="G24" s="8">
        <v>108729.0</v>
      </c>
      <c r="H24" s="9">
        <f t="shared" si="1"/>
        <v>0.03702733386</v>
      </c>
      <c r="I24" s="9">
        <f t="shared" si="2"/>
        <v>-0.126268061</v>
      </c>
      <c r="J24" s="8">
        <v>54966.0</v>
      </c>
      <c r="K24" s="9">
        <f t="shared" si="3"/>
        <v>0.5785894737</v>
      </c>
      <c r="L24" s="8">
        <v>10345.0</v>
      </c>
      <c r="M24" s="9">
        <f t="shared" si="4"/>
        <v>0.1088947368</v>
      </c>
      <c r="N24" s="10">
        <v>134.65</v>
      </c>
      <c r="O24" s="10">
        <v>218.89</v>
      </c>
      <c r="P24" s="9">
        <v>0.0219651761904013</v>
      </c>
      <c r="Q24" s="7">
        <v>46104.0</v>
      </c>
    </row>
    <row r="25" ht="15.75" customHeight="1">
      <c r="A25" s="4" t="s">
        <v>1007</v>
      </c>
      <c r="B25" s="4" t="s">
        <v>207</v>
      </c>
      <c r="C25" s="4" t="s">
        <v>972</v>
      </c>
      <c r="D25" s="7">
        <v>45356.0</v>
      </c>
      <c r="E25" s="8">
        <v>52000.0</v>
      </c>
      <c r="F25" s="8">
        <v>49291.0</v>
      </c>
      <c r="G25" s="8">
        <v>46561.0</v>
      </c>
      <c r="H25" s="9">
        <f t="shared" si="1"/>
        <v>0.0549593232</v>
      </c>
      <c r="I25" s="9">
        <f t="shared" si="2"/>
        <v>0.1168145014</v>
      </c>
      <c r="J25" s="8">
        <v>35251.0</v>
      </c>
      <c r="K25" s="9">
        <f t="shared" si="3"/>
        <v>0.6779038462</v>
      </c>
      <c r="L25" s="8">
        <v>6273.0</v>
      </c>
      <c r="M25" s="9">
        <f t="shared" si="4"/>
        <v>0.1206346154</v>
      </c>
      <c r="N25" s="10">
        <v>89.91</v>
      </c>
      <c r="O25" s="10">
        <v>184.08</v>
      </c>
      <c r="P25" s="9">
        <v>0.0345312162909825</v>
      </c>
      <c r="Q25" s="7">
        <v>46123.0</v>
      </c>
    </row>
    <row r="26" ht="15.75" customHeight="1">
      <c r="A26" s="4" t="s">
        <v>1008</v>
      </c>
      <c r="B26" s="4" t="s">
        <v>597</v>
      </c>
      <c r="C26" s="4" t="s">
        <v>972</v>
      </c>
      <c r="D26" s="7">
        <v>45602.0</v>
      </c>
      <c r="E26" s="8">
        <v>38000.0</v>
      </c>
      <c r="F26" s="8">
        <v>40574.0</v>
      </c>
      <c r="G26" s="8">
        <v>33077.0</v>
      </c>
      <c r="H26" s="9">
        <f t="shared" si="1"/>
        <v>-0.06343964115</v>
      </c>
      <c r="I26" s="9">
        <f t="shared" si="2"/>
        <v>0.1488345376</v>
      </c>
      <c r="J26" s="8">
        <v>20199.0</v>
      </c>
      <c r="K26" s="9">
        <f t="shared" si="3"/>
        <v>0.5315526316</v>
      </c>
      <c r="L26" s="8">
        <v>4252.0</v>
      </c>
      <c r="M26" s="9">
        <f t="shared" si="4"/>
        <v>0.1118947368</v>
      </c>
      <c r="N26" s="10">
        <v>130.69</v>
      </c>
      <c r="O26" s="10">
        <v>178.79</v>
      </c>
      <c r="P26" s="9">
        <v>0.054248046935576</v>
      </c>
      <c r="Q26" s="7">
        <v>46123.0</v>
      </c>
    </row>
    <row r="27" ht="15.75" customHeight="1">
      <c r="A27" s="4" t="s">
        <v>1009</v>
      </c>
      <c r="B27" s="4" t="s">
        <v>1010</v>
      </c>
      <c r="C27" s="4" t="s">
        <v>972</v>
      </c>
      <c r="D27" s="7">
        <v>45830.0</v>
      </c>
      <c r="E27" s="8">
        <v>41000.0</v>
      </c>
      <c r="F27" s="8">
        <v>39420.0</v>
      </c>
      <c r="G27" s="8">
        <v>43432.0</v>
      </c>
      <c r="H27" s="9">
        <f t="shared" si="1"/>
        <v>0.04008117707</v>
      </c>
      <c r="I27" s="9">
        <f t="shared" si="2"/>
        <v>-0.0559955793</v>
      </c>
      <c r="J27" s="8">
        <v>17968.0</v>
      </c>
      <c r="K27" s="9">
        <f t="shared" si="3"/>
        <v>0.4382439024</v>
      </c>
      <c r="L27" s="8">
        <v>4688.0</v>
      </c>
      <c r="M27" s="9">
        <f t="shared" si="4"/>
        <v>0.1143414634</v>
      </c>
      <c r="N27" s="10">
        <v>114.72</v>
      </c>
      <c r="O27" s="10">
        <v>216.96</v>
      </c>
      <c r="P27" s="9">
        <v>0.0613706122737304</v>
      </c>
      <c r="Q27" s="7">
        <v>46119.0</v>
      </c>
    </row>
    <row r="28" ht="15.75" customHeight="1">
      <c r="A28" s="4" t="s">
        <v>1011</v>
      </c>
      <c r="B28" s="4" t="s">
        <v>1012</v>
      </c>
      <c r="C28" s="4" t="s">
        <v>972</v>
      </c>
      <c r="D28" s="7">
        <v>45454.0</v>
      </c>
      <c r="E28" s="8">
        <v>58000.0</v>
      </c>
      <c r="F28" s="8">
        <v>55510.0</v>
      </c>
      <c r="G28" s="8">
        <v>60875.0</v>
      </c>
      <c r="H28" s="9">
        <f t="shared" si="1"/>
        <v>0.04485678256</v>
      </c>
      <c r="I28" s="9">
        <f t="shared" si="2"/>
        <v>-0.04722792608</v>
      </c>
      <c r="J28" s="8">
        <v>24594.0</v>
      </c>
      <c r="K28" s="9">
        <f t="shared" si="3"/>
        <v>0.4240344828</v>
      </c>
      <c r="L28" s="8">
        <v>8322.0</v>
      </c>
      <c r="M28" s="9">
        <f t="shared" si="4"/>
        <v>0.1434827586</v>
      </c>
      <c r="N28" s="10">
        <v>94.3</v>
      </c>
      <c r="O28" s="10">
        <v>118.25</v>
      </c>
      <c r="P28" s="9">
        <v>0.0576015592116406</v>
      </c>
      <c r="Q28" s="7">
        <v>46113.0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8.0"/>
    <col customWidth="1" min="3" max="4" width="13.0"/>
    <col customWidth="1" min="5" max="6" width="12.0"/>
    <col customWidth="1" min="7" max="8" width="15.0"/>
    <col customWidth="1" min="9" max="9" width="13.0"/>
    <col customWidth="1" min="10" max="10" width="23.0"/>
    <col customWidth="1" min="11" max="26" width="8.71"/>
  </cols>
  <sheetData>
    <row r="1" ht="31.5" customHeight="1">
      <c r="A1" s="5" t="s">
        <v>769</v>
      </c>
      <c r="B1" s="5" t="s">
        <v>1013</v>
      </c>
      <c r="C1" s="5" t="s">
        <v>1014</v>
      </c>
      <c r="D1" s="5" t="s">
        <v>42</v>
      </c>
      <c r="E1" s="5" t="s">
        <v>46</v>
      </c>
      <c r="F1" s="5" t="s">
        <v>45</v>
      </c>
      <c r="G1" s="5" t="s">
        <v>1015</v>
      </c>
      <c r="H1" s="5" t="s">
        <v>1016</v>
      </c>
      <c r="I1" s="5" t="s">
        <v>1017</v>
      </c>
      <c r="J1" s="5" t="s">
        <v>1018</v>
      </c>
    </row>
    <row r="2">
      <c r="A2" s="12">
        <v>45778.0</v>
      </c>
      <c r="B2" s="4" t="s">
        <v>144</v>
      </c>
      <c r="C2" s="8">
        <v>294777.0</v>
      </c>
      <c r="D2" s="8">
        <v>3382.0</v>
      </c>
      <c r="E2" s="10">
        <v>82.77</v>
      </c>
      <c r="F2" s="10">
        <v>279942.34</v>
      </c>
      <c r="G2" s="8">
        <v>336.0</v>
      </c>
      <c r="H2" s="10">
        <v>27351.94</v>
      </c>
      <c r="I2" s="10">
        <v>252590.4</v>
      </c>
      <c r="J2" s="9">
        <f t="shared" ref="J2:J205" si="1">IFERROR(G2/D2,0)</f>
        <v>0.09934949734</v>
      </c>
    </row>
    <row r="3">
      <c r="A3" s="12">
        <v>45809.0</v>
      </c>
      <c r="B3" s="4" t="s">
        <v>144</v>
      </c>
      <c r="C3" s="8">
        <v>169055.0</v>
      </c>
      <c r="D3" s="8">
        <v>1201.0</v>
      </c>
      <c r="E3" s="10">
        <v>152.24</v>
      </c>
      <c r="F3" s="10">
        <v>182841.24</v>
      </c>
      <c r="G3" s="8">
        <v>114.0</v>
      </c>
      <c r="H3" s="10">
        <v>15217.55</v>
      </c>
      <c r="I3" s="10">
        <v>167623.68</v>
      </c>
      <c r="J3" s="9">
        <f t="shared" si="1"/>
        <v>0.09492089925</v>
      </c>
    </row>
    <row r="4">
      <c r="A4" s="12">
        <v>45839.0</v>
      </c>
      <c r="B4" s="4" t="s">
        <v>144</v>
      </c>
      <c r="C4" s="8">
        <v>265230.0</v>
      </c>
      <c r="D4" s="8">
        <v>6218.0</v>
      </c>
      <c r="E4" s="10">
        <v>64.63</v>
      </c>
      <c r="F4" s="10">
        <v>401845.41</v>
      </c>
      <c r="G4" s="8">
        <v>326.0</v>
      </c>
      <c r="H4" s="10">
        <v>17012.17</v>
      </c>
      <c r="I4" s="10">
        <v>384833.24</v>
      </c>
      <c r="J4" s="9">
        <f t="shared" si="1"/>
        <v>0.05242843358</v>
      </c>
    </row>
    <row r="5">
      <c r="A5" s="12">
        <v>45870.0</v>
      </c>
      <c r="B5" s="4" t="s">
        <v>144</v>
      </c>
      <c r="C5" s="8">
        <v>83210.0</v>
      </c>
      <c r="D5" s="8">
        <v>1150.0</v>
      </c>
      <c r="E5" s="10">
        <v>98.05</v>
      </c>
      <c r="F5" s="10">
        <v>112760.34</v>
      </c>
      <c r="G5" s="8">
        <v>99.0</v>
      </c>
      <c r="H5" s="10">
        <v>7822.95</v>
      </c>
      <c r="I5" s="10">
        <v>104937.39</v>
      </c>
      <c r="J5" s="9">
        <f t="shared" si="1"/>
        <v>0.08608695652</v>
      </c>
    </row>
    <row r="6">
      <c r="A6" s="12">
        <v>45901.0</v>
      </c>
      <c r="B6" s="4" t="s">
        <v>144</v>
      </c>
      <c r="C6" s="8">
        <v>136261.0</v>
      </c>
      <c r="D6" s="8">
        <v>1556.0</v>
      </c>
      <c r="E6" s="10">
        <v>132.76</v>
      </c>
      <c r="F6" s="10">
        <v>206580.24</v>
      </c>
      <c r="G6" s="8">
        <v>99.0</v>
      </c>
      <c r="H6" s="10">
        <v>13114.35</v>
      </c>
      <c r="I6" s="10">
        <v>193465.9</v>
      </c>
      <c r="J6" s="9">
        <f t="shared" si="1"/>
        <v>0.06362467866</v>
      </c>
    </row>
    <row r="7">
      <c r="A7" s="12">
        <v>45931.0</v>
      </c>
      <c r="B7" s="4" t="s">
        <v>144</v>
      </c>
      <c r="C7" s="8">
        <v>345825.0</v>
      </c>
      <c r="D7" s="8">
        <v>5577.0</v>
      </c>
      <c r="E7" s="10">
        <v>78.94</v>
      </c>
      <c r="F7" s="10">
        <v>440258.53</v>
      </c>
      <c r="G7" s="8">
        <v>413.0</v>
      </c>
      <c r="H7" s="10">
        <v>30508.88</v>
      </c>
      <c r="I7" s="10">
        <v>409749.66</v>
      </c>
      <c r="J7" s="9">
        <f t="shared" si="1"/>
        <v>0.07405415098</v>
      </c>
    </row>
    <row r="8">
      <c r="A8" s="12">
        <v>45962.0</v>
      </c>
      <c r="B8" s="4" t="s">
        <v>144</v>
      </c>
      <c r="C8" s="8">
        <v>163225.0</v>
      </c>
      <c r="D8" s="8">
        <v>1472.0</v>
      </c>
      <c r="E8" s="10">
        <v>75.34</v>
      </c>
      <c r="F8" s="10">
        <v>110905.76</v>
      </c>
      <c r="G8" s="8">
        <v>151.0</v>
      </c>
      <c r="H8" s="10">
        <v>10941.54</v>
      </c>
      <c r="I8" s="10">
        <v>99964.22</v>
      </c>
      <c r="J8" s="9">
        <f t="shared" si="1"/>
        <v>0.1025815217</v>
      </c>
    </row>
    <row r="9">
      <c r="A9" s="12">
        <v>45992.0</v>
      </c>
      <c r="B9" s="4" t="s">
        <v>144</v>
      </c>
      <c r="C9" s="8">
        <v>145818.0</v>
      </c>
      <c r="D9" s="8">
        <v>979.0</v>
      </c>
      <c r="E9" s="10">
        <v>60.59</v>
      </c>
      <c r="F9" s="10">
        <v>59321.53</v>
      </c>
      <c r="G9" s="8">
        <v>113.0</v>
      </c>
      <c r="H9" s="10">
        <v>5609.45</v>
      </c>
      <c r="I9" s="10">
        <v>53712.09</v>
      </c>
      <c r="J9" s="9">
        <f t="shared" si="1"/>
        <v>0.1154239019</v>
      </c>
    </row>
    <row r="10">
      <c r="A10" s="12">
        <v>46023.0</v>
      </c>
      <c r="B10" s="4" t="s">
        <v>144</v>
      </c>
      <c r="C10" s="8">
        <v>62426.0</v>
      </c>
      <c r="D10" s="8">
        <v>1323.0</v>
      </c>
      <c r="E10" s="10">
        <v>153.58</v>
      </c>
      <c r="F10" s="10">
        <v>203189.17</v>
      </c>
      <c r="G10" s="8">
        <v>82.0</v>
      </c>
      <c r="H10" s="10">
        <v>11102.71</v>
      </c>
      <c r="I10" s="10">
        <v>192086.46</v>
      </c>
      <c r="J10" s="9">
        <f t="shared" si="1"/>
        <v>0.06198034769</v>
      </c>
    </row>
    <row r="11">
      <c r="A11" s="12">
        <v>46054.0</v>
      </c>
      <c r="B11" s="4" t="s">
        <v>144</v>
      </c>
      <c r="C11" s="8">
        <v>331565.0</v>
      </c>
      <c r="D11" s="8">
        <v>7390.0</v>
      </c>
      <c r="E11" s="10">
        <v>94.46</v>
      </c>
      <c r="F11" s="10">
        <v>698030.66</v>
      </c>
      <c r="G11" s="8">
        <v>675.0</v>
      </c>
      <c r="H11" s="10">
        <v>63219.04</v>
      </c>
      <c r="I11" s="10">
        <v>634811.62</v>
      </c>
      <c r="J11" s="9">
        <f t="shared" si="1"/>
        <v>0.09133964817</v>
      </c>
    </row>
    <row r="12">
      <c r="A12" s="12">
        <v>46082.0</v>
      </c>
      <c r="B12" s="4" t="s">
        <v>144</v>
      </c>
      <c r="C12" s="8">
        <v>321905.0</v>
      </c>
      <c r="D12" s="8">
        <v>4803.0</v>
      </c>
      <c r="E12" s="10">
        <v>147.07</v>
      </c>
      <c r="F12" s="10">
        <v>706363.34</v>
      </c>
      <c r="G12" s="8">
        <v>390.0</v>
      </c>
      <c r="H12" s="10">
        <v>51319.24</v>
      </c>
      <c r="I12" s="10">
        <v>655044.1</v>
      </c>
      <c r="J12" s="9">
        <f t="shared" si="1"/>
        <v>0.08119925047</v>
      </c>
    </row>
    <row r="13">
      <c r="A13" s="12">
        <v>46113.0</v>
      </c>
      <c r="B13" s="4" t="s">
        <v>144</v>
      </c>
      <c r="C13" s="8">
        <v>229604.0</v>
      </c>
      <c r="D13" s="8">
        <v>2785.0</v>
      </c>
      <c r="E13" s="10">
        <v>154.27</v>
      </c>
      <c r="F13" s="10">
        <v>429652.72</v>
      </c>
      <c r="G13" s="8">
        <v>297.0</v>
      </c>
      <c r="H13" s="10">
        <v>44001.19</v>
      </c>
      <c r="I13" s="10">
        <v>385651.53</v>
      </c>
      <c r="J13" s="9">
        <f t="shared" si="1"/>
        <v>0.1066427289</v>
      </c>
    </row>
    <row r="14">
      <c r="A14" s="12">
        <v>45778.0</v>
      </c>
      <c r="B14" s="4" t="s">
        <v>100</v>
      </c>
      <c r="C14" s="8">
        <v>275098.0</v>
      </c>
      <c r="D14" s="8">
        <v>3727.0</v>
      </c>
      <c r="E14" s="10">
        <v>98.24</v>
      </c>
      <c r="F14" s="10">
        <v>366157.81</v>
      </c>
      <c r="G14" s="8">
        <v>135.0</v>
      </c>
      <c r="H14" s="10">
        <v>10817.71</v>
      </c>
      <c r="I14" s="10">
        <v>355340.1</v>
      </c>
      <c r="J14" s="9">
        <f t="shared" si="1"/>
        <v>0.0362221626</v>
      </c>
    </row>
    <row r="15">
      <c r="A15" s="12">
        <v>45809.0</v>
      </c>
      <c r="B15" s="4" t="s">
        <v>100</v>
      </c>
      <c r="C15" s="8">
        <v>316186.0</v>
      </c>
      <c r="D15" s="8">
        <v>3466.0</v>
      </c>
      <c r="E15" s="10">
        <v>70.62</v>
      </c>
      <c r="F15" s="10">
        <v>244762.83</v>
      </c>
      <c r="G15" s="8">
        <v>175.0</v>
      </c>
      <c r="H15" s="10">
        <v>11373.22</v>
      </c>
      <c r="I15" s="10">
        <v>233389.61</v>
      </c>
      <c r="J15" s="9">
        <f t="shared" si="1"/>
        <v>0.05049047894</v>
      </c>
    </row>
    <row r="16">
      <c r="A16" s="12">
        <v>45839.0</v>
      </c>
      <c r="B16" s="4" t="s">
        <v>100</v>
      </c>
      <c r="C16" s="8">
        <v>218497.0</v>
      </c>
      <c r="D16" s="8">
        <v>1190.0</v>
      </c>
      <c r="E16" s="10">
        <v>145.88</v>
      </c>
      <c r="F16" s="10">
        <v>173599.67</v>
      </c>
      <c r="G16" s="8">
        <v>66.0</v>
      </c>
      <c r="H16" s="10">
        <v>9297.29</v>
      </c>
      <c r="I16" s="10">
        <v>164302.38</v>
      </c>
      <c r="J16" s="9">
        <f t="shared" si="1"/>
        <v>0.05546218487</v>
      </c>
    </row>
    <row r="17">
      <c r="A17" s="12">
        <v>45870.0</v>
      </c>
      <c r="B17" s="4" t="s">
        <v>100</v>
      </c>
      <c r="C17" s="8">
        <v>249695.0</v>
      </c>
      <c r="D17" s="8">
        <v>4760.0</v>
      </c>
      <c r="E17" s="10">
        <v>65.27</v>
      </c>
      <c r="F17" s="10">
        <v>310689.73</v>
      </c>
      <c r="G17" s="8">
        <v>516.0</v>
      </c>
      <c r="H17" s="10">
        <v>33465.03</v>
      </c>
      <c r="I17" s="10">
        <v>277224.7</v>
      </c>
      <c r="J17" s="9">
        <f t="shared" si="1"/>
        <v>0.1084033613</v>
      </c>
    </row>
    <row r="18">
      <c r="A18" s="12">
        <v>45901.0</v>
      </c>
      <c r="B18" s="4" t="s">
        <v>100</v>
      </c>
      <c r="C18" s="8">
        <v>84204.0</v>
      </c>
      <c r="D18" s="8">
        <v>1321.0</v>
      </c>
      <c r="E18" s="10">
        <v>83.83</v>
      </c>
      <c r="F18" s="10">
        <v>110738.94</v>
      </c>
      <c r="G18" s="8">
        <v>101.0</v>
      </c>
      <c r="H18" s="10">
        <v>7808.49</v>
      </c>
      <c r="I18" s="10">
        <v>102930.44</v>
      </c>
      <c r="J18" s="9">
        <f t="shared" si="1"/>
        <v>0.07645722937</v>
      </c>
    </row>
    <row r="19">
      <c r="A19" s="12">
        <v>45931.0</v>
      </c>
      <c r="B19" s="4" t="s">
        <v>100</v>
      </c>
      <c r="C19" s="8">
        <v>208703.0</v>
      </c>
      <c r="D19" s="8">
        <v>2709.0</v>
      </c>
      <c r="E19" s="10">
        <v>64.06</v>
      </c>
      <c r="F19" s="10">
        <v>173542.22</v>
      </c>
      <c r="G19" s="8">
        <v>251.0</v>
      </c>
      <c r="H19" s="10">
        <v>13220.08</v>
      </c>
      <c r="I19" s="10">
        <v>160322.14</v>
      </c>
      <c r="J19" s="9">
        <f t="shared" si="1"/>
        <v>0.09265411591</v>
      </c>
    </row>
    <row r="20">
      <c r="A20" s="12">
        <v>45962.0</v>
      </c>
      <c r="B20" s="4" t="s">
        <v>100</v>
      </c>
      <c r="C20" s="8">
        <v>291928.0</v>
      </c>
      <c r="D20" s="8">
        <v>6929.0</v>
      </c>
      <c r="E20" s="10">
        <v>163.39</v>
      </c>
      <c r="F20" s="10">
        <v>1132114.97</v>
      </c>
      <c r="G20" s="8">
        <v>615.0</v>
      </c>
      <c r="H20" s="10">
        <v>81035.48</v>
      </c>
      <c r="I20" s="10">
        <v>1051079.49</v>
      </c>
      <c r="J20" s="9">
        <f t="shared" si="1"/>
        <v>0.08875739645</v>
      </c>
    </row>
    <row r="21" ht="15.75" customHeight="1">
      <c r="A21" s="12">
        <v>45992.0</v>
      </c>
      <c r="B21" s="4" t="s">
        <v>100</v>
      </c>
      <c r="C21" s="8">
        <v>265937.0</v>
      </c>
      <c r="D21" s="8">
        <v>2717.0</v>
      </c>
      <c r="E21" s="10">
        <v>93.8</v>
      </c>
      <c r="F21" s="10">
        <v>254843.5</v>
      </c>
      <c r="G21" s="8">
        <v>268.0</v>
      </c>
      <c r="H21" s="10">
        <v>20810.11</v>
      </c>
      <c r="I21" s="10">
        <v>234033.38</v>
      </c>
      <c r="J21" s="9">
        <f t="shared" si="1"/>
        <v>0.0986382039</v>
      </c>
    </row>
    <row r="22" ht="15.75" customHeight="1">
      <c r="A22" s="12">
        <v>46023.0</v>
      </c>
      <c r="B22" s="4" t="s">
        <v>100</v>
      </c>
      <c r="C22" s="8">
        <v>331831.0</v>
      </c>
      <c r="D22" s="8">
        <v>7079.0</v>
      </c>
      <c r="E22" s="10">
        <v>93.27</v>
      </c>
      <c r="F22" s="10">
        <v>660245.45</v>
      </c>
      <c r="G22" s="8">
        <v>694.0</v>
      </c>
      <c r="H22" s="10">
        <v>63593.04</v>
      </c>
      <c r="I22" s="10">
        <v>596652.42</v>
      </c>
      <c r="J22" s="9">
        <f t="shared" si="1"/>
        <v>0.09803644583</v>
      </c>
    </row>
    <row r="23" ht="15.75" customHeight="1">
      <c r="A23" s="12">
        <v>46054.0</v>
      </c>
      <c r="B23" s="4" t="s">
        <v>100</v>
      </c>
      <c r="C23" s="8">
        <v>77678.0</v>
      </c>
      <c r="D23" s="8">
        <v>754.0</v>
      </c>
      <c r="E23" s="10">
        <v>65.8</v>
      </c>
      <c r="F23" s="10">
        <v>49614.39</v>
      </c>
      <c r="G23" s="8">
        <v>86.0</v>
      </c>
      <c r="H23" s="10">
        <v>5550.65</v>
      </c>
      <c r="I23" s="10">
        <v>44063.74</v>
      </c>
      <c r="J23" s="9">
        <f t="shared" si="1"/>
        <v>0.1140583554</v>
      </c>
    </row>
    <row r="24" ht="15.75" customHeight="1">
      <c r="A24" s="12">
        <v>46082.0</v>
      </c>
      <c r="B24" s="4" t="s">
        <v>100</v>
      </c>
      <c r="C24" s="8">
        <v>63539.0</v>
      </c>
      <c r="D24" s="8">
        <v>757.0</v>
      </c>
      <c r="E24" s="10">
        <v>65.57</v>
      </c>
      <c r="F24" s="10">
        <v>49637.74</v>
      </c>
      <c r="G24" s="8">
        <v>51.0</v>
      </c>
      <c r="H24" s="10">
        <v>3169.78</v>
      </c>
      <c r="I24" s="10">
        <v>46467.96</v>
      </c>
      <c r="J24" s="9">
        <f t="shared" si="1"/>
        <v>0.06737120211</v>
      </c>
    </row>
    <row r="25" ht="15.75" customHeight="1">
      <c r="A25" s="12">
        <v>46113.0</v>
      </c>
      <c r="B25" s="4" t="s">
        <v>100</v>
      </c>
      <c r="C25" s="8">
        <v>87254.0</v>
      </c>
      <c r="D25" s="8">
        <v>1985.0</v>
      </c>
      <c r="E25" s="10">
        <v>109.23</v>
      </c>
      <c r="F25" s="10">
        <v>216818.67</v>
      </c>
      <c r="G25" s="8">
        <v>82.0</v>
      </c>
      <c r="H25" s="10">
        <v>8461.13</v>
      </c>
      <c r="I25" s="10">
        <v>208357.54</v>
      </c>
      <c r="J25" s="9">
        <f t="shared" si="1"/>
        <v>0.04130982368</v>
      </c>
    </row>
    <row r="26" ht="15.75" customHeight="1">
      <c r="A26" s="12">
        <v>45778.0</v>
      </c>
      <c r="B26" s="4" t="s">
        <v>227</v>
      </c>
      <c r="C26" s="8">
        <v>99558.0</v>
      </c>
      <c r="D26" s="8">
        <v>568.0</v>
      </c>
      <c r="E26" s="10">
        <v>112.31</v>
      </c>
      <c r="F26" s="10">
        <v>63794.16</v>
      </c>
      <c r="G26" s="8">
        <v>50.0</v>
      </c>
      <c r="H26" s="10">
        <v>4977.2</v>
      </c>
      <c r="I26" s="10">
        <v>58816.96</v>
      </c>
      <c r="J26" s="9">
        <f t="shared" si="1"/>
        <v>0.08802816901</v>
      </c>
    </row>
    <row r="27" ht="15.75" customHeight="1">
      <c r="A27" s="12">
        <v>45809.0</v>
      </c>
      <c r="B27" s="4" t="s">
        <v>227</v>
      </c>
      <c r="C27" s="8">
        <v>204078.0</v>
      </c>
      <c r="D27" s="8">
        <v>4210.0</v>
      </c>
      <c r="E27" s="10">
        <v>151.78</v>
      </c>
      <c r="F27" s="10">
        <v>638994.34</v>
      </c>
      <c r="G27" s="8">
        <v>212.0</v>
      </c>
      <c r="H27" s="10">
        <v>31734.93</v>
      </c>
      <c r="I27" s="10">
        <v>607259.42</v>
      </c>
      <c r="J27" s="9">
        <f t="shared" si="1"/>
        <v>0.05035629454</v>
      </c>
    </row>
    <row r="28" ht="15.75" customHeight="1">
      <c r="A28" s="12">
        <v>45839.0</v>
      </c>
      <c r="B28" s="4" t="s">
        <v>227</v>
      </c>
      <c r="C28" s="8">
        <v>58816.0</v>
      </c>
      <c r="D28" s="8">
        <v>1204.0</v>
      </c>
      <c r="E28" s="10">
        <v>144.82</v>
      </c>
      <c r="F28" s="10">
        <v>174358.29</v>
      </c>
      <c r="G28" s="8">
        <v>94.0</v>
      </c>
      <c r="H28" s="10">
        <v>13232.34</v>
      </c>
      <c r="I28" s="10">
        <v>161125.96</v>
      </c>
      <c r="J28" s="9">
        <f t="shared" si="1"/>
        <v>0.0780730897</v>
      </c>
    </row>
    <row r="29" ht="15.75" customHeight="1">
      <c r="A29" s="12">
        <v>45870.0</v>
      </c>
      <c r="B29" s="4" t="s">
        <v>227</v>
      </c>
      <c r="C29" s="8">
        <v>54486.0</v>
      </c>
      <c r="D29" s="8">
        <v>874.0</v>
      </c>
      <c r="E29" s="10">
        <v>63.58</v>
      </c>
      <c r="F29" s="10">
        <v>55568.07</v>
      </c>
      <c r="G29" s="8">
        <v>86.0</v>
      </c>
      <c r="H29" s="10">
        <v>5134.74</v>
      </c>
      <c r="I29" s="10">
        <v>50433.33</v>
      </c>
      <c r="J29" s="9">
        <f t="shared" si="1"/>
        <v>0.09839816934</v>
      </c>
    </row>
    <row r="30" ht="15.75" customHeight="1">
      <c r="A30" s="12">
        <v>45901.0</v>
      </c>
      <c r="B30" s="4" t="s">
        <v>227</v>
      </c>
      <c r="C30" s="8">
        <v>270296.0</v>
      </c>
      <c r="D30" s="8">
        <v>5142.0</v>
      </c>
      <c r="E30" s="10">
        <v>116.8</v>
      </c>
      <c r="F30" s="10">
        <v>600592.32</v>
      </c>
      <c r="G30" s="8">
        <v>207.0</v>
      </c>
      <c r="H30" s="10">
        <v>19912.86</v>
      </c>
      <c r="I30" s="10">
        <v>580679.46</v>
      </c>
      <c r="J30" s="9">
        <f t="shared" si="1"/>
        <v>0.04025670945</v>
      </c>
    </row>
    <row r="31" ht="15.75" customHeight="1">
      <c r="A31" s="12">
        <v>45931.0</v>
      </c>
      <c r="B31" s="4" t="s">
        <v>227</v>
      </c>
      <c r="C31" s="8">
        <v>367779.0</v>
      </c>
      <c r="D31" s="8">
        <v>9066.0</v>
      </c>
      <c r="E31" s="10">
        <v>97.34</v>
      </c>
      <c r="F31" s="10">
        <v>882528.21</v>
      </c>
      <c r="G31" s="8">
        <v>429.0</v>
      </c>
      <c r="H31" s="10">
        <v>37054.68</v>
      </c>
      <c r="I31" s="10">
        <v>845473.53</v>
      </c>
      <c r="J31" s="9">
        <f t="shared" si="1"/>
        <v>0.04731965586</v>
      </c>
    </row>
    <row r="32" ht="15.75" customHeight="1">
      <c r="A32" s="12">
        <v>45962.0</v>
      </c>
      <c r="B32" s="4" t="s">
        <v>227</v>
      </c>
      <c r="C32" s="8">
        <v>75368.0</v>
      </c>
      <c r="D32" s="8">
        <v>735.0</v>
      </c>
      <c r="E32" s="10">
        <v>67.84</v>
      </c>
      <c r="F32" s="10">
        <v>49864.62</v>
      </c>
      <c r="G32" s="8">
        <v>22.0</v>
      </c>
      <c r="H32" s="10">
        <v>1317.34</v>
      </c>
      <c r="I32" s="10">
        <v>48547.28</v>
      </c>
      <c r="J32" s="9">
        <f t="shared" si="1"/>
        <v>0.02993197279</v>
      </c>
    </row>
    <row r="33" ht="15.75" customHeight="1">
      <c r="A33" s="12">
        <v>45992.0</v>
      </c>
      <c r="B33" s="4" t="s">
        <v>227</v>
      </c>
      <c r="C33" s="8">
        <v>326132.0</v>
      </c>
      <c r="D33" s="8">
        <v>5335.0</v>
      </c>
      <c r="E33" s="10">
        <v>164.03</v>
      </c>
      <c r="F33" s="10">
        <v>875102.42</v>
      </c>
      <c r="G33" s="8">
        <v>167.0</v>
      </c>
      <c r="H33" s="10">
        <v>25858.12</v>
      </c>
      <c r="I33" s="10">
        <v>849244.3</v>
      </c>
      <c r="J33" s="9">
        <f t="shared" si="1"/>
        <v>0.0313027179</v>
      </c>
    </row>
    <row r="34" ht="15.75" customHeight="1">
      <c r="A34" s="12">
        <v>46023.0</v>
      </c>
      <c r="B34" s="4" t="s">
        <v>227</v>
      </c>
      <c r="C34" s="8">
        <v>74823.0</v>
      </c>
      <c r="D34" s="8">
        <v>488.0</v>
      </c>
      <c r="E34" s="10">
        <v>71.56</v>
      </c>
      <c r="F34" s="10">
        <v>34920.6</v>
      </c>
      <c r="G34" s="8">
        <v>22.0</v>
      </c>
      <c r="H34" s="10">
        <v>1273.2</v>
      </c>
      <c r="I34" s="10">
        <v>33647.4</v>
      </c>
      <c r="J34" s="9">
        <f t="shared" si="1"/>
        <v>0.04508196721</v>
      </c>
    </row>
    <row r="35" ht="15.75" customHeight="1">
      <c r="A35" s="12">
        <v>46054.0</v>
      </c>
      <c r="B35" s="4" t="s">
        <v>227</v>
      </c>
      <c r="C35" s="8">
        <v>228326.0</v>
      </c>
      <c r="D35" s="8">
        <v>3892.0</v>
      </c>
      <c r="E35" s="10">
        <v>153.28</v>
      </c>
      <c r="F35" s="10">
        <v>596548.02</v>
      </c>
      <c r="G35" s="8">
        <v>466.0</v>
      </c>
      <c r="H35" s="10">
        <v>58994.12</v>
      </c>
      <c r="I35" s="10">
        <v>537553.91</v>
      </c>
      <c r="J35" s="9">
        <f t="shared" si="1"/>
        <v>0.1197327852</v>
      </c>
    </row>
    <row r="36" ht="15.75" customHeight="1">
      <c r="A36" s="12">
        <v>46082.0</v>
      </c>
      <c r="B36" s="4" t="s">
        <v>227</v>
      </c>
      <c r="C36" s="8">
        <v>253571.0</v>
      </c>
      <c r="D36" s="8">
        <v>3695.0</v>
      </c>
      <c r="E36" s="10">
        <v>71.09</v>
      </c>
      <c r="F36" s="10">
        <v>262693.33</v>
      </c>
      <c r="G36" s="8">
        <v>136.0</v>
      </c>
      <c r="H36" s="10">
        <v>8218.88</v>
      </c>
      <c r="I36" s="10">
        <v>254474.45</v>
      </c>
      <c r="J36" s="9">
        <f t="shared" si="1"/>
        <v>0.03680649526</v>
      </c>
    </row>
    <row r="37" ht="15.75" customHeight="1">
      <c r="A37" s="12">
        <v>46113.0</v>
      </c>
      <c r="B37" s="4" t="s">
        <v>227</v>
      </c>
      <c r="C37" s="8">
        <v>330027.0</v>
      </c>
      <c r="D37" s="8">
        <v>3008.0</v>
      </c>
      <c r="E37" s="10">
        <v>133.46</v>
      </c>
      <c r="F37" s="10">
        <v>401454.61</v>
      </c>
      <c r="G37" s="8">
        <v>310.0</v>
      </c>
      <c r="H37" s="10">
        <v>40526.32</v>
      </c>
      <c r="I37" s="10">
        <v>360928.29</v>
      </c>
      <c r="J37" s="9">
        <f t="shared" si="1"/>
        <v>0.1030585106</v>
      </c>
    </row>
    <row r="38" ht="15.75" customHeight="1">
      <c r="A38" s="12">
        <v>45778.0</v>
      </c>
      <c r="B38" s="4" t="s">
        <v>190</v>
      </c>
      <c r="C38" s="8">
        <v>160493.0</v>
      </c>
      <c r="D38" s="8">
        <v>2226.0</v>
      </c>
      <c r="E38" s="10">
        <v>90.39</v>
      </c>
      <c r="F38" s="10">
        <v>201210.2</v>
      </c>
      <c r="G38" s="8">
        <v>140.0</v>
      </c>
      <c r="H38" s="10">
        <v>11519.36</v>
      </c>
      <c r="I38" s="10">
        <v>189690.83</v>
      </c>
      <c r="J38" s="9">
        <f t="shared" si="1"/>
        <v>0.06289308176</v>
      </c>
    </row>
    <row r="39" ht="15.75" customHeight="1">
      <c r="A39" s="12">
        <v>45809.0</v>
      </c>
      <c r="B39" s="4" t="s">
        <v>190</v>
      </c>
      <c r="C39" s="8">
        <v>173034.0</v>
      </c>
      <c r="D39" s="8">
        <v>2688.0</v>
      </c>
      <c r="E39" s="10">
        <v>86.63</v>
      </c>
      <c r="F39" s="10">
        <v>232851.42</v>
      </c>
      <c r="G39" s="8">
        <v>249.0</v>
      </c>
      <c r="H39" s="10">
        <v>19427.81</v>
      </c>
      <c r="I39" s="10">
        <v>213423.61</v>
      </c>
      <c r="J39" s="9">
        <f t="shared" si="1"/>
        <v>0.09263392857</v>
      </c>
    </row>
    <row r="40" ht="15.75" customHeight="1">
      <c r="A40" s="12">
        <v>45839.0</v>
      </c>
      <c r="B40" s="4" t="s">
        <v>190</v>
      </c>
      <c r="C40" s="8">
        <v>73310.0</v>
      </c>
      <c r="D40" s="8">
        <v>874.0</v>
      </c>
      <c r="E40" s="10">
        <v>101.96</v>
      </c>
      <c r="F40" s="10">
        <v>89112.36</v>
      </c>
      <c r="G40" s="8">
        <v>100.0</v>
      </c>
      <c r="H40" s="10">
        <v>9148.2</v>
      </c>
      <c r="I40" s="10">
        <v>79964.16</v>
      </c>
      <c r="J40" s="9">
        <f t="shared" si="1"/>
        <v>0.114416476</v>
      </c>
    </row>
    <row r="41" ht="15.75" customHeight="1">
      <c r="A41" s="12">
        <v>45870.0</v>
      </c>
      <c r="B41" s="4" t="s">
        <v>190</v>
      </c>
      <c r="C41" s="8">
        <v>86128.0</v>
      </c>
      <c r="D41" s="8">
        <v>781.0</v>
      </c>
      <c r="E41" s="10">
        <v>72.67</v>
      </c>
      <c r="F41" s="10">
        <v>56757.67</v>
      </c>
      <c r="G41" s="8">
        <v>92.0</v>
      </c>
      <c r="H41" s="10">
        <v>5657.01</v>
      </c>
      <c r="I41" s="10">
        <v>51100.66</v>
      </c>
      <c r="J41" s="9">
        <f t="shared" si="1"/>
        <v>0.1177976953</v>
      </c>
    </row>
    <row r="42" ht="15.75" customHeight="1">
      <c r="A42" s="12">
        <v>45901.0</v>
      </c>
      <c r="B42" s="4" t="s">
        <v>190</v>
      </c>
      <c r="C42" s="8">
        <v>334913.0</v>
      </c>
      <c r="D42" s="8">
        <v>3086.0</v>
      </c>
      <c r="E42" s="10">
        <v>97.85</v>
      </c>
      <c r="F42" s="10">
        <v>301951.92</v>
      </c>
      <c r="G42" s="8">
        <v>319.0</v>
      </c>
      <c r="H42" s="10">
        <v>25856.43</v>
      </c>
      <c r="I42" s="10">
        <v>276095.49</v>
      </c>
      <c r="J42" s="9">
        <f t="shared" si="1"/>
        <v>0.1033700583</v>
      </c>
    </row>
    <row r="43" ht="15.75" customHeight="1">
      <c r="A43" s="12">
        <v>45931.0</v>
      </c>
      <c r="B43" s="4" t="s">
        <v>190</v>
      </c>
      <c r="C43" s="8">
        <v>168262.0</v>
      </c>
      <c r="D43" s="8">
        <v>3191.0</v>
      </c>
      <c r="E43" s="10">
        <v>127.54</v>
      </c>
      <c r="F43" s="10">
        <v>406980.67</v>
      </c>
      <c r="G43" s="8">
        <v>226.0</v>
      </c>
      <c r="H43" s="10">
        <v>23717.83</v>
      </c>
      <c r="I43" s="10">
        <v>383262.84</v>
      </c>
      <c r="J43" s="9">
        <f t="shared" si="1"/>
        <v>0.07082419304</v>
      </c>
    </row>
    <row r="44" ht="15.75" customHeight="1">
      <c r="A44" s="12">
        <v>45962.0</v>
      </c>
      <c r="B44" s="4" t="s">
        <v>190</v>
      </c>
      <c r="C44" s="8">
        <v>306571.0</v>
      </c>
      <c r="D44" s="8">
        <v>6660.0</v>
      </c>
      <c r="E44" s="10">
        <v>86.92</v>
      </c>
      <c r="F44" s="10">
        <v>578900.17</v>
      </c>
      <c r="G44" s="8">
        <v>552.0</v>
      </c>
      <c r="H44" s="10">
        <v>41267.55</v>
      </c>
      <c r="I44" s="10">
        <v>537632.62</v>
      </c>
      <c r="J44" s="9">
        <f t="shared" si="1"/>
        <v>0.08288288288</v>
      </c>
    </row>
    <row r="45" ht="15.75" customHeight="1">
      <c r="A45" s="12">
        <v>45992.0</v>
      </c>
      <c r="B45" s="4" t="s">
        <v>190</v>
      </c>
      <c r="C45" s="8">
        <v>89298.0</v>
      </c>
      <c r="D45" s="8">
        <v>553.0</v>
      </c>
      <c r="E45" s="10">
        <v>149.44</v>
      </c>
      <c r="F45" s="10">
        <v>82640.01</v>
      </c>
      <c r="G45" s="8">
        <v>35.0</v>
      </c>
      <c r="H45" s="10">
        <v>4204.02</v>
      </c>
      <c r="I45" s="10">
        <v>78435.99</v>
      </c>
      <c r="J45" s="9">
        <f t="shared" si="1"/>
        <v>0.06329113924</v>
      </c>
    </row>
    <row r="46" ht="15.75" customHeight="1">
      <c r="A46" s="12">
        <v>46023.0</v>
      </c>
      <c r="B46" s="4" t="s">
        <v>190</v>
      </c>
      <c r="C46" s="8">
        <v>245586.0</v>
      </c>
      <c r="D46" s="8">
        <v>3117.0</v>
      </c>
      <c r="E46" s="10">
        <v>62.75</v>
      </c>
      <c r="F46" s="10">
        <v>195599.43</v>
      </c>
      <c r="G46" s="8">
        <v>151.0</v>
      </c>
      <c r="H46" s="10">
        <v>7930.01</v>
      </c>
      <c r="I46" s="10">
        <v>187669.42</v>
      </c>
      <c r="J46" s="9">
        <f t="shared" si="1"/>
        <v>0.04844401668</v>
      </c>
    </row>
    <row r="47" ht="15.75" customHeight="1">
      <c r="A47" s="12">
        <v>46054.0</v>
      </c>
      <c r="B47" s="4" t="s">
        <v>190</v>
      </c>
      <c r="C47" s="8">
        <v>271012.0</v>
      </c>
      <c r="D47" s="8">
        <v>4241.0</v>
      </c>
      <c r="E47" s="10">
        <v>128.66</v>
      </c>
      <c r="F47" s="10">
        <v>545660.05</v>
      </c>
      <c r="G47" s="8">
        <v>139.0</v>
      </c>
      <c r="H47" s="10">
        <v>17036.44</v>
      </c>
      <c r="I47" s="10">
        <v>528623.61</v>
      </c>
      <c r="J47" s="9">
        <f t="shared" si="1"/>
        <v>0.03277528885</v>
      </c>
    </row>
    <row r="48" ht="15.75" customHeight="1">
      <c r="A48" s="12">
        <v>46082.0</v>
      </c>
      <c r="B48" s="4" t="s">
        <v>190</v>
      </c>
      <c r="C48" s="8">
        <v>58627.0</v>
      </c>
      <c r="D48" s="8">
        <v>1360.0</v>
      </c>
      <c r="E48" s="10">
        <v>138.73</v>
      </c>
      <c r="F48" s="10">
        <v>188671.65</v>
      </c>
      <c r="G48" s="8">
        <v>81.0</v>
      </c>
      <c r="H48" s="10">
        <v>10850.86</v>
      </c>
      <c r="I48" s="10">
        <v>177820.79</v>
      </c>
      <c r="J48" s="9">
        <f t="shared" si="1"/>
        <v>0.05955882353</v>
      </c>
    </row>
    <row r="49" ht="15.75" customHeight="1">
      <c r="A49" s="12">
        <v>46113.0</v>
      </c>
      <c r="B49" s="4" t="s">
        <v>190</v>
      </c>
      <c r="C49" s="8">
        <v>182642.0</v>
      </c>
      <c r="D49" s="8">
        <v>3872.0</v>
      </c>
      <c r="E49" s="10">
        <v>121.23</v>
      </c>
      <c r="F49" s="10">
        <v>469412.52</v>
      </c>
      <c r="G49" s="8">
        <v>380.0</v>
      </c>
      <c r="H49" s="10">
        <v>39996.05</v>
      </c>
      <c r="I49" s="10">
        <v>429416.47</v>
      </c>
      <c r="J49" s="9">
        <f t="shared" si="1"/>
        <v>0.09814049587</v>
      </c>
    </row>
    <row r="50" ht="15.75" customHeight="1">
      <c r="A50" s="12">
        <v>45778.0</v>
      </c>
      <c r="B50" s="4" t="s">
        <v>232</v>
      </c>
      <c r="C50" s="8">
        <v>370860.0</v>
      </c>
      <c r="D50" s="8">
        <v>5073.0</v>
      </c>
      <c r="E50" s="10">
        <v>103.75</v>
      </c>
      <c r="F50" s="10">
        <v>526312.4</v>
      </c>
      <c r="G50" s="8">
        <v>485.0</v>
      </c>
      <c r="H50" s="10">
        <v>47655.0</v>
      </c>
      <c r="I50" s="10">
        <v>478657.4</v>
      </c>
      <c r="J50" s="9">
        <f t="shared" si="1"/>
        <v>0.09560417899</v>
      </c>
    </row>
    <row r="51" ht="15.75" customHeight="1">
      <c r="A51" s="12">
        <v>45809.0</v>
      </c>
      <c r="B51" s="4" t="s">
        <v>232</v>
      </c>
      <c r="C51" s="8">
        <v>74946.0</v>
      </c>
      <c r="D51" s="8">
        <v>1584.0</v>
      </c>
      <c r="E51" s="10">
        <v>117.2</v>
      </c>
      <c r="F51" s="10">
        <v>185648.72</v>
      </c>
      <c r="G51" s="8">
        <v>183.0</v>
      </c>
      <c r="H51" s="10">
        <v>21158.39</v>
      </c>
      <c r="I51" s="10">
        <v>164490.33</v>
      </c>
      <c r="J51" s="9">
        <f t="shared" si="1"/>
        <v>0.115530303</v>
      </c>
    </row>
    <row r="52" ht="15.75" customHeight="1">
      <c r="A52" s="12">
        <v>45839.0</v>
      </c>
      <c r="B52" s="4" t="s">
        <v>232</v>
      </c>
      <c r="C52" s="8">
        <v>195690.0</v>
      </c>
      <c r="D52" s="8">
        <v>4338.0</v>
      </c>
      <c r="E52" s="10">
        <v>158.36</v>
      </c>
      <c r="F52" s="10">
        <v>686980.6</v>
      </c>
      <c r="G52" s="8">
        <v>311.0</v>
      </c>
      <c r="H52" s="10">
        <v>45041.08</v>
      </c>
      <c r="I52" s="10">
        <v>641939.53</v>
      </c>
      <c r="J52" s="9">
        <f t="shared" si="1"/>
        <v>0.07169202397</v>
      </c>
    </row>
    <row r="53" ht="15.75" customHeight="1">
      <c r="A53" s="12">
        <v>45870.0</v>
      </c>
      <c r="B53" s="4" t="s">
        <v>232</v>
      </c>
      <c r="C53" s="8">
        <v>342954.0</v>
      </c>
      <c r="D53" s="8">
        <v>6989.0</v>
      </c>
      <c r="E53" s="10">
        <v>85.83</v>
      </c>
      <c r="F53" s="10">
        <v>599871.29</v>
      </c>
      <c r="G53" s="8">
        <v>813.0</v>
      </c>
      <c r="H53" s="10">
        <v>62346.47</v>
      </c>
      <c r="I53" s="10">
        <v>537524.82</v>
      </c>
      <c r="J53" s="9">
        <f t="shared" si="1"/>
        <v>0.1163256546</v>
      </c>
    </row>
    <row r="54" ht="15.75" customHeight="1">
      <c r="A54" s="12">
        <v>45901.0</v>
      </c>
      <c r="B54" s="4" t="s">
        <v>232</v>
      </c>
      <c r="C54" s="8">
        <v>169899.0</v>
      </c>
      <c r="D54" s="8">
        <v>1297.0</v>
      </c>
      <c r="E54" s="10">
        <v>59.62</v>
      </c>
      <c r="F54" s="10">
        <v>77333.14</v>
      </c>
      <c r="G54" s="8">
        <v>132.0</v>
      </c>
      <c r="H54" s="10">
        <v>7793.27</v>
      </c>
      <c r="I54" s="10">
        <v>69539.87</v>
      </c>
      <c r="J54" s="9">
        <f t="shared" si="1"/>
        <v>0.1017733231</v>
      </c>
    </row>
    <row r="55" ht="15.75" customHeight="1">
      <c r="A55" s="12">
        <v>45931.0</v>
      </c>
      <c r="B55" s="4" t="s">
        <v>232</v>
      </c>
      <c r="C55" s="8">
        <v>89845.0</v>
      </c>
      <c r="D55" s="8">
        <v>2243.0</v>
      </c>
      <c r="E55" s="10">
        <v>140.53</v>
      </c>
      <c r="F55" s="10">
        <v>315216.18</v>
      </c>
      <c r="G55" s="8">
        <v>127.0</v>
      </c>
      <c r="H55" s="10">
        <v>16316.69</v>
      </c>
      <c r="I55" s="10">
        <v>298899.49</v>
      </c>
      <c r="J55" s="9">
        <f t="shared" si="1"/>
        <v>0.05662059741</v>
      </c>
    </row>
    <row r="56" ht="15.75" customHeight="1">
      <c r="A56" s="12">
        <v>45962.0</v>
      </c>
      <c r="B56" s="4" t="s">
        <v>232</v>
      </c>
      <c r="C56" s="8">
        <v>65240.0</v>
      </c>
      <c r="D56" s="8">
        <v>1129.0</v>
      </c>
      <c r="E56" s="10">
        <v>96.7</v>
      </c>
      <c r="F56" s="10">
        <v>109175.83</v>
      </c>
      <c r="G56" s="8">
        <v>100.0</v>
      </c>
      <c r="H56" s="10">
        <v>9249.34</v>
      </c>
      <c r="I56" s="10">
        <v>99926.48</v>
      </c>
      <c r="J56" s="9">
        <f t="shared" si="1"/>
        <v>0.08857395926</v>
      </c>
    </row>
    <row r="57" ht="15.75" customHeight="1">
      <c r="A57" s="12">
        <v>45992.0</v>
      </c>
      <c r="B57" s="4" t="s">
        <v>232</v>
      </c>
      <c r="C57" s="8">
        <v>363766.0</v>
      </c>
      <c r="D57" s="8">
        <v>1908.0</v>
      </c>
      <c r="E57" s="10">
        <v>90.84</v>
      </c>
      <c r="F57" s="10">
        <v>173318.49</v>
      </c>
      <c r="G57" s="8">
        <v>170.0</v>
      </c>
      <c r="H57" s="10">
        <v>14935.91</v>
      </c>
      <c r="I57" s="10">
        <v>158382.58</v>
      </c>
      <c r="J57" s="9">
        <f t="shared" si="1"/>
        <v>0.08909853249</v>
      </c>
    </row>
    <row r="58" ht="15.75" customHeight="1">
      <c r="A58" s="12">
        <v>46023.0</v>
      </c>
      <c r="B58" s="4" t="s">
        <v>232</v>
      </c>
      <c r="C58" s="8">
        <v>138734.0</v>
      </c>
      <c r="D58" s="8">
        <v>1925.0</v>
      </c>
      <c r="E58" s="10">
        <v>59.85</v>
      </c>
      <c r="F58" s="10">
        <v>115206.51</v>
      </c>
      <c r="G58" s="8">
        <v>59.0</v>
      </c>
      <c r="H58" s="10">
        <v>2850.94</v>
      </c>
      <c r="I58" s="10">
        <v>112355.57</v>
      </c>
      <c r="J58" s="9">
        <f t="shared" si="1"/>
        <v>0.03064935065</v>
      </c>
    </row>
    <row r="59" ht="15.75" customHeight="1">
      <c r="A59" s="12">
        <v>46054.0</v>
      </c>
      <c r="B59" s="4" t="s">
        <v>232</v>
      </c>
      <c r="C59" s="8">
        <v>233074.0</v>
      </c>
      <c r="D59" s="8">
        <v>3403.0</v>
      </c>
      <c r="E59" s="10">
        <v>148.34</v>
      </c>
      <c r="F59" s="10">
        <v>504810.58</v>
      </c>
      <c r="G59" s="8">
        <v>168.0</v>
      </c>
      <c r="H59" s="10">
        <v>20229.28</v>
      </c>
      <c r="I59" s="10">
        <v>484581.3</v>
      </c>
      <c r="J59" s="9">
        <f t="shared" si="1"/>
        <v>0.04936820453</v>
      </c>
    </row>
    <row r="60" ht="15.75" customHeight="1">
      <c r="A60" s="12">
        <v>46082.0</v>
      </c>
      <c r="B60" s="4" t="s">
        <v>232</v>
      </c>
      <c r="C60" s="8">
        <v>86705.0</v>
      </c>
      <c r="D60" s="8">
        <v>912.0</v>
      </c>
      <c r="E60" s="10">
        <v>123.31</v>
      </c>
      <c r="F60" s="10">
        <v>112454.3</v>
      </c>
      <c r="G60" s="8">
        <v>53.0</v>
      </c>
      <c r="H60" s="10">
        <v>5311.85</v>
      </c>
      <c r="I60" s="10">
        <v>107142.45</v>
      </c>
      <c r="J60" s="9">
        <f t="shared" si="1"/>
        <v>0.05811403509</v>
      </c>
    </row>
    <row r="61" ht="15.75" customHeight="1">
      <c r="A61" s="12">
        <v>46113.0</v>
      </c>
      <c r="B61" s="4" t="s">
        <v>232</v>
      </c>
      <c r="C61" s="8">
        <v>139269.0</v>
      </c>
      <c r="D61" s="8">
        <v>1414.0</v>
      </c>
      <c r="E61" s="10">
        <v>142.18</v>
      </c>
      <c r="F61" s="10">
        <v>201043.54</v>
      </c>
      <c r="G61" s="8">
        <v>75.0</v>
      </c>
      <c r="H61" s="10">
        <v>9586.38</v>
      </c>
      <c r="I61" s="10">
        <v>191457.16</v>
      </c>
      <c r="J61" s="9">
        <f t="shared" si="1"/>
        <v>0.05304101839</v>
      </c>
    </row>
    <row r="62" ht="15.75" customHeight="1">
      <c r="A62" s="12">
        <v>45778.0</v>
      </c>
      <c r="B62" s="4" t="s">
        <v>150</v>
      </c>
      <c r="C62" s="8">
        <v>164233.0</v>
      </c>
      <c r="D62" s="8">
        <v>2891.0</v>
      </c>
      <c r="E62" s="10">
        <v>73.72</v>
      </c>
      <c r="F62" s="10">
        <v>213120.16</v>
      </c>
      <c r="G62" s="8">
        <v>247.0</v>
      </c>
      <c r="H62" s="10">
        <v>14747.33</v>
      </c>
      <c r="I62" s="10">
        <v>198372.83</v>
      </c>
      <c r="J62" s="9">
        <f t="shared" si="1"/>
        <v>0.08543756486</v>
      </c>
    </row>
    <row r="63" ht="15.75" customHeight="1">
      <c r="A63" s="12">
        <v>45809.0</v>
      </c>
      <c r="B63" s="4" t="s">
        <v>150</v>
      </c>
      <c r="C63" s="8">
        <v>105002.0</v>
      </c>
      <c r="D63" s="8">
        <v>1899.0</v>
      </c>
      <c r="E63" s="10">
        <v>77.72</v>
      </c>
      <c r="F63" s="10">
        <v>147581.43</v>
      </c>
      <c r="G63" s="8">
        <v>143.0</v>
      </c>
      <c r="H63" s="10">
        <v>9869.29</v>
      </c>
      <c r="I63" s="10">
        <v>137712.14</v>
      </c>
      <c r="J63" s="9">
        <f t="shared" si="1"/>
        <v>0.07530279094</v>
      </c>
    </row>
    <row r="64" ht="15.75" customHeight="1">
      <c r="A64" s="12">
        <v>45839.0</v>
      </c>
      <c r="B64" s="4" t="s">
        <v>150</v>
      </c>
      <c r="C64" s="8">
        <v>211374.0</v>
      </c>
      <c r="D64" s="8">
        <v>1234.0</v>
      </c>
      <c r="E64" s="10">
        <v>134.76</v>
      </c>
      <c r="F64" s="10">
        <v>166290.48</v>
      </c>
      <c r="G64" s="8">
        <v>43.0</v>
      </c>
      <c r="H64" s="10">
        <v>5463.75</v>
      </c>
      <c r="I64" s="10">
        <v>160826.72</v>
      </c>
      <c r="J64" s="9">
        <f t="shared" si="1"/>
        <v>0.03484602917</v>
      </c>
    </row>
    <row r="65" ht="15.75" customHeight="1">
      <c r="A65" s="12">
        <v>45870.0</v>
      </c>
      <c r="B65" s="4" t="s">
        <v>150</v>
      </c>
      <c r="C65" s="8">
        <v>180819.0</v>
      </c>
      <c r="D65" s="8">
        <v>4431.0</v>
      </c>
      <c r="E65" s="10">
        <v>59.72</v>
      </c>
      <c r="F65" s="10">
        <v>264639.9</v>
      </c>
      <c r="G65" s="8">
        <v>469.0</v>
      </c>
      <c r="H65" s="10">
        <v>27167.21</v>
      </c>
      <c r="I65" s="10">
        <v>237472.69</v>
      </c>
      <c r="J65" s="9">
        <f t="shared" si="1"/>
        <v>0.1058451817</v>
      </c>
    </row>
    <row r="66" ht="15.75" customHeight="1">
      <c r="A66" s="12">
        <v>45901.0</v>
      </c>
      <c r="B66" s="4" t="s">
        <v>150</v>
      </c>
      <c r="C66" s="8">
        <v>328346.0</v>
      </c>
      <c r="D66" s="8">
        <v>6358.0</v>
      </c>
      <c r="E66" s="10">
        <v>122.26</v>
      </c>
      <c r="F66" s="10">
        <v>777341.39</v>
      </c>
      <c r="G66" s="8">
        <v>390.0</v>
      </c>
      <c r="H66" s="10">
        <v>38884.6</v>
      </c>
      <c r="I66" s="10">
        <v>738456.79</v>
      </c>
      <c r="J66" s="9">
        <f t="shared" si="1"/>
        <v>0.06134004404</v>
      </c>
    </row>
    <row r="67" ht="15.75" customHeight="1">
      <c r="A67" s="12">
        <v>45931.0</v>
      </c>
      <c r="B67" s="4" t="s">
        <v>150</v>
      </c>
      <c r="C67" s="8">
        <v>277685.0</v>
      </c>
      <c r="D67" s="8">
        <v>2017.0</v>
      </c>
      <c r="E67" s="10">
        <v>66.29</v>
      </c>
      <c r="F67" s="10">
        <v>133701.23</v>
      </c>
      <c r="G67" s="8">
        <v>97.0</v>
      </c>
      <c r="H67" s="10">
        <v>5877.36</v>
      </c>
      <c r="I67" s="10">
        <v>127823.87</v>
      </c>
      <c r="J67" s="9">
        <f t="shared" si="1"/>
        <v>0.04809122459</v>
      </c>
    </row>
    <row r="68" ht="15.75" customHeight="1">
      <c r="A68" s="12">
        <v>45962.0</v>
      </c>
      <c r="B68" s="4" t="s">
        <v>150</v>
      </c>
      <c r="C68" s="8">
        <v>263087.0</v>
      </c>
      <c r="D68" s="8">
        <v>1691.0</v>
      </c>
      <c r="E68" s="10">
        <v>103.63</v>
      </c>
      <c r="F68" s="10">
        <v>175243.17</v>
      </c>
      <c r="G68" s="8">
        <v>93.0</v>
      </c>
      <c r="H68" s="10">
        <v>7757.89</v>
      </c>
      <c r="I68" s="10">
        <v>167485.28</v>
      </c>
      <c r="J68" s="9">
        <f t="shared" si="1"/>
        <v>0.05499704317</v>
      </c>
    </row>
    <row r="69" ht="15.75" customHeight="1">
      <c r="A69" s="12">
        <v>45992.0</v>
      </c>
      <c r="B69" s="4" t="s">
        <v>150</v>
      </c>
      <c r="C69" s="8">
        <v>363225.0</v>
      </c>
      <c r="D69" s="8">
        <v>7541.0</v>
      </c>
      <c r="E69" s="10">
        <v>93.84</v>
      </c>
      <c r="F69" s="10">
        <v>707673.68</v>
      </c>
      <c r="G69" s="8">
        <v>503.0</v>
      </c>
      <c r="H69" s="10">
        <v>43917.72</v>
      </c>
      <c r="I69" s="10">
        <v>663755.96</v>
      </c>
      <c r="J69" s="9">
        <f t="shared" si="1"/>
        <v>0.06670202891</v>
      </c>
    </row>
    <row r="70" ht="15.75" customHeight="1">
      <c r="A70" s="12">
        <v>46023.0</v>
      </c>
      <c r="B70" s="4" t="s">
        <v>150</v>
      </c>
      <c r="C70" s="8">
        <v>291774.0</v>
      </c>
      <c r="D70" s="8">
        <v>6958.0</v>
      </c>
      <c r="E70" s="10">
        <v>89.46</v>
      </c>
      <c r="F70" s="10">
        <v>622495.69</v>
      </c>
      <c r="G70" s="8">
        <v>228.0</v>
      </c>
      <c r="H70" s="10">
        <v>17820.89</v>
      </c>
      <c r="I70" s="10">
        <v>604674.8</v>
      </c>
      <c r="J70" s="9">
        <f t="shared" si="1"/>
        <v>0.03276803679</v>
      </c>
    </row>
    <row r="71" ht="15.75" customHeight="1">
      <c r="A71" s="12">
        <v>46054.0</v>
      </c>
      <c r="B71" s="4" t="s">
        <v>150</v>
      </c>
      <c r="C71" s="8">
        <v>197501.0</v>
      </c>
      <c r="D71" s="8">
        <v>4662.0</v>
      </c>
      <c r="E71" s="10">
        <v>155.57</v>
      </c>
      <c r="F71" s="10">
        <v>725269.09</v>
      </c>
      <c r="G71" s="8">
        <v>150.0</v>
      </c>
      <c r="H71" s="10">
        <v>21510.89</v>
      </c>
      <c r="I71" s="10">
        <v>703758.19</v>
      </c>
      <c r="J71" s="9">
        <f t="shared" si="1"/>
        <v>0.03217503218</v>
      </c>
    </row>
    <row r="72" ht="15.75" customHeight="1">
      <c r="A72" s="12">
        <v>46082.0</v>
      </c>
      <c r="B72" s="4" t="s">
        <v>150</v>
      </c>
      <c r="C72" s="8">
        <v>209157.0</v>
      </c>
      <c r="D72" s="8">
        <v>3182.0</v>
      </c>
      <c r="E72" s="10">
        <v>141.55</v>
      </c>
      <c r="F72" s="10">
        <v>450423.21</v>
      </c>
      <c r="G72" s="8">
        <v>240.0</v>
      </c>
      <c r="H72" s="10">
        <v>31129.22</v>
      </c>
      <c r="I72" s="10">
        <v>419293.99</v>
      </c>
      <c r="J72" s="9">
        <f t="shared" si="1"/>
        <v>0.07542426147</v>
      </c>
    </row>
    <row r="73" ht="15.75" customHeight="1">
      <c r="A73" s="12">
        <v>46113.0</v>
      </c>
      <c r="B73" s="4" t="s">
        <v>150</v>
      </c>
      <c r="C73" s="8">
        <v>225382.0</v>
      </c>
      <c r="D73" s="8">
        <v>5363.0</v>
      </c>
      <c r="E73" s="10">
        <v>98.54</v>
      </c>
      <c r="F73" s="10">
        <v>528447.75</v>
      </c>
      <c r="G73" s="8">
        <v>442.0</v>
      </c>
      <c r="H73" s="10">
        <v>40565.64</v>
      </c>
      <c r="I73" s="10">
        <v>487882.11</v>
      </c>
      <c r="J73" s="9">
        <f t="shared" si="1"/>
        <v>0.0824165579</v>
      </c>
    </row>
    <row r="74" ht="15.75" customHeight="1">
      <c r="A74" s="12">
        <v>45778.0</v>
      </c>
      <c r="B74" s="4" t="s">
        <v>112</v>
      </c>
      <c r="C74" s="8">
        <v>123682.0</v>
      </c>
      <c r="D74" s="8">
        <v>1561.0</v>
      </c>
      <c r="E74" s="10">
        <v>164.77</v>
      </c>
      <c r="F74" s="10">
        <v>257201.02</v>
      </c>
      <c r="G74" s="8">
        <v>57.0</v>
      </c>
      <c r="H74" s="10">
        <v>7658.58</v>
      </c>
      <c r="I74" s="10">
        <v>249542.44</v>
      </c>
      <c r="J74" s="9">
        <f t="shared" si="1"/>
        <v>0.03651505445</v>
      </c>
    </row>
    <row r="75" ht="15.75" customHeight="1">
      <c r="A75" s="12">
        <v>45809.0</v>
      </c>
      <c r="B75" s="4" t="s">
        <v>112</v>
      </c>
      <c r="C75" s="8">
        <v>162745.0</v>
      </c>
      <c r="D75" s="8">
        <v>2654.0</v>
      </c>
      <c r="E75" s="10">
        <v>164.77</v>
      </c>
      <c r="F75" s="10">
        <v>437288.93</v>
      </c>
      <c r="G75" s="8">
        <v>230.0</v>
      </c>
      <c r="H75" s="10">
        <v>35879.73</v>
      </c>
      <c r="I75" s="10">
        <v>401409.2</v>
      </c>
      <c r="J75" s="9">
        <f t="shared" si="1"/>
        <v>0.0866616428</v>
      </c>
    </row>
    <row r="76" ht="15.75" customHeight="1">
      <c r="A76" s="12">
        <v>45839.0</v>
      </c>
      <c r="B76" s="4" t="s">
        <v>112</v>
      </c>
      <c r="C76" s="8">
        <v>327574.0</v>
      </c>
      <c r="D76" s="8">
        <v>6440.0</v>
      </c>
      <c r="E76" s="10">
        <v>148.69</v>
      </c>
      <c r="F76" s="10">
        <v>957580.82</v>
      </c>
      <c r="G76" s="8">
        <v>499.0</v>
      </c>
      <c r="H76" s="10">
        <v>60121.33</v>
      </c>
      <c r="I76" s="10">
        <v>897459.48</v>
      </c>
      <c r="J76" s="9">
        <f t="shared" si="1"/>
        <v>0.07748447205</v>
      </c>
    </row>
    <row r="77" ht="15.75" customHeight="1">
      <c r="A77" s="12">
        <v>45870.0</v>
      </c>
      <c r="B77" s="4" t="s">
        <v>112</v>
      </c>
      <c r="C77" s="8">
        <v>292636.0</v>
      </c>
      <c r="D77" s="8">
        <v>5321.0</v>
      </c>
      <c r="E77" s="10">
        <v>113.68</v>
      </c>
      <c r="F77" s="10">
        <v>604869.74</v>
      </c>
      <c r="G77" s="8">
        <v>311.0</v>
      </c>
      <c r="H77" s="10">
        <v>29661.52</v>
      </c>
      <c r="I77" s="10">
        <v>575208.22</v>
      </c>
      <c r="J77" s="9">
        <f t="shared" si="1"/>
        <v>0.05844766021</v>
      </c>
    </row>
    <row r="78" ht="15.75" customHeight="1">
      <c r="A78" s="12">
        <v>45901.0</v>
      </c>
      <c r="B78" s="4" t="s">
        <v>112</v>
      </c>
      <c r="C78" s="8">
        <v>346593.0</v>
      </c>
      <c r="D78" s="8">
        <v>3764.0</v>
      </c>
      <c r="E78" s="10">
        <v>84.11</v>
      </c>
      <c r="F78" s="10">
        <v>316594.19</v>
      </c>
      <c r="G78" s="8">
        <v>195.0</v>
      </c>
      <c r="H78" s="10">
        <v>15639.46</v>
      </c>
      <c r="I78" s="10">
        <v>300954.73</v>
      </c>
      <c r="J78" s="9">
        <f t="shared" si="1"/>
        <v>0.05180658874</v>
      </c>
    </row>
    <row r="79" ht="15.75" customHeight="1">
      <c r="A79" s="12">
        <v>45931.0</v>
      </c>
      <c r="B79" s="4" t="s">
        <v>112</v>
      </c>
      <c r="C79" s="8">
        <v>234773.0</v>
      </c>
      <c r="D79" s="8">
        <v>2258.0</v>
      </c>
      <c r="E79" s="10">
        <v>91.69</v>
      </c>
      <c r="F79" s="10">
        <v>207025.53</v>
      </c>
      <c r="G79" s="8">
        <v>265.0</v>
      </c>
      <c r="H79" s="10">
        <v>22805.16</v>
      </c>
      <c r="I79" s="10">
        <v>184220.36</v>
      </c>
      <c r="J79" s="9">
        <f t="shared" si="1"/>
        <v>0.117360496</v>
      </c>
    </row>
    <row r="80" ht="15.75" customHeight="1">
      <c r="A80" s="12">
        <v>45962.0</v>
      </c>
      <c r="B80" s="4" t="s">
        <v>112</v>
      </c>
      <c r="C80" s="8">
        <v>278312.0</v>
      </c>
      <c r="D80" s="8">
        <v>5470.0</v>
      </c>
      <c r="E80" s="10">
        <v>152.18</v>
      </c>
      <c r="F80" s="10">
        <v>832447.93</v>
      </c>
      <c r="G80" s="8">
        <v>342.0</v>
      </c>
      <c r="H80" s="10">
        <v>45301.56</v>
      </c>
      <c r="I80" s="10">
        <v>787146.37</v>
      </c>
      <c r="J80" s="9">
        <f t="shared" si="1"/>
        <v>0.06252285192</v>
      </c>
    </row>
    <row r="81" ht="15.75" customHeight="1">
      <c r="A81" s="12">
        <v>45992.0</v>
      </c>
      <c r="B81" s="4" t="s">
        <v>112</v>
      </c>
      <c r="C81" s="8">
        <v>310102.0</v>
      </c>
      <c r="D81" s="8">
        <v>2024.0</v>
      </c>
      <c r="E81" s="10">
        <v>96.77</v>
      </c>
      <c r="F81" s="10">
        <v>195853.94</v>
      </c>
      <c r="G81" s="8">
        <v>148.0</v>
      </c>
      <c r="H81" s="10">
        <v>12116.85</v>
      </c>
      <c r="I81" s="10">
        <v>183737.08</v>
      </c>
      <c r="J81" s="9">
        <f t="shared" si="1"/>
        <v>0.07312252964</v>
      </c>
    </row>
    <row r="82" ht="15.75" customHeight="1">
      <c r="A82" s="12">
        <v>46023.0</v>
      </c>
      <c r="B82" s="4" t="s">
        <v>112</v>
      </c>
      <c r="C82" s="8">
        <v>264598.0</v>
      </c>
      <c r="D82" s="8">
        <v>2538.0</v>
      </c>
      <c r="E82" s="10">
        <v>146.58</v>
      </c>
      <c r="F82" s="10">
        <v>372012.07</v>
      </c>
      <c r="G82" s="8">
        <v>301.0</v>
      </c>
      <c r="H82" s="10">
        <v>43464.17</v>
      </c>
      <c r="I82" s="10">
        <v>328547.9</v>
      </c>
      <c r="J82" s="9">
        <f t="shared" si="1"/>
        <v>0.1185973207</v>
      </c>
    </row>
    <row r="83" ht="15.75" customHeight="1">
      <c r="A83" s="12">
        <v>46054.0</v>
      </c>
      <c r="B83" s="4" t="s">
        <v>112</v>
      </c>
      <c r="C83" s="8">
        <v>173421.0</v>
      </c>
      <c r="D83" s="8">
        <v>3560.0</v>
      </c>
      <c r="E83" s="10">
        <v>101.62</v>
      </c>
      <c r="F83" s="10">
        <v>361749.64</v>
      </c>
      <c r="G83" s="8">
        <v>294.0</v>
      </c>
      <c r="H83" s="10">
        <v>24725.25</v>
      </c>
      <c r="I83" s="10">
        <v>337024.39</v>
      </c>
      <c r="J83" s="9">
        <f t="shared" si="1"/>
        <v>0.08258426966</v>
      </c>
    </row>
    <row r="84" ht="15.75" customHeight="1">
      <c r="A84" s="12">
        <v>46082.0</v>
      </c>
      <c r="B84" s="4" t="s">
        <v>112</v>
      </c>
      <c r="C84" s="8">
        <v>181461.0</v>
      </c>
      <c r="D84" s="8">
        <v>3795.0</v>
      </c>
      <c r="E84" s="10">
        <v>94.55</v>
      </c>
      <c r="F84" s="10">
        <v>358810.35</v>
      </c>
      <c r="G84" s="8">
        <v>154.0</v>
      </c>
      <c r="H84" s="10">
        <v>12837.93</v>
      </c>
      <c r="I84" s="10">
        <v>345972.42</v>
      </c>
      <c r="J84" s="9">
        <f t="shared" si="1"/>
        <v>0.04057971014</v>
      </c>
    </row>
    <row r="85" ht="15.75" customHeight="1">
      <c r="A85" s="12">
        <v>46113.0</v>
      </c>
      <c r="B85" s="4" t="s">
        <v>112</v>
      </c>
      <c r="C85" s="8">
        <v>309779.0</v>
      </c>
      <c r="D85" s="8">
        <v>7640.0</v>
      </c>
      <c r="E85" s="10">
        <v>119.63</v>
      </c>
      <c r="F85" s="10">
        <v>913998.09</v>
      </c>
      <c r="G85" s="8">
        <v>664.0</v>
      </c>
      <c r="H85" s="10">
        <v>75824.43</v>
      </c>
      <c r="I85" s="10">
        <v>838173.66</v>
      </c>
      <c r="J85" s="9">
        <f t="shared" si="1"/>
        <v>0.08691099476</v>
      </c>
    </row>
    <row r="86" ht="15.75" customHeight="1">
      <c r="A86" s="12">
        <v>45778.0</v>
      </c>
      <c r="B86" s="4" t="s">
        <v>126</v>
      </c>
      <c r="C86" s="8">
        <v>139327.0</v>
      </c>
      <c r="D86" s="8">
        <v>3138.0</v>
      </c>
      <c r="E86" s="10">
        <v>59.66</v>
      </c>
      <c r="F86" s="10">
        <v>187212.49</v>
      </c>
      <c r="G86" s="8">
        <v>128.0</v>
      </c>
      <c r="H86" s="10">
        <v>6511.42</v>
      </c>
      <c r="I86" s="10">
        <v>180701.07</v>
      </c>
      <c r="J86" s="9">
        <f t="shared" si="1"/>
        <v>0.0407903123</v>
      </c>
    </row>
    <row r="87" ht="15.75" customHeight="1">
      <c r="A87" s="12">
        <v>45809.0</v>
      </c>
      <c r="B87" s="4" t="s">
        <v>126</v>
      </c>
      <c r="C87" s="8">
        <v>335758.0</v>
      </c>
      <c r="D87" s="8">
        <v>6455.0</v>
      </c>
      <c r="E87" s="10">
        <v>108.28</v>
      </c>
      <c r="F87" s="10">
        <v>698915.44</v>
      </c>
      <c r="G87" s="8">
        <v>252.0</v>
      </c>
      <c r="H87" s="10">
        <v>26572.94</v>
      </c>
      <c r="I87" s="10">
        <v>672342.5</v>
      </c>
      <c r="J87" s="9">
        <f t="shared" si="1"/>
        <v>0.03903950426</v>
      </c>
    </row>
    <row r="88" ht="15.75" customHeight="1">
      <c r="A88" s="12">
        <v>45839.0</v>
      </c>
      <c r="B88" s="4" t="s">
        <v>126</v>
      </c>
      <c r="C88" s="8">
        <v>271188.0</v>
      </c>
      <c r="D88" s="8">
        <v>1485.0</v>
      </c>
      <c r="E88" s="10">
        <v>75.86</v>
      </c>
      <c r="F88" s="10">
        <v>112655.24</v>
      </c>
      <c r="G88" s="8">
        <v>54.0</v>
      </c>
      <c r="H88" s="10">
        <v>3699.1</v>
      </c>
      <c r="I88" s="10">
        <v>108956.13</v>
      </c>
      <c r="J88" s="9">
        <f t="shared" si="1"/>
        <v>0.03636363636</v>
      </c>
    </row>
    <row r="89" ht="15.75" customHeight="1">
      <c r="A89" s="12">
        <v>45870.0</v>
      </c>
      <c r="B89" s="4" t="s">
        <v>126</v>
      </c>
      <c r="C89" s="8">
        <v>322510.0</v>
      </c>
      <c r="D89" s="8">
        <v>7537.0</v>
      </c>
      <c r="E89" s="10">
        <v>154.76</v>
      </c>
      <c r="F89" s="10">
        <v>1166394.93</v>
      </c>
      <c r="G89" s="8">
        <v>466.0</v>
      </c>
      <c r="H89" s="10">
        <v>63495.71</v>
      </c>
      <c r="I89" s="10">
        <v>1102899.22</v>
      </c>
      <c r="J89" s="9">
        <f t="shared" si="1"/>
        <v>0.06182831365</v>
      </c>
    </row>
    <row r="90" ht="15.75" customHeight="1">
      <c r="A90" s="12">
        <v>45901.0</v>
      </c>
      <c r="B90" s="4" t="s">
        <v>126</v>
      </c>
      <c r="C90" s="8">
        <v>336997.0</v>
      </c>
      <c r="D90" s="8">
        <v>3312.0</v>
      </c>
      <c r="E90" s="10">
        <v>89.39</v>
      </c>
      <c r="F90" s="10">
        <v>296069.39</v>
      </c>
      <c r="G90" s="8">
        <v>199.0</v>
      </c>
      <c r="H90" s="10">
        <v>17165.56</v>
      </c>
      <c r="I90" s="10">
        <v>278903.83</v>
      </c>
      <c r="J90" s="9">
        <f t="shared" si="1"/>
        <v>0.06008454106</v>
      </c>
    </row>
    <row r="91" ht="15.75" customHeight="1">
      <c r="A91" s="12">
        <v>45931.0</v>
      </c>
      <c r="B91" s="4" t="s">
        <v>126</v>
      </c>
      <c r="C91" s="8">
        <v>221496.0</v>
      </c>
      <c r="D91" s="8">
        <v>3727.0</v>
      </c>
      <c r="E91" s="10">
        <v>123.98</v>
      </c>
      <c r="F91" s="10">
        <v>462071.1</v>
      </c>
      <c r="G91" s="8">
        <v>445.0</v>
      </c>
      <c r="H91" s="10">
        <v>44635.81</v>
      </c>
      <c r="I91" s="10">
        <v>417435.28</v>
      </c>
      <c r="J91" s="9">
        <f t="shared" si="1"/>
        <v>0.1193989804</v>
      </c>
    </row>
    <row r="92" ht="15.75" customHeight="1">
      <c r="A92" s="12">
        <v>45962.0</v>
      </c>
      <c r="B92" s="4" t="s">
        <v>126</v>
      </c>
      <c r="C92" s="8">
        <v>231100.0</v>
      </c>
      <c r="D92" s="8">
        <v>5546.0</v>
      </c>
      <c r="E92" s="10">
        <v>155.44</v>
      </c>
      <c r="F92" s="10">
        <v>862082.12</v>
      </c>
      <c r="G92" s="8">
        <v>481.0</v>
      </c>
      <c r="H92" s="10">
        <v>70890.18</v>
      </c>
      <c r="I92" s="10">
        <v>791191.94</v>
      </c>
      <c r="J92" s="9">
        <f t="shared" si="1"/>
        <v>0.08672917418</v>
      </c>
    </row>
    <row r="93" ht="15.75" customHeight="1">
      <c r="A93" s="12">
        <v>45992.0</v>
      </c>
      <c r="B93" s="4" t="s">
        <v>126</v>
      </c>
      <c r="C93" s="8">
        <v>273427.0</v>
      </c>
      <c r="D93" s="8">
        <v>2949.0</v>
      </c>
      <c r="E93" s="10">
        <v>109.05</v>
      </c>
      <c r="F93" s="10">
        <v>321589.47</v>
      </c>
      <c r="G93" s="8">
        <v>124.0</v>
      </c>
      <c r="H93" s="10">
        <v>11313.93</v>
      </c>
      <c r="I93" s="10">
        <v>310275.55</v>
      </c>
      <c r="J93" s="9">
        <f t="shared" si="1"/>
        <v>0.04204815192</v>
      </c>
    </row>
    <row r="94" ht="15.75" customHeight="1">
      <c r="A94" s="12">
        <v>46023.0</v>
      </c>
      <c r="B94" s="4" t="s">
        <v>126</v>
      </c>
      <c r="C94" s="8">
        <v>354098.0</v>
      </c>
      <c r="D94" s="8">
        <v>8259.0</v>
      </c>
      <c r="E94" s="10">
        <v>158.22</v>
      </c>
      <c r="F94" s="10">
        <v>1306726.55</v>
      </c>
      <c r="G94" s="8">
        <v>310.0</v>
      </c>
      <c r="H94" s="10">
        <v>48023.61</v>
      </c>
      <c r="I94" s="10">
        <v>1258702.94</v>
      </c>
      <c r="J94" s="9">
        <f t="shared" si="1"/>
        <v>0.03753481051</v>
      </c>
    </row>
    <row r="95" ht="15.75" customHeight="1">
      <c r="A95" s="12">
        <v>46054.0</v>
      </c>
      <c r="B95" s="4" t="s">
        <v>126</v>
      </c>
      <c r="C95" s="8">
        <v>356192.0</v>
      </c>
      <c r="D95" s="8">
        <v>6005.0</v>
      </c>
      <c r="E95" s="10">
        <v>130.11</v>
      </c>
      <c r="F95" s="10">
        <v>781298.89</v>
      </c>
      <c r="G95" s="8">
        <v>425.0</v>
      </c>
      <c r="H95" s="10">
        <v>47780.51</v>
      </c>
      <c r="I95" s="10">
        <v>733518.38</v>
      </c>
      <c r="J95" s="9">
        <f t="shared" si="1"/>
        <v>0.0707743547</v>
      </c>
    </row>
    <row r="96" ht="15.75" customHeight="1">
      <c r="A96" s="12">
        <v>46082.0</v>
      </c>
      <c r="B96" s="4" t="s">
        <v>126</v>
      </c>
      <c r="C96" s="8">
        <v>137653.0</v>
      </c>
      <c r="D96" s="8">
        <v>2088.0</v>
      </c>
      <c r="E96" s="10">
        <v>120.92</v>
      </c>
      <c r="F96" s="10">
        <v>252490.68</v>
      </c>
      <c r="G96" s="8">
        <v>240.0</v>
      </c>
      <c r="H96" s="10">
        <v>23779.97</v>
      </c>
      <c r="I96" s="10">
        <v>228710.71</v>
      </c>
      <c r="J96" s="9">
        <f t="shared" si="1"/>
        <v>0.1149425287</v>
      </c>
    </row>
    <row r="97" ht="15.75" customHeight="1">
      <c r="A97" s="12">
        <v>46113.0</v>
      </c>
      <c r="B97" s="4" t="s">
        <v>126</v>
      </c>
      <c r="C97" s="8">
        <v>200896.0</v>
      </c>
      <c r="D97" s="8">
        <v>2986.0</v>
      </c>
      <c r="E97" s="10">
        <v>63.17</v>
      </c>
      <c r="F97" s="10">
        <v>188616.1</v>
      </c>
      <c r="G97" s="8">
        <v>228.0</v>
      </c>
      <c r="H97" s="10">
        <v>13034.4</v>
      </c>
      <c r="I97" s="10">
        <v>175581.7</v>
      </c>
      <c r="J97" s="9">
        <f t="shared" si="1"/>
        <v>0.07635632954</v>
      </c>
    </row>
    <row r="98" ht="15.75" customHeight="1">
      <c r="A98" s="12">
        <v>45778.0</v>
      </c>
      <c r="B98" s="4" t="s">
        <v>107</v>
      </c>
      <c r="C98" s="8">
        <v>311457.0</v>
      </c>
      <c r="D98" s="8">
        <v>6815.0</v>
      </c>
      <c r="E98" s="10">
        <v>103.66</v>
      </c>
      <c r="F98" s="10">
        <v>706414.14</v>
      </c>
      <c r="G98" s="8">
        <v>402.0</v>
      </c>
      <c r="H98" s="10">
        <v>35990.71</v>
      </c>
      <c r="I98" s="10">
        <v>670423.43</v>
      </c>
      <c r="J98" s="9">
        <f t="shared" si="1"/>
        <v>0.05898752751</v>
      </c>
    </row>
    <row r="99" ht="15.75" customHeight="1">
      <c r="A99" s="12">
        <v>45809.0</v>
      </c>
      <c r="B99" s="4" t="s">
        <v>107</v>
      </c>
      <c r="C99" s="8">
        <v>138541.0</v>
      </c>
      <c r="D99" s="8">
        <v>3334.0</v>
      </c>
      <c r="E99" s="10">
        <v>62.49</v>
      </c>
      <c r="F99" s="10">
        <v>208331.6</v>
      </c>
      <c r="G99" s="8">
        <v>383.0</v>
      </c>
      <c r="H99" s="10">
        <v>23369.55</v>
      </c>
      <c r="I99" s="10">
        <v>184962.06</v>
      </c>
      <c r="J99" s="9">
        <f t="shared" si="1"/>
        <v>0.1148770246</v>
      </c>
    </row>
    <row r="100" ht="15.75" customHeight="1">
      <c r="A100" s="12">
        <v>45839.0</v>
      </c>
      <c r="B100" s="4" t="s">
        <v>107</v>
      </c>
      <c r="C100" s="8">
        <v>155457.0</v>
      </c>
      <c r="D100" s="8">
        <v>2115.0</v>
      </c>
      <c r="E100" s="10">
        <v>87.77</v>
      </c>
      <c r="F100" s="10">
        <v>185640.78</v>
      </c>
      <c r="G100" s="8">
        <v>230.0</v>
      </c>
      <c r="H100" s="10">
        <v>17419.59</v>
      </c>
      <c r="I100" s="10">
        <v>168221.18</v>
      </c>
      <c r="J100" s="9">
        <f t="shared" si="1"/>
        <v>0.1087470449</v>
      </c>
    </row>
    <row r="101" ht="15.75" customHeight="1">
      <c r="A101" s="12">
        <v>45870.0</v>
      </c>
      <c r="B101" s="4" t="s">
        <v>107</v>
      </c>
      <c r="C101" s="8">
        <v>227109.0</v>
      </c>
      <c r="D101" s="8">
        <v>2429.0</v>
      </c>
      <c r="E101" s="10">
        <v>70.68</v>
      </c>
      <c r="F101" s="10">
        <v>171693.78</v>
      </c>
      <c r="G101" s="8">
        <v>132.0</v>
      </c>
      <c r="H101" s="10">
        <v>8283.39</v>
      </c>
      <c r="I101" s="10">
        <v>163410.39</v>
      </c>
      <c r="J101" s="9">
        <f t="shared" si="1"/>
        <v>0.05434335117</v>
      </c>
    </row>
    <row r="102" ht="15.75" customHeight="1">
      <c r="A102" s="12">
        <v>45901.0</v>
      </c>
      <c r="B102" s="4" t="s">
        <v>107</v>
      </c>
      <c r="C102" s="8">
        <v>133772.0</v>
      </c>
      <c r="D102" s="8">
        <v>1440.0</v>
      </c>
      <c r="E102" s="10">
        <v>156.19</v>
      </c>
      <c r="F102" s="10">
        <v>224918.15</v>
      </c>
      <c r="G102" s="8">
        <v>171.0</v>
      </c>
      <c r="H102" s="10">
        <v>25392.11</v>
      </c>
      <c r="I102" s="10">
        <v>199526.04</v>
      </c>
      <c r="J102" s="9">
        <f t="shared" si="1"/>
        <v>0.11875</v>
      </c>
    </row>
    <row r="103" ht="15.75" customHeight="1">
      <c r="A103" s="12">
        <v>45931.0</v>
      </c>
      <c r="B103" s="4" t="s">
        <v>107</v>
      </c>
      <c r="C103" s="8">
        <v>166464.0</v>
      </c>
      <c r="D103" s="8">
        <v>3051.0</v>
      </c>
      <c r="E103" s="10">
        <v>73.09</v>
      </c>
      <c r="F103" s="10">
        <v>222989.46</v>
      </c>
      <c r="G103" s="8">
        <v>148.0</v>
      </c>
      <c r="H103" s="10">
        <v>10468.17</v>
      </c>
      <c r="I103" s="10">
        <v>212521.29</v>
      </c>
      <c r="J103" s="9">
        <f t="shared" si="1"/>
        <v>0.04850868568</v>
      </c>
    </row>
    <row r="104" ht="15.75" customHeight="1">
      <c r="A104" s="12">
        <v>45962.0</v>
      </c>
      <c r="B104" s="4" t="s">
        <v>107</v>
      </c>
      <c r="C104" s="8">
        <v>133527.0</v>
      </c>
      <c r="D104" s="8">
        <v>740.0</v>
      </c>
      <c r="E104" s="10">
        <v>154.57</v>
      </c>
      <c r="F104" s="10">
        <v>114383.22</v>
      </c>
      <c r="G104" s="8">
        <v>86.0</v>
      </c>
      <c r="H104" s="10">
        <v>12069.76</v>
      </c>
      <c r="I104" s="10">
        <v>102313.46</v>
      </c>
      <c r="J104" s="9">
        <f t="shared" si="1"/>
        <v>0.1162162162</v>
      </c>
    </row>
    <row r="105" ht="15.75" customHeight="1">
      <c r="A105" s="12">
        <v>45992.0</v>
      </c>
      <c r="B105" s="4" t="s">
        <v>107</v>
      </c>
      <c r="C105" s="8">
        <v>147305.0</v>
      </c>
      <c r="D105" s="8">
        <v>756.0</v>
      </c>
      <c r="E105" s="10">
        <v>147.08</v>
      </c>
      <c r="F105" s="10">
        <v>111190.95</v>
      </c>
      <c r="G105" s="8">
        <v>24.0</v>
      </c>
      <c r="H105" s="10">
        <v>2967.31</v>
      </c>
      <c r="I105" s="10">
        <v>108223.64</v>
      </c>
      <c r="J105" s="9">
        <f t="shared" si="1"/>
        <v>0.03174603175</v>
      </c>
    </row>
    <row r="106" ht="15.75" customHeight="1">
      <c r="A106" s="12">
        <v>46023.0</v>
      </c>
      <c r="B106" s="4" t="s">
        <v>107</v>
      </c>
      <c r="C106" s="8">
        <v>344455.0</v>
      </c>
      <c r="D106" s="8">
        <v>4660.0</v>
      </c>
      <c r="E106" s="10">
        <v>105.6</v>
      </c>
      <c r="F106" s="10">
        <v>492078.48</v>
      </c>
      <c r="G106" s="8">
        <v>192.0</v>
      </c>
      <c r="H106" s="10">
        <v>18059.89</v>
      </c>
      <c r="I106" s="10">
        <v>474018.59</v>
      </c>
      <c r="J106" s="9">
        <f t="shared" si="1"/>
        <v>0.04120171674</v>
      </c>
    </row>
    <row r="107" ht="15.75" customHeight="1">
      <c r="A107" s="12">
        <v>46054.0</v>
      </c>
      <c r="B107" s="4" t="s">
        <v>107</v>
      </c>
      <c r="C107" s="8">
        <v>102469.0</v>
      </c>
      <c r="D107" s="8">
        <v>1980.0</v>
      </c>
      <c r="E107" s="10">
        <v>156.35</v>
      </c>
      <c r="F107" s="10">
        <v>309578.25</v>
      </c>
      <c r="G107" s="8">
        <v>80.0</v>
      </c>
      <c r="H107" s="10">
        <v>12230.23</v>
      </c>
      <c r="I107" s="10">
        <v>297348.02</v>
      </c>
      <c r="J107" s="9">
        <f t="shared" si="1"/>
        <v>0.0404040404</v>
      </c>
    </row>
    <row r="108" ht="15.75" customHeight="1">
      <c r="A108" s="12">
        <v>46082.0</v>
      </c>
      <c r="B108" s="4" t="s">
        <v>107</v>
      </c>
      <c r="C108" s="8">
        <v>303607.0</v>
      </c>
      <c r="D108" s="8">
        <v>3115.0</v>
      </c>
      <c r="E108" s="10">
        <v>150.5</v>
      </c>
      <c r="F108" s="10">
        <v>468813.09</v>
      </c>
      <c r="G108" s="8">
        <v>371.0</v>
      </c>
      <c r="H108" s="10">
        <v>52839.26</v>
      </c>
      <c r="I108" s="10">
        <v>415973.83</v>
      </c>
      <c r="J108" s="9">
        <f t="shared" si="1"/>
        <v>0.1191011236</v>
      </c>
    </row>
    <row r="109" ht="15.75" customHeight="1">
      <c r="A109" s="12">
        <v>46113.0</v>
      </c>
      <c r="B109" s="4" t="s">
        <v>107</v>
      </c>
      <c r="C109" s="8">
        <v>106059.0</v>
      </c>
      <c r="D109" s="8">
        <v>2584.0</v>
      </c>
      <c r="E109" s="10">
        <v>143.99</v>
      </c>
      <c r="F109" s="10">
        <v>372069.12</v>
      </c>
      <c r="G109" s="8">
        <v>250.0</v>
      </c>
      <c r="H109" s="10">
        <v>30399.38</v>
      </c>
      <c r="I109" s="10">
        <v>341669.73</v>
      </c>
      <c r="J109" s="9">
        <f t="shared" si="1"/>
        <v>0.09674922601</v>
      </c>
    </row>
    <row r="110" ht="15.75" customHeight="1">
      <c r="A110" s="12">
        <v>45778.0</v>
      </c>
      <c r="B110" s="4" t="s">
        <v>84</v>
      </c>
      <c r="C110" s="8">
        <v>83980.0</v>
      </c>
      <c r="D110" s="8">
        <v>969.0</v>
      </c>
      <c r="E110" s="10">
        <v>112.26</v>
      </c>
      <c r="F110" s="10">
        <v>108775.52</v>
      </c>
      <c r="G110" s="8">
        <v>53.0</v>
      </c>
      <c r="H110" s="10">
        <v>5510.01</v>
      </c>
      <c r="I110" s="10">
        <v>103265.51</v>
      </c>
      <c r="J110" s="9">
        <f t="shared" si="1"/>
        <v>0.05469556244</v>
      </c>
    </row>
    <row r="111" ht="15.75" customHeight="1">
      <c r="A111" s="12">
        <v>45809.0</v>
      </c>
      <c r="B111" s="4" t="s">
        <v>84</v>
      </c>
      <c r="C111" s="8">
        <v>313878.0</v>
      </c>
      <c r="D111" s="8">
        <v>5788.0</v>
      </c>
      <c r="E111" s="10">
        <v>65.93</v>
      </c>
      <c r="F111" s="10">
        <v>381588.2</v>
      </c>
      <c r="G111" s="8">
        <v>532.0</v>
      </c>
      <c r="H111" s="10">
        <v>34317.74</v>
      </c>
      <c r="I111" s="10">
        <v>347270.46</v>
      </c>
      <c r="J111" s="9">
        <f t="shared" si="1"/>
        <v>0.09191430546</v>
      </c>
    </row>
    <row r="112" ht="15.75" customHeight="1">
      <c r="A112" s="12">
        <v>45839.0</v>
      </c>
      <c r="B112" s="4" t="s">
        <v>84</v>
      </c>
      <c r="C112" s="8">
        <v>65110.0</v>
      </c>
      <c r="D112" s="8">
        <v>889.0</v>
      </c>
      <c r="E112" s="10">
        <v>157.76</v>
      </c>
      <c r="F112" s="10">
        <v>140251.64</v>
      </c>
      <c r="G112" s="8">
        <v>90.0</v>
      </c>
      <c r="H112" s="10">
        <v>12260.66</v>
      </c>
      <c r="I112" s="10">
        <v>127990.98</v>
      </c>
      <c r="J112" s="9">
        <f t="shared" si="1"/>
        <v>0.1012373453</v>
      </c>
    </row>
    <row r="113" ht="15.75" customHeight="1">
      <c r="A113" s="12">
        <v>45870.0</v>
      </c>
      <c r="B113" s="4" t="s">
        <v>84</v>
      </c>
      <c r="C113" s="8">
        <v>337641.0</v>
      </c>
      <c r="D113" s="8">
        <v>6152.0</v>
      </c>
      <c r="E113" s="10">
        <v>151.9</v>
      </c>
      <c r="F113" s="10">
        <v>934491.06</v>
      </c>
      <c r="G113" s="8">
        <v>204.0</v>
      </c>
      <c r="H113" s="10">
        <v>28722.46</v>
      </c>
      <c r="I113" s="10">
        <v>905768.61</v>
      </c>
      <c r="J113" s="9">
        <f t="shared" si="1"/>
        <v>0.03315994798</v>
      </c>
    </row>
    <row r="114" ht="15.75" customHeight="1">
      <c r="A114" s="12">
        <v>45901.0</v>
      </c>
      <c r="B114" s="4" t="s">
        <v>84</v>
      </c>
      <c r="C114" s="8">
        <v>49178.0</v>
      </c>
      <c r="D114" s="8">
        <v>487.0</v>
      </c>
      <c r="E114" s="10">
        <v>120.74</v>
      </c>
      <c r="F114" s="10">
        <v>58799.77</v>
      </c>
      <c r="G114" s="8">
        <v>52.0</v>
      </c>
      <c r="H114" s="10">
        <v>5299.24</v>
      </c>
      <c r="I114" s="10">
        <v>53500.52</v>
      </c>
      <c r="J114" s="9">
        <f t="shared" si="1"/>
        <v>0.1067761807</v>
      </c>
    </row>
    <row r="115" ht="15.75" customHeight="1">
      <c r="A115" s="12">
        <v>45931.0</v>
      </c>
      <c r="B115" s="4" t="s">
        <v>84</v>
      </c>
      <c r="C115" s="8">
        <v>147591.0</v>
      </c>
      <c r="D115" s="8">
        <v>1521.0</v>
      </c>
      <c r="E115" s="10">
        <v>74.2</v>
      </c>
      <c r="F115" s="10">
        <v>112863.28</v>
      </c>
      <c r="G115" s="8">
        <v>157.0</v>
      </c>
      <c r="H115" s="10">
        <v>11029.13</v>
      </c>
      <c r="I115" s="10">
        <v>101834.16</v>
      </c>
      <c r="J115" s="9">
        <f t="shared" si="1"/>
        <v>0.1032215648</v>
      </c>
    </row>
    <row r="116" ht="15.75" customHeight="1">
      <c r="A116" s="12">
        <v>45962.0</v>
      </c>
      <c r="B116" s="4" t="s">
        <v>84</v>
      </c>
      <c r="C116" s="8">
        <v>193163.0</v>
      </c>
      <c r="D116" s="8">
        <v>1474.0</v>
      </c>
      <c r="E116" s="10">
        <v>125.92</v>
      </c>
      <c r="F116" s="10">
        <v>185607.08</v>
      </c>
      <c r="G116" s="8">
        <v>55.0</v>
      </c>
      <c r="H116" s="10">
        <v>6255.66</v>
      </c>
      <c r="I116" s="10">
        <v>179351.42</v>
      </c>
      <c r="J116" s="9">
        <f t="shared" si="1"/>
        <v>0.03731343284</v>
      </c>
    </row>
    <row r="117" ht="15.75" customHeight="1">
      <c r="A117" s="12">
        <v>45992.0</v>
      </c>
      <c r="B117" s="4" t="s">
        <v>84</v>
      </c>
      <c r="C117" s="8">
        <v>157296.0</v>
      </c>
      <c r="D117" s="8">
        <v>796.0</v>
      </c>
      <c r="E117" s="10">
        <v>65.2</v>
      </c>
      <c r="F117" s="10">
        <v>51896.78</v>
      </c>
      <c r="G117" s="8">
        <v>63.0</v>
      </c>
      <c r="H117" s="10">
        <v>3457.24</v>
      </c>
      <c r="I117" s="10">
        <v>48439.53</v>
      </c>
      <c r="J117" s="9">
        <f t="shared" si="1"/>
        <v>0.07914572864</v>
      </c>
    </row>
    <row r="118" ht="15.75" customHeight="1">
      <c r="A118" s="12">
        <v>46023.0</v>
      </c>
      <c r="B118" s="4" t="s">
        <v>84</v>
      </c>
      <c r="C118" s="8">
        <v>138383.0</v>
      </c>
      <c r="D118" s="8">
        <v>799.0</v>
      </c>
      <c r="E118" s="10">
        <v>131.61</v>
      </c>
      <c r="F118" s="10">
        <v>105159.62</v>
      </c>
      <c r="G118" s="8">
        <v>68.0</v>
      </c>
      <c r="H118" s="10">
        <v>8289.31</v>
      </c>
      <c r="I118" s="10">
        <v>96870.31</v>
      </c>
      <c r="J118" s="9">
        <f t="shared" si="1"/>
        <v>0.08510638298</v>
      </c>
    </row>
    <row r="119" ht="15.75" customHeight="1">
      <c r="A119" s="12">
        <v>46054.0</v>
      </c>
      <c r="B119" s="4" t="s">
        <v>84</v>
      </c>
      <c r="C119" s="8">
        <v>168058.0</v>
      </c>
      <c r="D119" s="8">
        <v>2983.0</v>
      </c>
      <c r="E119" s="10">
        <v>109.81</v>
      </c>
      <c r="F119" s="10">
        <v>327571.99</v>
      </c>
      <c r="G119" s="8">
        <v>265.0</v>
      </c>
      <c r="H119" s="10">
        <v>24328.33</v>
      </c>
      <c r="I119" s="10">
        <v>303243.66</v>
      </c>
      <c r="J119" s="9">
        <f t="shared" si="1"/>
        <v>0.08883674154</v>
      </c>
    </row>
    <row r="120" ht="15.75" customHeight="1">
      <c r="A120" s="12">
        <v>46082.0</v>
      </c>
      <c r="B120" s="4" t="s">
        <v>84</v>
      </c>
      <c r="C120" s="8">
        <v>202339.0</v>
      </c>
      <c r="D120" s="8">
        <v>4413.0</v>
      </c>
      <c r="E120" s="10">
        <v>151.63</v>
      </c>
      <c r="F120" s="10">
        <v>669139.57</v>
      </c>
      <c r="G120" s="8">
        <v>397.0</v>
      </c>
      <c r="H120" s="10">
        <v>54059.39</v>
      </c>
      <c r="I120" s="10">
        <v>615080.19</v>
      </c>
      <c r="J120" s="9">
        <f t="shared" si="1"/>
        <v>0.08996147745</v>
      </c>
    </row>
    <row r="121" ht="15.75" customHeight="1">
      <c r="A121" s="12">
        <v>46113.0</v>
      </c>
      <c r="B121" s="4" t="s">
        <v>84</v>
      </c>
      <c r="C121" s="8">
        <v>375315.0</v>
      </c>
      <c r="D121" s="8">
        <v>4820.0</v>
      </c>
      <c r="E121" s="10">
        <v>96.21</v>
      </c>
      <c r="F121" s="10">
        <v>463745.13</v>
      </c>
      <c r="G121" s="8">
        <v>353.0</v>
      </c>
      <c r="H121" s="10">
        <v>27826.17</v>
      </c>
      <c r="I121" s="10">
        <v>435918.95</v>
      </c>
      <c r="J121" s="9">
        <f t="shared" si="1"/>
        <v>0.07323651452</v>
      </c>
    </row>
    <row r="122" ht="15.75" customHeight="1">
      <c r="A122" s="12">
        <v>45778.0</v>
      </c>
      <c r="B122" s="4" t="s">
        <v>93</v>
      </c>
      <c r="C122" s="8">
        <v>103912.0</v>
      </c>
      <c r="D122" s="8">
        <v>2520.0</v>
      </c>
      <c r="E122" s="10">
        <v>153.96</v>
      </c>
      <c r="F122" s="10">
        <v>387978.11</v>
      </c>
      <c r="G122" s="8">
        <v>248.0</v>
      </c>
      <c r="H122" s="10">
        <v>33749.76</v>
      </c>
      <c r="I122" s="10">
        <v>354228.35</v>
      </c>
      <c r="J122" s="9">
        <f t="shared" si="1"/>
        <v>0.09841269841</v>
      </c>
    </row>
    <row r="123" ht="15.75" customHeight="1">
      <c r="A123" s="12">
        <v>45809.0</v>
      </c>
      <c r="B123" s="4" t="s">
        <v>93</v>
      </c>
      <c r="C123" s="8">
        <v>279447.0</v>
      </c>
      <c r="D123" s="8">
        <v>3215.0</v>
      </c>
      <c r="E123" s="10">
        <v>128.88</v>
      </c>
      <c r="F123" s="10">
        <v>414345.17</v>
      </c>
      <c r="G123" s="8">
        <v>129.0</v>
      </c>
      <c r="H123" s="10">
        <v>14845.57</v>
      </c>
      <c r="I123" s="10">
        <v>399499.6</v>
      </c>
      <c r="J123" s="9">
        <f t="shared" si="1"/>
        <v>0.0401244168</v>
      </c>
    </row>
    <row r="124" ht="15.75" customHeight="1">
      <c r="A124" s="12">
        <v>45839.0</v>
      </c>
      <c r="B124" s="4" t="s">
        <v>93</v>
      </c>
      <c r="C124" s="8">
        <v>212198.0</v>
      </c>
      <c r="D124" s="8">
        <v>3864.0</v>
      </c>
      <c r="E124" s="10">
        <v>95.19</v>
      </c>
      <c r="F124" s="10">
        <v>367817.67</v>
      </c>
      <c r="G124" s="8">
        <v>254.0</v>
      </c>
      <c r="H124" s="10">
        <v>19962.04</v>
      </c>
      <c r="I124" s="10">
        <v>347855.63</v>
      </c>
      <c r="J124" s="9">
        <f t="shared" si="1"/>
        <v>0.06573498965</v>
      </c>
    </row>
    <row r="125" ht="15.75" customHeight="1">
      <c r="A125" s="12">
        <v>45870.0</v>
      </c>
      <c r="B125" s="4" t="s">
        <v>93</v>
      </c>
      <c r="C125" s="8">
        <v>298618.0</v>
      </c>
      <c r="D125" s="8">
        <v>6510.0</v>
      </c>
      <c r="E125" s="10">
        <v>150.45</v>
      </c>
      <c r="F125" s="10">
        <v>979422.91</v>
      </c>
      <c r="G125" s="8">
        <v>547.0</v>
      </c>
      <c r="H125" s="10">
        <v>77147.54</v>
      </c>
      <c r="I125" s="10">
        <v>902275.36</v>
      </c>
      <c r="J125" s="9">
        <f t="shared" si="1"/>
        <v>0.08402457757</v>
      </c>
    </row>
    <row r="126" ht="15.75" customHeight="1">
      <c r="A126" s="12">
        <v>45901.0</v>
      </c>
      <c r="B126" s="4" t="s">
        <v>93</v>
      </c>
      <c r="C126" s="8">
        <v>60184.0</v>
      </c>
      <c r="D126" s="8">
        <v>651.0</v>
      </c>
      <c r="E126" s="10">
        <v>112.3</v>
      </c>
      <c r="F126" s="10">
        <v>73108.05</v>
      </c>
      <c r="G126" s="8">
        <v>71.0</v>
      </c>
      <c r="H126" s="10">
        <v>7627.06</v>
      </c>
      <c r="I126" s="10">
        <v>65480.99</v>
      </c>
      <c r="J126" s="9">
        <f t="shared" si="1"/>
        <v>0.10906298</v>
      </c>
    </row>
    <row r="127" ht="15.75" customHeight="1">
      <c r="A127" s="12">
        <v>45931.0</v>
      </c>
      <c r="B127" s="4" t="s">
        <v>93</v>
      </c>
      <c r="C127" s="8">
        <v>76878.0</v>
      </c>
      <c r="D127" s="8">
        <v>1248.0</v>
      </c>
      <c r="E127" s="10">
        <v>92.58</v>
      </c>
      <c r="F127" s="10">
        <v>115541.77</v>
      </c>
      <c r="G127" s="8">
        <v>113.0</v>
      </c>
      <c r="H127" s="10">
        <v>9229.8</v>
      </c>
      <c r="I127" s="10">
        <v>106311.97</v>
      </c>
      <c r="J127" s="9">
        <f t="shared" si="1"/>
        <v>0.09054487179</v>
      </c>
    </row>
    <row r="128" ht="15.75" customHeight="1">
      <c r="A128" s="12">
        <v>45962.0</v>
      </c>
      <c r="B128" s="4" t="s">
        <v>93</v>
      </c>
      <c r="C128" s="8">
        <v>276709.0</v>
      </c>
      <c r="D128" s="8">
        <v>3736.0</v>
      </c>
      <c r="E128" s="10">
        <v>85.89</v>
      </c>
      <c r="F128" s="10">
        <v>320903.1</v>
      </c>
      <c r="G128" s="8">
        <v>130.0</v>
      </c>
      <c r="H128" s="10">
        <v>10017.33</v>
      </c>
      <c r="I128" s="10">
        <v>310885.77</v>
      </c>
      <c r="J128" s="9">
        <f t="shared" si="1"/>
        <v>0.03479657388</v>
      </c>
    </row>
    <row r="129" ht="15.75" customHeight="1">
      <c r="A129" s="12">
        <v>45992.0</v>
      </c>
      <c r="B129" s="4" t="s">
        <v>93</v>
      </c>
      <c r="C129" s="8">
        <v>159791.0</v>
      </c>
      <c r="D129" s="8">
        <v>1885.0</v>
      </c>
      <c r="E129" s="10">
        <v>145.58</v>
      </c>
      <c r="F129" s="10">
        <v>274422.32</v>
      </c>
      <c r="G129" s="8">
        <v>108.0</v>
      </c>
      <c r="H129" s="10">
        <v>13866.98</v>
      </c>
      <c r="I129" s="10">
        <v>260555.34</v>
      </c>
      <c r="J129" s="9">
        <f t="shared" si="1"/>
        <v>0.05729442971</v>
      </c>
    </row>
    <row r="130" ht="15.75" customHeight="1">
      <c r="A130" s="12">
        <v>46023.0</v>
      </c>
      <c r="B130" s="4" t="s">
        <v>93</v>
      </c>
      <c r="C130" s="8">
        <v>345157.0</v>
      </c>
      <c r="D130" s="8">
        <v>7770.0</v>
      </c>
      <c r="E130" s="10">
        <v>115.35</v>
      </c>
      <c r="F130" s="10">
        <v>896295.93</v>
      </c>
      <c r="G130" s="8">
        <v>778.0</v>
      </c>
      <c r="H130" s="10">
        <v>73776.01</v>
      </c>
      <c r="I130" s="10">
        <v>822519.92</v>
      </c>
      <c r="J130" s="9">
        <f t="shared" si="1"/>
        <v>0.1001287001</v>
      </c>
    </row>
    <row r="131" ht="15.75" customHeight="1">
      <c r="A131" s="12">
        <v>46054.0</v>
      </c>
      <c r="B131" s="4" t="s">
        <v>93</v>
      </c>
      <c r="C131" s="8">
        <v>366547.0</v>
      </c>
      <c r="D131" s="8">
        <v>6310.0</v>
      </c>
      <c r="E131" s="10">
        <v>71.83</v>
      </c>
      <c r="F131" s="10">
        <v>453222.32</v>
      </c>
      <c r="G131" s="8">
        <v>495.0</v>
      </c>
      <c r="H131" s="10">
        <v>35200.33</v>
      </c>
      <c r="I131" s="10">
        <v>418021.99</v>
      </c>
      <c r="J131" s="9">
        <f t="shared" si="1"/>
        <v>0.07844690967</v>
      </c>
    </row>
    <row r="132" ht="15.75" customHeight="1">
      <c r="A132" s="12">
        <v>46082.0</v>
      </c>
      <c r="B132" s="4" t="s">
        <v>93</v>
      </c>
      <c r="C132" s="8">
        <v>56071.0</v>
      </c>
      <c r="D132" s="8">
        <v>1180.0</v>
      </c>
      <c r="E132" s="10">
        <v>67.66</v>
      </c>
      <c r="F132" s="10">
        <v>79835.31</v>
      </c>
      <c r="G132" s="8">
        <v>110.0</v>
      </c>
      <c r="H132" s="10">
        <v>7311.63</v>
      </c>
      <c r="I132" s="10">
        <v>72523.68</v>
      </c>
      <c r="J132" s="9">
        <f t="shared" si="1"/>
        <v>0.09322033898</v>
      </c>
    </row>
    <row r="133" ht="15.75" customHeight="1">
      <c r="A133" s="12">
        <v>46113.0</v>
      </c>
      <c r="B133" s="4" t="s">
        <v>93</v>
      </c>
      <c r="C133" s="8">
        <v>334875.0</v>
      </c>
      <c r="D133" s="8">
        <v>2099.0</v>
      </c>
      <c r="E133" s="10">
        <v>63.27</v>
      </c>
      <c r="F133" s="10">
        <v>132795.39</v>
      </c>
      <c r="G133" s="8">
        <v>102.0</v>
      </c>
      <c r="H133" s="10">
        <v>5853.6</v>
      </c>
      <c r="I133" s="10">
        <v>126941.79</v>
      </c>
      <c r="J133" s="9">
        <f t="shared" si="1"/>
        <v>0.04859456884</v>
      </c>
    </row>
    <row r="134" ht="15.75" customHeight="1">
      <c r="A134" s="12">
        <v>45778.0</v>
      </c>
      <c r="B134" s="4" t="s">
        <v>195</v>
      </c>
      <c r="C134" s="8">
        <v>127309.0</v>
      </c>
      <c r="D134" s="8">
        <v>2770.0</v>
      </c>
      <c r="E134" s="10">
        <v>100.32</v>
      </c>
      <c r="F134" s="10">
        <v>277890.04</v>
      </c>
      <c r="G134" s="8">
        <v>262.0</v>
      </c>
      <c r="H134" s="10">
        <v>22552.82</v>
      </c>
      <c r="I134" s="10">
        <v>255337.22</v>
      </c>
      <c r="J134" s="9">
        <f t="shared" si="1"/>
        <v>0.09458483755</v>
      </c>
    </row>
    <row r="135" ht="15.75" customHeight="1">
      <c r="A135" s="12">
        <v>45809.0</v>
      </c>
      <c r="B135" s="4" t="s">
        <v>195</v>
      </c>
      <c r="C135" s="8">
        <v>129622.0</v>
      </c>
      <c r="D135" s="8">
        <v>3008.0</v>
      </c>
      <c r="E135" s="10">
        <v>93.47</v>
      </c>
      <c r="F135" s="10">
        <v>281159.94</v>
      </c>
      <c r="G135" s="8">
        <v>148.0</v>
      </c>
      <c r="H135" s="10">
        <v>13095.87</v>
      </c>
      <c r="I135" s="10">
        <v>268064.07</v>
      </c>
      <c r="J135" s="9">
        <f t="shared" si="1"/>
        <v>0.04920212766</v>
      </c>
    </row>
    <row r="136" ht="15.75" customHeight="1">
      <c r="A136" s="12">
        <v>45839.0</v>
      </c>
      <c r="B136" s="4" t="s">
        <v>195</v>
      </c>
      <c r="C136" s="8">
        <v>52151.0</v>
      </c>
      <c r="D136" s="8">
        <v>298.0</v>
      </c>
      <c r="E136" s="10">
        <v>60.14</v>
      </c>
      <c r="F136" s="10">
        <v>17922.62</v>
      </c>
      <c r="G136" s="8">
        <v>34.0</v>
      </c>
      <c r="H136" s="10">
        <v>1677.82</v>
      </c>
      <c r="I136" s="10">
        <v>16244.81</v>
      </c>
      <c r="J136" s="9">
        <f t="shared" si="1"/>
        <v>0.1140939597</v>
      </c>
    </row>
    <row r="137" ht="15.75" customHeight="1">
      <c r="A137" s="12">
        <v>45870.0</v>
      </c>
      <c r="B137" s="4" t="s">
        <v>195</v>
      </c>
      <c r="C137" s="8">
        <v>253633.0</v>
      </c>
      <c r="D137" s="8">
        <v>5282.0</v>
      </c>
      <c r="E137" s="10">
        <v>62.52</v>
      </c>
      <c r="F137" s="10">
        <v>330254.48</v>
      </c>
      <c r="G137" s="8">
        <v>293.0</v>
      </c>
      <c r="H137" s="10">
        <v>14744.58</v>
      </c>
      <c r="I137" s="10">
        <v>315509.9</v>
      </c>
      <c r="J137" s="9">
        <f t="shared" si="1"/>
        <v>0.05547141234</v>
      </c>
    </row>
    <row r="138" ht="15.75" customHeight="1">
      <c r="A138" s="12">
        <v>45901.0</v>
      </c>
      <c r="B138" s="4" t="s">
        <v>195</v>
      </c>
      <c r="C138" s="8">
        <v>376116.0</v>
      </c>
      <c r="D138" s="8">
        <v>7690.0</v>
      </c>
      <c r="E138" s="10">
        <v>84.46</v>
      </c>
      <c r="F138" s="10">
        <v>649513.05</v>
      </c>
      <c r="G138" s="8">
        <v>419.0</v>
      </c>
      <c r="H138" s="10">
        <v>29186.81</v>
      </c>
      <c r="I138" s="10">
        <v>620326.24</v>
      </c>
      <c r="J138" s="9">
        <f t="shared" si="1"/>
        <v>0.0544863459</v>
      </c>
    </row>
    <row r="139" ht="15.75" customHeight="1">
      <c r="A139" s="12">
        <v>45931.0</v>
      </c>
      <c r="B139" s="4" t="s">
        <v>195</v>
      </c>
      <c r="C139" s="8">
        <v>243105.0</v>
      </c>
      <c r="D139" s="8">
        <v>4401.0</v>
      </c>
      <c r="E139" s="10">
        <v>72.04</v>
      </c>
      <c r="F139" s="10">
        <v>317037.79</v>
      </c>
      <c r="G139" s="8">
        <v>425.0</v>
      </c>
      <c r="H139" s="10">
        <v>26146.06</v>
      </c>
      <c r="I139" s="10">
        <v>290891.73</v>
      </c>
      <c r="J139" s="9">
        <f t="shared" si="1"/>
        <v>0.0965689616</v>
      </c>
    </row>
    <row r="140" ht="15.75" customHeight="1">
      <c r="A140" s="12">
        <v>45962.0</v>
      </c>
      <c r="B140" s="4" t="s">
        <v>195</v>
      </c>
      <c r="C140" s="8">
        <v>89520.0</v>
      </c>
      <c r="D140" s="8">
        <v>584.0</v>
      </c>
      <c r="E140" s="10">
        <v>111.98</v>
      </c>
      <c r="F140" s="10">
        <v>65397.8</v>
      </c>
      <c r="G140" s="8">
        <v>54.0</v>
      </c>
      <c r="H140" s="10">
        <v>5723.71</v>
      </c>
      <c r="I140" s="10">
        <v>59674.09</v>
      </c>
      <c r="J140" s="9">
        <f t="shared" si="1"/>
        <v>0.09246575342</v>
      </c>
    </row>
    <row r="141" ht="15.75" customHeight="1">
      <c r="A141" s="12">
        <v>45992.0</v>
      </c>
      <c r="B141" s="4" t="s">
        <v>195</v>
      </c>
      <c r="C141" s="8">
        <v>55566.0</v>
      </c>
      <c r="D141" s="8">
        <v>294.0</v>
      </c>
      <c r="E141" s="10">
        <v>146.84</v>
      </c>
      <c r="F141" s="10">
        <v>43170.05</v>
      </c>
      <c r="G141" s="8">
        <v>24.0</v>
      </c>
      <c r="H141" s="10">
        <v>2926.29</v>
      </c>
      <c r="I141" s="10">
        <v>40243.76</v>
      </c>
      <c r="J141" s="9">
        <f t="shared" si="1"/>
        <v>0.08163265306</v>
      </c>
    </row>
    <row r="142" ht="15.75" customHeight="1">
      <c r="A142" s="12">
        <v>46023.0</v>
      </c>
      <c r="B142" s="4" t="s">
        <v>195</v>
      </c>
      <c r="C142" s="8">
        <v>353383.0</v>
      </c>
      <c r="D142" s="8">
        <v>7368.0</v>
      </c>
      <c r="E142" s="10">
        <v>78.79</v>
      </c>
      <c r="F142" s="10">
        <v>580512.91</v>
      </c>
      <c r="G142" s="8">
        <v>622.0</v>
      </c>
      <c r="H142" s="10">
        <v>42264.96</v>
      </c>
      <c r="I142" s="10">
        <v>538247.94</v>
      </c>
      <c r="J142" s="9">
        <f t="shared" si="1"/>
        <v>0.08441910966</v>
      </c>
    </row>
    <row r="143" ht="15.75" customHeight="1">
      <c r="A143" s="12">
        <v>46054.0</v>
      </c>
      <c r="B143" s="4" t="s">
        <v>195</v>
      </c>
      <c r="C143" s="8">
        <v>214726.0</v>
      </c>
      <c r="D143" s="8">
        <v>2899.0</v>
      </c>
      <c r="E143" s="10">
        <v>137.55</v>
      </c>
      <c r="F143" s="10">
        <v>398765.33</v>
      </c>
      <c r="G143" s="8">
        <v>165.0</v>
      </c>
      <c r="H143" s="10">
        <v>20240.04</v>
      </c>
      <c r="I143" s="10">
        <v>378525.29</v>
      </c>
      <c r="J143" s="9">
        <f t="shared" si="1"/>
        <v>0.05691617799</v>
      </c>
    </row>
    <row r="144" ht="15.75" customHeight="1">
      <c r="A144" s="12">
        <v>46082.0</v>
      </c>
      <c r="B144" s="4" t="s">
        <v>195</v>
      </c>
      <c r="C144" s="8">
        <v>97260.0</v>
      </c>
      <c r="D144" s="8">
        <v>1000.0</v>
      </c>
      <c r="E144" s="10">
        <v>128.2</v>
      </c>
      <c r="F144" s="10">
        <v>128197.43</v>
      </c>
      <c r="G144" s="8">
        <v>72.0</v>
      </c>
      <c r="H144" s="10">
        <v>7921.81</v>
      </c>
      <c r="I144" s="10">
        <v>120275.62</v>
      </c>
      <c r="J144" s="9">
        <f t="shared" si="1"/>
        <v>0.072</v>
      </c>
    </row>
    <row r="145" ht="15.75" customHeight="1">
      <c r="A145" s="12">
        <v>46113.0</v>
      </c>
      <c r="B145" s="4" t="s">
        <v>195</v>
      </c>
      <c r="C145" s="8">
        <v>93791.0</v>
      </c>
      <c r="D145" s="8">
        <v>885.0</v>
      </c>
      <c r="E145" s="10">
        <v>101.48</v>
      </c>
      <c r="F145" s="10">
        <v>89807.49</v>
      </c>
      <c r="G145" s="8">
        <v>48.0</v>
      </c>
      <c r="H145" s="10">
        <v>4173.81</v>
      </c>
      <c r="I145" s="10">
        <v>85633.68</v>
      </c>
      <c r="J145" s="9">
        <f t="shared" si="1"/>
        <v>0.05423728814</v>
      </c>
    </row>
    <row r="146" ht="15.75" customHeight="1">
      <c r="A146" s="12">
        <v>45778.0</v>
      </c>
      <c r="B146" s="4" t="s">
        <v>77</v>
      </c>
      <c r="C146" s="8">
        <v>324552.0</v>
      </c>
      <c r="D146" s="8">
        <v>4911.0</v>
      </c>
      <c r="E146" s="10">
        <v>98.92</v>
      </c>
      <c r="F146" s="10">
        <v>485784.79</v>
      </c>
      <c r="G146" s="8">
        <v>586.0</v>
      </c>
      <c r="H146" s="10">
        <v>54807.3</v>
      </c>
      <c r="I146" s="10">
        <v>430977.49</v>
      </c>
      <c r="J146" s="9">
        <f t="shared" si="1"/>
        <v>0.1193239666</v>
      </c>
    </row>
    <row r="147" ht="15.75" customHeight="1">
      <c r="A147" s="12">
        <v>45809.0</v>
      </c>
      <c r="B147" s="4" t="s">
        <v>77</v>
      </c>
      <c r="C147" s="8">
        <v>240421.0</v>
      </c>
      <c r="D147" s="8">
        <v>4869.0</v>
      </c>
      <c r="E147" s="10">
        <v>134.46</v>
      </c>
      <c r="F147" s="10">
        <v>654685.37</v>
      </c>
      <c r="G147" s="8">
        <v>344.0</v>
      </c>
      <c r="H147" s="10">
        <v>42349.24</v>
      </c>
      <c r="I147" s="10">
        <v>612336.13</v>
      </c>
      <c r="J147" s="9">
        <f t="shared" si="1"/>
        <v>0.07065105771</v>
      </c>
    </row>
    <row r="148" ht="15.75" customHeight="1">
      <c r="A148" s="12">
        <v>45839.0</v>
      </c>
      <c r="B148" s="4" t="s">
        <v>77</v>
      </c>
      <c r="C148" s="8">
        <v>58050.0</v>
      </c>
      <c r="D148" s="8">
        <v>751.0</v>
      </c>
      <c r="E148" s="10">
        <v>82.84</v>
      </c>
      <c r="F148" s="10">
        <v>62210.11</v>
      </c>
      <c r="G148" s="8">
        <v>47.0</v>
      </c>
      <c r="H148" s="10">
        <v>3553.15</v>
      </c>
      <c r="I148" s="10">
        <v>58656.96</v>
      </c>
      <c r="J148" s="9">
        <f t="shared" si="1"/>
        <v>0.06258322237</v>
      </c>
    </row>
    <row r="149" ht="15.75" customHeight="1">
      <c r="A149" s="12">
        <v>45870.0</v>
      </c>
      <c r="B149" s="4" t="s">
        <v>77</v>
      </c>
      <c r="C149" s="8">
        <v>207849.0</v>
      </c>
      <c r="D149" s="8">
        <v>2421.0</v>
      </c>
      <c r="E149" s="10">
        <v>144.64</v>
      </c>
      <c r="F149" s="10">
        <v>350163.38</v>
      </c>
      <c r="G149" s="8">
        <v>285.0</v>
      </c>
      <c r="H149" s="10">
        <v>33763.38</v>
      </c>
      <c r="I149" s="10">
        <v>316400.0</v>
      </c>
      <c r="J149" s="9">
        <f t="shared" si="1"/>
        <v>0.1177199504</v>
      </c>
    </row>
    <row r="150" ht="15.75" customHeight="1">
      <c r="A150" s="12">
        <v>45901.0</v>
      </c>
      <c r="B150" s="4" t="s">
        <v>77</v>
      </c>
      <c r="C150" s="8">
        <v>133738.0</v>
      </c>
      <c r="D150" s="8">
        <v>1224.0</v>
      </c>
      <c r="E150" s="10">
        <v>158.8</v>
      </c>
      <c r="F150" s="10">
        <v>194376.07</v>
      </c>
      <c r="G150" s="8">
        <v>102.0</v>
      </c>
      <c r="H150" s="10">
        <v>13230.17</v>
      </c>
      <c r="I150" s="10">
        <v>181145.9</v>
      </c>
      <c r="J150" s="9">
        <f t="shared" si="1"/>
        <v>0.08333333333</v>
      </c>
    </row>
    <row r="151" ht="15.75" customHeight="1">
      <c r="A151" s="12">
        <v>45931.0</v>
      </c>
      <c r="B151" s="4" t="s">
        <v>77</v>
      </c>
      <c r="C151" s="8">
        <v>256390.0</v>
      </c>
      <c r="D151" s="8">
        <v>4443.0</v>
      </c>
      <c r="E151" s="10">
        <v>108.67</v>
      </c>
      <c r="F151" s="10">
        <v>482803.34</v>
      </c>
      <c r="G151" s="8">
        <v>422.0</v>
      </c>
      <c r="H151" s="10">
        <v>41882.55</v>
      </c>
      <c r="I151" s="10">
        <v>440920.79</v>
      </c>
      <c r="J151" s="9">
        <f t="shared" si="1"/>
        <v>0.09498086878</v>
      </c>
    </row>
    <row r="152" ht="15.75" customHeight="1">
      <c r="A152" s="12">
        <v>45962.0</v>
      </c>
      <c r="B152" s="4" t="s">
        <v>77</v>
      </c>
      <c r="C152" s="8">
        <v>166860.0</v>
      </c>
      <c r="D152" s="8">
        <v>1030.0</v>
      </c>
      <c r="E152" s="10">
        <v>110.8</v>
      </c>
      <c r="F152" s="10">
        <v>114119.57</v>
      </c>
      <c r="G152" s="8">
        <v>69.0</v>
      </c>
      <c r="H152" s="10">
        <v>7248.15</v>
      </c>
      <c r="I152" s="10">
        <v>106871.42</v>
      </c>
      <c r="J152" s="9">
        <f t="shared" si="1"/>
        <v>0.06699029126</v>
      </c>
    </row>
    <row r="153" ht="15.75" customHeight="1">
      <c r="A153" s="12">
        <v>45992.0</v>
      </c>
      <c r="B153" s="4" t="s">
        <v>77</v>
      </c>
      <c r="C153" s="8">
        <v>123964.0</v>
      </c>
      <c r="D153" s="8">
        <v>710.0</v>
      </c>
      <c r="E153" s="10">
        <v>131.72</v>
      </c>
      <c r="F153" s="10">
        <v>93523.15</v>
      </c>
      <c r="G153" s="8">
        <v>59.0</v>
      </c>
      <c r="H153" s="10">
        <v>7571.8</v>
      </c>
      <c r="I153" s="10">
        <v>85951.35</v>
      </c>
      <c r="J153" s="9">
        <f t="shared" si="1"/>
        <v>0.08309859155</v>
      </c>
    </row>
    <row r="154" ht="15.75" customHeight="1">
      <c r="A154" s="12">
        <v>46023.0</v>
      </c>
      <c r="B154" s="4" t="s">
        <v>77</v>
      </c>
      <c r="C154" s="8">
        <v>185585.0</v>
      </c>
      <c r="D154" s="8">
        <v>3490.0</v>
      </c>
      <c r="E154" s="10">
        <v>138.79</v>
      </c>
      <c r="F154" s="10">
        <v>484373.81</v>
      </c>
      <c r="G154" s="8">
        <v>354.0</v>
      </c>
      <c r="H154" s="10">
        <v>44666.16</v>
      </c>
      <c r="I154" s="10">
        <v>439707.65</v>
      </c>
      <c r="J154" s="9">
        <f t="shared" si="1"/>
        <v>0.1014326648</v>
      </c>
    </row>
    <row r="155" ht="15.75" customHeight="1">
      <c r="A155" s="12">
        <v>46054.0</v>
      </c>
      <c r="B155" s="4" t="s">
        <v>77</v>
      </c>
      <c r="C155" s="8">
        <v>209110.0</v>
      </c>
      <c r="D155" s="8">
        <v>5058.0</v>
      </c>
      <c r="E155" s="10">
        <v>83.22</v>
      </c>
      <c r="F155" s="10">
        <v>420947.54</v>
      </c>
      <c r="G155" s="8">
        <v>361.0</v>
      </c>
      <c r="H155" s="10">
        <v>26937.34</v>
      </c>
      <c r="I155" s="10">
        <v>394010.2</v>
      </c>
      <c r="J155" s="9">
        <f t="shared" si="1"/>
        <v>0.07137208383</v>
      </c>
    </row>
    <row r="156" ht="15.75" customHeight="1">
      <c r="A156" s="12">
        <v>46082.0</v>
      </c>
      <c r="B156" s="4" t="s">
        <v>77</v>
      </c>
      <c r="C156" s="8">
        <v>335878.0</v>
      </c>
      <c r="D156" s="8">
        <v>7447.0</v>
      </c>
      <c r="E156" s="10">
        <v>164.22</v>
      </c>
      <c r="F156" s="10">
        <v>1222982.26</v>
      </c>
      <c r="G156" s="8">
        <v>277.0</v>
      </c>
      <c r="H156" s="10">
        <v>37347.92</v>
      </c>
      <c r="I156" s="10">
        <v>1185634.34</v>
      </c>
      <c r="J156" s="9">
        <f t="shared" si="1"/>
        <v>0.03719618638</v>
      </c>
    </row>
    <row r="157" ht="15.75" customHeight="1">
      <c r="A157" s="12">
        <v>46113.0</v>
      </c>
      <c r="B157" s="4" t="s">
        <v>77</v>
      </c>
      <c r="C157" s="8">
        <v>85634.0</v>
      </c>
      <c r="D157" s="8">
        <v>1071.0</v>
      </c>
      <c r="E157" s="10">
        <v>138.99</v>
      </c>
      <c r="F157" s="10">
        <v>148854.95</v>
      </c>
      <c r="G157" s="8">
        <v>47.0</v>
      </c>
      <c r="H157" s="10">
        <v>6203.35</v>
      </c>
      <c r="I157" s="10">
        <v>142651.6</v>
      </c>
      <c r="J157" s="9">
        <f t="shared" si="1"/>
        <v>0.04388422035</v>
      </c>
    </row>
    <row r="158" ht="15.75" customHeight="1">
      <c r="A158" s="12">
        <v>45778.0</v>
      </c>
      <c r="B158" s="4" t="s">
        <v>61</v>
      </c>
      <c r="C158" s="8">
        <v>132135.0</v>
      </c>
      <c r="D158" s="8">
        <v>1182.0</v>
      </c>
      <c r="E158" s="10">
        <v>151.06</v>
      </c>
      <c r="F158" s="10">
        <v>178556.66</v>
      </c>
      <c r="G158" s="8">
        <v>47.0</v>
      </c>
      <c r="H158" s="10">
        <v>6937.38</v>
      </c>
      <c r="I158" s="10">
        <v>171619.27</v>
      </c>
      <c r="J158" s="9">
        <f t="shared" si="1"/>
        <v>0.03976311337</v>
      </c>
    </row>
    <row r="159" ht="15.75" customHeight="1">
      <c r="A159" s="12">
        <v>45809.0</v>
      </c>
      <c r="B159" s="4" t="s">
        <v>61</v>
      </c>
      <c r="C159" s="8">
        <v>304619.0</v>
      </c>
      <c r="D159" s="8">
        <v>2563.0</v>
      </c>
      <c r="E159" s="10">
        <v>143.94</v>
      </c>
      <c r="F159" s="10">
        <v>368911.65</v>
      </c>
      <c r="G159" s="8">
        <v>189.0</v>
      </c>
      <c r="H159" s="10">
        <v>25838.49</v>
      </c>
      <c r="I159" s="10">
        <v>343073.16</v>
      </c>
      <c r="J159" s="9">
        <f t="shared" si="1"/>
        <v>0.07374170893</v>
      </c>
    </row>
    <row r="160" ht="15.75" customHeight="1">
      <c r="A160" s="12">
        <v>45839.0</v>
      </c>
      <c r="B160" s="4" t="s">
        <v>61</v>
      </c>
      <c r="C160" s="8">
        <v>331830.0</v>
      </c>
      <c r="D160" s="8">
        <v>4434.0</v>
      </c>
      <c r="E160" s="10">
        <v>58.99</v>
      </c>
      <c r="F160" s="10">
        <v>261564.6</v>
      </c>
      <c r="G160" s="8">
        <v>179.0</v>
      </c>
      <c r="H160" s="10">
        <v>10550.34</v>
      </c>
      <c r="I160" s="10">
        <v>251014.26</v>
      </c>
      <c r="J160" s="9">
        <f t="shared" si="1"/>
        <v>0.04036986919</v>
      </c>
    </row>
    <row r="161" ht="15.75" customHeight="1">
      <c r="A161" s="12">
        <v>45870.0</v>
      </c>
      <c r="B161" s="4" t="s">
        <v>61</v>
      </c>
      <c r="C161" s="8">
        <v>187138.0</v>
      </c>
      <c r="D161" s="8">
        <v>2891.0</v>
      </c>
      <c r="E161" s="10">
        <v>123.82</v>
      </c>
      <c r="F161" s="10">
        <v>357951.34</v>
      </c>
      <c r="G161" s="8">
        <v>183.0</v>
      </c>
      <c r="H161" s="10">
        <v>21073.2</v>
      </c>
      <c r="I161" s="10">
        <v>336878.14</v>
      </c>
      <c r="J161" s="9">
        <f t="shared" si="1"/>
        <v>0.06329989623</v>
      </c>
    </row>
    <row r="162" ht="15.75" customHeight="1">
      <c r="A162" s="12">
        <v>45901.0</v>
      </c>
      <c r="B162" s="4" t="s">
        <v>61</v>
      </c>
      <c r="C162" s="8">
        <v>119195.0</v>
      </c>
      <c r="D162" s="8">
        <v>1287.0</v>
      </c>
      <c r="E162" s="10">
        <v>131.3</v>
      </c>
      <c r="F162" s="10">
        <v>168979.95</v>
      </c>
      <c r="G162" s="8">
        <v>131.0</v>
      </c>
      <c r="H162" s="10">
        <v>17034.84</v>
      </c>
      <c r="I162" s="10">
        <v>151945.11</v>
      </c>
      <c r="J162" s="9">
        <f t="shared" si="1"/>
        <v>0.1017871018</v>
      </c>
    </row>
    <row r="163" ht="15.75" customHeight="1">
      <c r="A163" s="12">
        <v>45931.0</v>
      </c>
      <c r="B163" s="4" t="s">
        <v>61</v>
      </c>
      <c r="C163" s="8">
        <v>239643.0</v>
      </c>
      <c r="D163" s="8">
        <v>3687.0</v>
      </c>
      <c r="E163" s="10">
        <v>84.88</v>
      </c>
      <c r="F163" s="10">
        <v>312962.19</v>
      </c>
      <c r="G163" s="8">
        <v>264.0</v>
      </c>
      <c r="H163" s="10">
        <v>22123.08</v>
      </c>
      <c r="I163" s="10">
        <v>290839.11</v>
      </c>
      <c r="J163" s="9">
        <f t="shared" si="1"/>
        <v>0.07160292921</v>
      </c>
    </row>
    <row r="164" ht="15.75" customHeight="1">
      <c r="A164" s="12">
        <v>45962.0</v>
      </c>
      <c r="B164" s="4" t="s">
        <v>61</v>
      </c>
      <c r="C164" s="8">
        <v>115956.0</v>
      </c>
      <c r="D164" s="8">
        <v>960.0</v>
      </c>
      <c r="E164" s="10">
        <v>134.51</v>
      </c>
      <c r="F164" s="10">
        <v>129133.16</v>
      </c>
      <c r="G164" s="8">
        <v>69.0</v>
      </c>
      <c r="H164" s="10">
        <v>8014.88</v>
      </c>
      <c r="I164" s="10">
        <v>121118.29</v>
      </c>
      <c r="J164" s="9">
        <f t="shared" si="1"/>
        <v>0.071875</v>
      </c>
    </row>
    <row r="165" ht="15.75" customHeight="1">
      <c r="A165" s="12">
        <v>45992.0</v>
      </c>
      <c r="B165" s="4" t="s">
        <v>61</v>
      </c>
      <c r="C165" s="8">
        <v>138965.0</v>
      </c>
      <c r="D165" s="8">
        <v>1112.0</v>
      </c>
      <c r="E165" s="10">
        <v>65.17</v>
      </c>
      <c r="F165" s="10">
        <v>72473.64</v>
      </c>
      <c r="G165" s="8">
        <v>131.0</v>
      </c>
      <c r="H165" s="10">
        <v>7362.74</v>
      </c>
      <c r="I165" s="10">
        <v>65110.9</v>
      </c>
      <c r="J165" s="9">
        <f t="shared" si="1"/>
        <v>0.1178057554</v>
      </c>
    </row>
    <row r="166" ht="15.75" customHeight="1">
      <c r="A166" s="12">
        <v>46023.0</v>
      </c>
      <c r="B166" s="4" t="s">
        <v>61</v>
      </c>
      <c r="C166" s="8">
        <v>143395.0</v>
      </c>
      <c r="D166" s="8">
        <v>1288.0</v>
      </c>
      <c r="E166" s="10">
        <v>68.04</v>
      </c>
      <c r="F166" s="10">
        <v>87637.73</v>
      </c>
      <c r="G166" s="8">
        <v>91.0</v>
      </c>
      <c r="H166" s="10">
        <v>5070.73</v>
      </c>
      <c r="I166" s="10">
        <v>82567.01</v>
      </c>
      <c r="J166" s="9">
        <f t="shared" si="1"/>
        <v>0.07065217391</v>
      </c>
    </row>
    <row r="167" ht="15.75" customHeight="1">
      <c r="A167" s="12">
        <v>46054.0</v>
      </c>
      <c r="B167" s="4" t="s">
        <v>61</v>
      </c>
      <c r="C167" s="8">
        <v>372665.0</v>
      </c>
      <c r="D167" s="8">
        <v>5356.0</v>
      </c>
      <c r="E167" s="10">
        <v>74.74</v>
      </c>
      <c r="F167" s="10">
        <v>400309.97</v>
      </c>
      <c r="G167" s="8">
        <v>329.0</v>
      </c>
      <c r="H167" s="10">
        <v>22421.58</v>
      </c>
      <c r="I167" s="10">
        <v>377888.4</v>
      </c>
      <c r="J167" s="9">
        <f t="shared" si="1"/>
        <v>0.06142643764</v>
      </c>
    </row>
    <row r="168" ht="15.75" customHeight="1">
      <c r="A168" s="12">
        <v>46082.0</v>
      </c>
      <c r="B168" s="4" t="s">
        <v>61</v>
      </c>
      <c r="C168" s="8">
        <v>163504.0</v>
      </c>
      <c r="D168" s="8">
        <v>1945.0</v>
      </c>
      <c r="E168" s="10">
        <v>59.51</v>
      </c>
      <c r="F168" s="10">
        <v>115750.56</v>
      </c>
      <c r="G168" s="8">
        <v>92.0</v>
      </c>
      <c r="H168" s="10">
        <v>4691.26</v>
      </c>
      <c r="I168" s="10">
        <v>111059.3</v>
      </c>
      <c r="J168" s="9">
        <f t="shared" si="1"/>
        <v>0.04730077121</v>
      </c>
    </row>
    <row r="169" ht="15.75" customHeight="1">
      <c r="A169" s="12">
        <v>46113.0</v>
      </c>
      <c r="B169" s="4" t="s">
        <v>61</v>
      </c>
      <c r="C169" s="8">
        <v>268433.0</v>
      </c>
      <c r="D169" s="8">
        <v>4479.0</v>
      </c>
      <c r="E169" s="10">
        <v>90.72</v>
      </c>
      <c r="F169" s="10">
        <v>406313.76</v>
      </c>
      <c r="G169" s="8">
        <v>386.0</v>
      </c>
      <c r="H169" s="10">
        <v>30837.06</v>
      </c>
      <c r="I169" s="10">
        <v>375476.7</v>
      </c>
      <c r="J169" s="9">
        <f t="shared" si="1"/>
        <v>0.08617995088</v>
      </c>
    </row>
    <row r="170" ht="15.75" customHeight="1">
      <c r="A170" s="12">
        <v>45778.0</v>
      </c>
      <c r="B170" s="4" t="s">
        <v>69</v>
      </c>
      <c r="C170" s="8">
        <v>178562.0</v>
      </c>
      <c r="D170" s="8">
        <v>2896.0</v>
      </c>
      <c r="E170" s="10">
        <v>126.65</v>
      </c>
      <c r="F170" s="10">
        <v>366781.68</v>
      </c>
      <c r="G170" s="8">
        <v>139.0</v>
      </c>
      <c r="H170" s="10">
        <v>16170.23</v>
      </c>
      <c r="I170" s="10">
        <v>350611.45</v>
      </c>
      <c r="J170" s="9">
        <f t="shared" si="1"/>
        <v>0.04799723757</v>
      </c>
    </row>
    <row r="171" ht="15.75" customHeight="1">
      <c r="A171" s="12">
        <v>45809.0</v>
      </c>
      <c r="B171" s="4" t="s">
        <v>69</v>
      </c>
      <c r="C171" s="8">
        <v>98989.0</v>
      </c>
      <c r="D171" s="8">
        <v>1941.0</v>
      </c>
      <c r="E171" s="10">
        <v>87.96</v>
      </c>
      <c r="F171" s="10">
        <v>170727.36</v>
      </c>
      <c r="G171" s="8">
        <v>104.0</v>
      </c>
      <c r="H171" s="10">
        <v>7505.35</v>
      </c>
      <c r="I171" s="10">
        <v>163222.01</v>
      </c>
      <c r="J171" s="9">
        <f t="shared" si="1"/>
        <v>0.05358062854</v>
      </c>
    </row>
    <row r="172" ht="15.75" customHeight="1">
      <c r="A172" s="12">
        <v>45839.0</v>
      </c>
      <c r="B172" s="4" t="s">
        <v>69</v>
      </c>
      <c r="C172" s="8">
        <v>318844.0</v>
      </c>
      <c r="D172" s="8">
        <v>5339.0</v>
      </c>
      <c r="E172" s="10">
        <v>139.97</v>
      </c>
      <c r="F172" s="10">
        <v>747288.16</v>
      </c>
      <c r="G172" s="8">
        <v>318.0</v>
      </c>
      <c r="H172" s="10">
        <v>42479.93</v>
      </c>
      <c r="I172" s="10">
        <v>704808.23</v>
      </c>
      <c r="J172" s="9">
        <f t="shared" si="1"/>
        <v>0.05956171568</v>
      </c>
    </row>
    <row r="173" ht="15.75" customHeight="1">
      <c r="A173" s="12">
        <v>45870.0</v>
      </c>
      <c r="B173" s="4" t="s">
        <v>69</v>
      </c>
      <c r="C173" s="8">
        <v>355467.0</v>
      </c>
      <c r="D173" s="8">
        <v>6076.0</v>
      </c>
      <c r="E173" s="10">
        <v>161.43</v>
      </c>
      <c r="F173" s="10">
        <v>980863.88</v>
      </c>
      <c r="G173" s="8">
        <v>585.0</v>
      </c>
      <c r="H173" s="10">
        <v>87183.04</v>
      </c>
      <c r="I173" s="10">
        <v>893680.83</v>
      </c>
      <c r="J173" s="9">
        <f t="shared" si="1"/>
        <v>0.09628044766</v>
      </c>
    </row>
    <row r="174" ht="15.75" customHeight="1">
      <c r="A174" s="12">
        <v>45901.0</v>
      </c>
      <c r="B174" s="4" t="s">
        <v>69</v>
      </c>
      <c r="C174" s="8">
        <v>293201.0</v>
      </c>
      <c r="D174" s="8">
        <v>2693.0</v>
      </c>
      <c r="E174" s="10">
        <v>58.29</v>
      </c>
      <c r="F174" s="10">
        <v>156963.59</v>
      </c>
      <c r="G174" s="8">
        <v>136.0</v>
      </c>
      <c r="H174" s="10">
        <v>6684.64</v>
      </c>
      <c r="I174" s="10">
        <v>150278.95</v>
      </c>
      <c r="J174" s="9">
        <f t="shared" si="1"/>
        <v>0.05050129967</v>
      </c>
    </row>
    <row r="175" ht="15.75" customHeight="1">
      <c r="A175" s="12">
        <v>45931.0</v>
      </c>
      <c r="B175" s="4" t="s">
        <v>69</v>
      </c>
      <c r="C175" s="8">
        <v>367397.0</v>
      </c>
      <c r="D175" s="8">
        <v>2913.0</v>
      </c>
      <c r="E175" s="10">
        <v>75.64</v>
      </c>
      <c r="F175" s="10">
        <v>220326.41</v>
      </c>
      <c r="G175" s="8">
        <v>316.0</v>
      </c>
      <c r="H175" s="10">
        <v>20666.28</v>
      </c>
      <c r="I175" s="10">
        <v>199660.13</v>
      </c>
      <c r="J175" s="9">
        <f t="shared" si="1"/>
        <v>0.108479231</v>
      </c>
    </row>
    <row r="176" ht="15.75" customHeight="1">
      <c r="A176" s="12">
        <v>45962.0</v>
      </c>
      <c r="B176" s="4" t="s">
        <v>69</v>
      </c>
      <c r="C176" s="8">
        <v>72362.0</v>
      </c>
      <c r="D176" s="8">
        <v>560.0</v>
      </c>
      <c r="E176" s="10">
        <v>144.37</v>
      </c>
      <c r="F176" s="10">
        <v>80849.48</v>
      </c>
      <c r="G176" s="8">
        <v>38.0</v>
      </c>
      <c r="H176" s="10">
        <v>4906.53</v>
      </c>
      <c r="I176" s="10">
        <v>75942.95</v>
      </c>
      <c r="J176" s="9">
        <f t="shared" si="1"/>
        <v>0.06785714286</v>
      </c>
    </row>
    <row r="177" ht="15.75" customHeight="1">
      <c r="A177" s="12">
        <v>45992.0</v>
      </c>
      <c r="B177" s="4" t="s">
        <v>69</v>
      </c>
      <c r="C177" s="8">
        <v>203627.0</v>
      </c>
      <c r="D177" s="8">
        <v>3055.0</v>
      </c>
      <c r="E177" s="10">
        <v>70.55</v>
      </c>
      <c r="F177" s="10">
        <v>215532.47</v>
      </c>
      <c r="G177" s="8">
        <v>245.0</v>
      </c>
      <c r="H177" s="10">
        <v>15132.3</v>
      </c>
      <c r="I177" s="10">
        <v>200400.17</v>
      </c>
      <c r="J177" s="9">
        <f t="shared" si="1"/>
        <v>0.08019639935</v>
      </c>
    </row>
    <row r="178" ht="15.75" customHeight="1">
      <c r="A178" s="12">
        <v>46023.0</v>
      </c>
      <c r="B178" s="4" t="s">
        <v>69</v>
      </c>
      <c r="C178" s="8">
        <v>247128.0</v>
      </c>
      <c r="D178" s="8">
        <v>4726.0</v>
      </c>
      <c r="E178" s="10">
        <v>95.98</v>
      </c>
      <c r="F178" s="10">
        <v>453620.88</v>
      </c>
      <c r="G178" s="8">
        <v>498.0</v>
      </c>
      <c r="H178" s="10">
        <v>41270.32</v>
      </c>
      <c r="I178" s="10">
        <v>412350.55</v>
      </c>
      <c r="J178" s="9">
        <f t="shared" si="1"/>
        <v>0.1053745239</v>
      </c>
    </row>
    <row r="179" ht="15.75" customHeight="1">
      <c r="A179" s="12">
        <v>46054.0</v>
      </c>
      <c r="B179" s="4" t="s">
        <v>69</v>
      </c>
      <c r="C179" s="8">
        <v>85999.0</v>
      </c>
      <c r="D179" s="8">
        <v>1949.0</v>
      </c>
      <c r="E179" s="10">
        <v>148.11</v>
      </c>
      <c r="F179" s="10">
        <v>288675.08</v>
      </c>
      <c r="G179" s="8">
        <v>226.0</v>
      </c>
      <c r="H179" s="10">
        <v>33108.94</v>
      </c>
      <c r="I179" s="10">
        <v>255566.15</v>
      </c>
      <c r="J179" s="9">
        <f t="shared" si="1"/>
        <v>0.115956901</v>
      </c>
    </row>
    <row r="180" ht="15.75" customHeight="1">
      <c r="A180" s="12">
        <v>46082.0</v>
      </c>
      <c r="B180" s="4" t="s">
        <v>69</v>
      </c>
      <c r="C180" s="8">
        <v>190614.0</v>
      </c>
      <c r="D180" s="8">
        <v>3664.0</v>
      </c>
      <c r="E180" s="10">
        <v>147.87</v>
      </c>
      <c r="F180" s="10">
        <v>541783.75</v>
      </c>
      <c r="G180" s="8">
        <v>294.0</v>
      </c>
      <c r="H180" s="10">
        <v>39039.41</v>
      </c>
      <c r="I180" s="10">
        <v>502744.34</v>
      </c>
      <c r="J180" s="9">
        <f t="shared" si="1"/>
        <v>0.08024017467</v>
      </c>
    </row>
    <row r="181" ht="15.75" customHeight="1">
      <c r="A181" s="12">
        <v>46113.0</v>
      </c>
      <c r="B181" s="4" t="s">
        <v>69</v>
      </c>
      <c r="C181" s="8">
        <v>176354.0</v>
      </c>
      <c r="D181" s="8">
        <v>3299.0</v>
      </c>
      <c r="E181" s="10">
        <v>117.7</v>
      </c>
      <c r="F181" s="10">
        <v>388278.59</v>
      </c>
      <c r="G181" s="8">
        <v>228.0</v>
      </c>
      <c r="H181" s="10">
        <v>23336.38</v>
      </c>
      <c r="I181" s="10">
        <v>364942.21</v>
      </c>
      <c r="J181" s="9">
        <f t="shared" si="1"/>
        <v>0.06911185208</v>
      </c>
    </row>
    <row r="182" ht="15.75" customHeight="1">
      <c r="A182" s="12">
        <v>45778.0</v>
      </c>
      <c r="B182" s="4" t="s">
        <v>137</v>
      </c>
      <c r="C182" s="8">
        <v>58262.0</v>
      </c>
      <c r="D182" s="8">
        <v>1300.0</v>
      </c>
      <c r="E182" s="10">
        <v>149.52</v>
      </c>
      <c r="F182" s="10">
        <v>194382.29</v>
      </c>
      <c r="G182" s="8">
        <v>129.0</v>
      </c>
      <c r="H182" s="10">
        <v>16765.71</v>
      </c>
      <c r="I182" s="10">
        <v>177616.58</v>
      </c>
      <c r="J182" s="9">
        <f t="shared" si="1"/>
        <v>0.09923076923</v>
      </c>
    </row>
    <row r="183" ht="15.75" customHeight="1">
      <c r="A183" s="12">
        <v>45809.0</v>
      </c>
      <c r="B183" s="4" t="s">
        <v>137</v>
      </c>
      <c r="C183" s="8">
        <v>267338.0</v>
      </c>
      <c r="D183" s="8">
        <v>2479.0</v>
      </c>
      <c r="E183" s="10">
        <v>117.9</v>
      </c>
      <c r="F183" s="10">
        <v>292269.04</v>
      </c>
      <c r="G183" s="8">
        <v>297.0</v>
      </c>
      <c r="H183" s="10">
        <v>34591.35</v>
      </c>
      <c r="I183" s="10">
        <v>257677.69</v>
      </c>
      <c r="J183" s="9">
        <f t="shared" si="1"/>
        <v>0.1198063735</v>
      </c>
    </row>
    <row r="184" ht="15.75" customHeight="1">
      <c r="A184" s="12">
        <v>45839.0</v>
      </c>
      <c r="B184" s="4" t="s">
        <v>137</v>
      </c>
      <c r="C184" s="8">
        <v>245517.0</v>
      </c>
      <c r="D184" s="8">
        <v>3065.0</v>
      </c>
      <c r="E184" s="10">
        <v>157.85</v>
      </c>
      <c r="F184" s="10">
        <v>483815.13</v>
      </c>
      <c r="G184" s="8">
        <v>366.0</v>
      </c>
      <c r="H184" s="10">
        <v>48481.78</v>
      </c>
      <c r="I184" s="10">
        <v>435333.35</v>
      </c>
      <c r="J184" s="9">
        <f t="shared" si="1"/>
        <v>0.1194127243</v>
      </c>
    </row>
    <row r="185" ht="15.75" customHeight="1">
      <c r="A185" s="12">
        <v>45870.0</v>
      </c>
      <c r="B185" s="4" t="s">
        <v>137</v>
      </c>
      <c r="C185" s="8">
        <v>234263.0</v>
      </c>
      <c r="D185" s="8">
        <v>3635.0</v>
      </c>
      <c r="E185" s="10">
        <v>58.6</v>
      </c>
      <c r="F185" s="10">
        <v>213013.75</v>
      </c>
      <c r="G185" s="8">
        <v>210.0</v>
      </c>
      <c r="H185" s="10">
        <v>10076.55</v>
      </c>
      <c r="I185" s="10">
        <v>202937.2</v>
      </c>
      <c r="J185" s="9">
        <f t="shared" si="1"/>
        <v>0.05777166437</v>
      </c>
    </row>
    <row r="186" ht="15.75" customHeight="1">
      <c r="A186" s="12">
        <v>45901.0</v>
      </c>
      <c r="B186" s="4" t="s">
        <v>137</v>
      </c>
      <c r="C186" s="8">
        <v>238392.0</v>
      </c>
      <c r="D186" s="8">
        <v>5558.0</v>
      </c>
      <c r="E186" s="10">
        <v>111.8</v>
      </c>
      <c r="F186" s="10">
        <v>621378.23</v>
      </c>
      <c r="G186" s="8">
        <v>173.0</v>
      </c>
      <c r="H186" s="10">
        <v>16529.1</v>
      </c>
      <c r="I186" s="10">
        <v>604849.12</v>
      </c>
      <c r="J186" s="9">
        <f t="shared" si="1"/>
        <v>0.03112630443</v>
      </c>
    </row>
    <row r="187" ht="15.75" customHeight="1">
      <c r="A187" s="12">
        <v>45931.0</v>
      </c>
      <c r="B187" s="4" t="s">
        <v>137</v>
      </c>
      <c r="C187" s="8">
        <v>189153.0</v>
      </c>
      <c r="D187" s="8">
        <v>3373.0</v>
      </c>
      <c r="E187" s="10">
        <v>100.62</v>
      </c>
      <c r="F187" s="10">
        <v>339382.69</v>
      </c>
      <c r="G187" s="8">
        <v>403.0</v>
      </c>
      <c r="H187" s="10">
        <v>38150.49</v>
      </c>
      <c r="I187" s="10">
        <v>301232.2</v>
      </c>
      <c r="J187" s="9">
        <f t="shared" si="1"/>
        <v>0.1194782093</v>
      </c>
    </row>
    <row r="188" ht="15.75" customHeight="1">
      <c r="A188" s="12">
        <v>45962.0</v>
      </c>
      <c r="B188" s="4" t="s">
        <v>137</v>
      </c>
      <c r="C188" s="8">
        <v>188746.0</v>
      </c>
      <c r="D188" s="8">
        <v>3304.0</v>
      </c>
      <c r="E188" s="10">
        <v>161.91</v>
      </c>
      <c r="F188" s="10">
        <v>534957.43</v>
      </c>
      <c r="G188" s="8">
        <v>343.0</v>
      </c>
      <c r="H188" s="10">
        <v>54016.21</v>
      </c>
      <c r="I188" s="10">
        <v>480941.22</v>
      </c>
      <c r="J188" s="9">
        <f t="shared" si="1"/>
        <v>0.1038135593</v>
      </c>
    </row>
    <row r="189" ht="15.75" customHeight="1">
      <c r="A189" s="12">
        <v>45992.0</v>
      </c>
      <c r="B189" s="4" t="s">
        <v>137</v>
      </c>
      <c r="C189" s="8">
        <v>291839.0</v>
      </c>
      <c r="D189" s="8">
        <v>7279.0</v>
      </c>
      <c r="E189" s="10">
        <v>125.65</v>
      </c>
      <c r="F189" s="10">
        <v>914604.09</v>
      </c>
      <c r="G189" s="8">
        <v>539.0</v>
      </c>
      <c r="H189" s="10">
        <v>60593.02</v>
      </c>
      <c r="I189" s="10">
        <v>854011.06</v>
      </c>
      <c r="J189" s="9">
        <f t="shared" si="1"/>
        <v>0.07404863305</v>
      </c>
    </row>
    <row r="190" ht="15.75" customHeight="1">
      <c r="A190" s="12">
        <v>46023.0</v>
      </c>
      <c r="B190" s="4" t="s">
        <v>137</v>
      </c>
      <c r="C190" s="8">
        <v>331044.0</v>
      </c>
      <c r="D190" s="8">
        <v>7001.0</v>
      </c>
      <c r="E190" s="10">
        <v>62.09</v>
      </c>
      <c r="F190" s="10">
        <v>434669.09</v>
      </c>
      <c r="G190" s="8">
        <v>228.0</v>
      </c>
      <c r="H190" s="10">
        <v>13856.42</v>
      </c>
      <c r="I190" s="10">
        <v>420812.67</v>
      </c>
      <c r="J190" s="9">
        <f t="shared" si="1"/>
        <v>0.03256677617</v>
      </c>
    </row>
    <row r="191" ht="15.75" customHeight="1">
      <c r="A191" s="12">
        <v>46054.0</v>
      </c>
      <c r="B191" s="4" t="s">
        <v>137</v>
      </c>
      <c r="C191" s="8">
        <v>125316.0</v>
      </c>
      <c r="D191" s="8">
        <v>2395.0</v>
      </c>
      <c r="E191" s="10">
        <v>76.93</v>
      </c>
      <c r="F191" s="10">
        <v>184245.24</v>
      </c>
      <c r="G191" s="8">
        <v>255.0</v>
      </c>
      <c r="H191" s="10">
        <v>16018.49</v>
      </c>
      <c r="I191" s="10">
        <v>168226.75</v>
      </c>
      <c r="J191" s="9">
        <f t="shared" si="1"/>
        <v>0.1064718163</v>
      </c>
    </row>
    <row r="192" ht="15.75" customHeight="1">
      <c r="A192" s="12">
        <v>46082.0</v>
      </c>
      <c r="B192" s="4" t="s">
        <v>137</v>
      </c>
      <c r="C192" s="8">
        <v>107614.0</v>
      </c>
      <c r="D192" s="8">
        <v>658.0</v>
      </c>
      <c r="E192" s="10">
        <v>126.21</v>
      </c>
      <c r="F192" s="10">
        <v>83046.29</v>
      </c>
      <c r="G192" s="8">
        <v>23.0</v>
      </c>
      <c r="H192" s="10">
        <v>2378.86</v>
      </c>
      <c r="I192" s="10">
        <v>80667.43</v>
      </c>
      <c r="J192" s="9">
        <f t="shared" si="1"/>
        <v>0.03495440729</v>
      </c>
    </row>
    <row r="193" ht="15.75" customHeight="1">
      <c r="A193" s="12">
        <v>46113.0</v>
      </c>
      <c r="B193" s="4" t="s">
        <v>137</v>
      </c>
      <c r="C193" s="8">
        <v>330256.0</v>
      </c>
      <c r="D193" s="8">
        <v>3484.0</v>
      </c>
      <c r="E193" s="10">
        <v>149.23</v>
      </c>
      <c r="F193" s="10">
        <v>519902.05</v>
      </c>
      <c r="G193" s="8">
        <v>309.0</v>
      </c>
      <c r="H193" s="10">
        <v>43689.48</v>
      </c>
      <c r="I193" s="10">
        <v>476212.58</v>
      </c>
      <c r="J193" s="9">
        <f t="shared" si="1"/>
        <v>0.08869115959</v>
      </c>
    </row>
    <row r="194" ht="15.75" customHeight="1">
      <c r="A194" s="12">
        <v>45778.0</v>
      </c>
      <c r="B194" s="4" t="s">
        <v>244</v>
      </c>
      <c r="C194" s="8">
        <v>219412.0</v>
      </c>
      <c r="D194" s="8">
        <v>4771.0</v>
      </c>
      <c r="E194" s="10">
        <v>148.76</v>
      </c>
      <c r="F194" s="10">
        <v>709736.88</v>
      </c>
      <c r="G194" s="8">
        <v>279.0</v>
      </c>
      <c r="H194" s="10">
        <v>39091.23</v>
      </c>
      <c r="I194" s="10">
        <v>670645.65</v>
      </c>
      <c r="J194" s="9">
        <f t="shared" si="1"/>
        <v>0.05847830643</v>
      </c>
    </row>
    <row r="195" ht="15.75" customHeight="1">
      <c r="A195" s="12">
        <v>45809.0</v>
      </c>
      <c r="B195" s="4" t="s">
        <v>244</v>
      </c>
      <c r="C195" s="8">
        <v>352677.0</v>
      </c>
      <c r="D195" s="8">
        <v>6856.0</v>
      </c>
      <c r="E195" s="10">
        <v>97.19</v>
      </c>
      <c r="F195" s="10">
        <v>666330.89</v>
      </c>
      <c r="G195" s="8">
        <v>214.0</v>
      </c>
      <c r="H195" s="10">
        <v>19402.94</v>
      </c>
      <c r="I195" s="10">
        <v>646927.95</v>
      </c>
      <c r="J195" s="9">
        <f t="shared" si="1"/>
        <v>0.03121353559</v>
      </c>
    </row>
    <row r="196" ht="15.75" customHeight="1">
      <c r="A196" s="12">
        <v>45839.0</v>
      </c>
      <c r="B196" s="4" t="s">
        <v>244</v>
      </c>
      <c r="C196" s="8">
        <v>263302.0</v>
      </c>
      <c r="D196" s="8">
        <v>5727.0</v>
      </c>
      <c r="E196" s="10">
        <v>129.65</v>
      </c>
      <c r="F196" s="10">
        <v>742514.75</v>
      </c>
      <c r="G196" s="8">
        <v>205.0</v>
      </c>
      <c r="H196" s="10">
        <v>25648.58</v>
      </c>
      <c r="I196" s="10">
        <v>716866.16</v>
      </c>
      <c r="J196" s="9">
        <f t="shared" si="1"/>
        <v>0.03579535533</v>
      </c>
    </row>
    <row r="197" ht="15.75" customHeight="1">
      <c r="A197" s="12">
        <v>45870.0</v>
      </c>
      <c r="B197" s="4" t="s">
        <v>244</v>
      </c>
      <c r="C197" s="8">
        <v>307943.0</v>
      </c>
      <c r="D197" s="8">
        <v>2448.0</v>
      </c>
      <c r="E197" s="10">
        <v>86.53</v>
      </c>
      <c r="F197" s="10">
        <v>211825.55</v>
      </c>
      <c r="G197" s="8">
        <v>111.0</v>
      </c>
      <c r="H197" s="10">
        <v>7769.37</v>
      </c>
      <c r="I197" s="10">
        <v>204056.18</v>
      </c>
      <c r="J197" s="9">
        <f t="shared" si="1"/>
        <v>0.04534313725</v>
      </c>
    </row>
    <row r="198" ht="15.75" customHeight="1">
      <c r="A198" s="12">
        <v>45901.0</v>
      </c>
      <c r="B198" s="4" t="s">
        <v>244</v>
      </c>
      <c r="C198" s="8">
        <v>364044.0</v>
      </c>
      <c r="D198" s="8">
        <v>3266.0</v>
      </c>
      <c r="E198" s="10">
        <v>112.08</v>
      </c>
      <c r="F198" s="10">
        <v>366069.1</v>
      </c>
      <c r="G198" s="8">
        <v>148.0</v>
      </c>
      <c r="H198" s="10">
        <v>15748.61</v>
      </c>
      <c r="I198" s="10">
        <v>350320.49</v>
      </c>
      <c r="J198" s="9">
        <f t="shared" si="1"/>
        <v>0.04531537048</v>
      </c>
    </row>
    <row r="199" ht="15.75" customHeight="1">
      <c r="A199" s="12">
        <v>45931.0</v>
      </c>
      <c r="B199" s="4" t="s">
        <v>244</v>
      </c>
      <c r="C199" s="8">
        <v>46690.0</v>
      </c>
      <c r="D199" s="8">
        <v>524.0</v>
      </c>
      <c r="E199" s="10">
        <v>117.98</v>
      </c>
      <c r="F199" s="10">
        <v>61821.44</v>
      </c>
      <c r="G199" s="8">
        <v>21.0</v>
      </c>
      <c r="H199" s="10">
        <v>2213.1</v>
      </c>
      <c r="I199" s="10">
        <v>59608.35</v>
      </c>
      <c r="J199" s="9">
        <f t="shared" si="1"/>
        <v>0.04007633588</v>
      </c>
    </row>
    <row r="200" ht="15.75" customHeight="1">
      <c r="A200" s="12">
        <v>45962.0</v>
      </c>
      <c r="B200" s="4" t="s">
        <v>244</v>
      </c>
      <c r="C200" s="8">
        <v>90138.0</v>
      </c>
      <c r="D200" s="8">
        <v>1471.0</v>
      </c>
      <c r="E200" s="10">
        <v>107.54</v>
      </c>
      <c r="F200" s="10">
        <v>158193.66</v>
      </c>
      <c r="G200" s="8">
        <v>59.0</v>
      </c>
      <c r="H200" s="10">
        <v>5190.88</v>
      </c>
      <c r="I200" s="10">
        <v>153002.77</v>
      </c>
      <c r="J200" s="9">
        <f t="shared" si="1"/>
        <v>0.04010876954</v>
      </c>
    </row>
    <row r="201" ht="15.75" customHeight="1">
      <c r="A201" s="12">
        <v>45992.0</v>
      </c>
      <c r="B201" s="4" t="s">
        <v>244</v>
      </c>
      <c r="C201" s="8">
        <v>90307.0</v>
      </c>
      <c r="D201" s="8">
        <v>786.0</v>
      </c>
      <c r="E201" s="10">
        <v>121.25</v>
      </c>
      <c r="F201" s="10">
        <v>95304.77</v>
      </c>
      <c r="G201" s="8">
        <v>91.0</v>
      </c>
      <c r="H201" s="10">
        <v>10519.22</v>
      </c>
      <c r="I201" s="10">
        <v>84785.56</v>
      </c>
      <c r="J201" s="9">
        <f t="shared" si="1"/>
        <v>0.1157760814</v>
      </c>
    </row>
    <row r="202" ht="15.75" customHeight="1">
      <c r="A202" s="12">
        <v>46023.0</v>
      </c>
      <c r="B202" s="4" t="s">
        <v>244</v>
      </c>
      <c r="C202" s="8">
        <v>50472.0</v>
      </c>
      <c r="D202" s="8">
        <v>471.0</v>
      </c>
      <c r="E202" s="10">
        <v>98.07</v>
      </c>
      <c r="F202" s="10">
        <v>46193.17</v>
      </c>
      <c r="G202" s="8">
        <v>17.0</v>
      </c>
      <c r="H202" s="10">
        <v>1575.33</v>
      </c>
      <c r="I202" s="10">
        <v>44617.84</v>
      </c>
      <c r="J202" s="9">
        <f t="shared" si="1"/>
        <v>0.03609341826</v>
      </c>
    </row>
    <row r="203" ht="15.75" customHeight="1">
      <c r="A203" s="12">
        <v>46054.0</v>
      </c>
      <c r="B203" s="4" t="s">
        <v>244</v>
      </c>
      <c r="C203" s="8">
        <v>174358.0</v>
      </c>
      <c r="D203" s="8">
        <v>1945.0</v>
      </c>
      <c r="E203" s="10">
        <v>130.86</v>
      </c>
      <c r="F203" s="10">
        <v>254513.55</v>
      </c>
      <c r="G203" s="8">
        <v>223.0</v>
      </c>
      <c r="H203" s="10">
        <v>28390.43</v>
      </c>
      <c r="I203" s="10">
        <v>226123.11</v>
      </c>
      <c r="J203" s="9">
        <f t="shared" si="1"/>
        <v>0.1146529563</v>
      </c>
    </row>
    <row r="204" ht="15.75" customHeight="1">
      <c r="A204" s="12">
        <v>46082.0</v>
      </c>
      <c r="B204" s="4" t="s">
        <v>244</v>
      </c>
      <c r="C204" s="8">
        <v>114591.0</v>
      </c>
      <c r="D204" s="8">
        <v>1284.0</v>
      </c>
      <c r="E204" s="10">
        <v>98.59</v>
      </c>
      <c r="F204" s="10">
        <v>126584.71</v>
      </c>
      <c r="G204" s="8">
        <v>71.0</v>
      </c>
      <c r="H204" s="10">
        <v>5990.22</v>
      </c>
      <c r="I204" s="10">
        <v>120594.48</v>
      </c>
      <c r="J204" s="9">
        <f t="shared" si="1"/>
        <v>0.05529595016</v>
      </c>
    </row>
    <row r="205" ht="15.75" customHeight="1">
      <c r="A205" s="12">
        <v>46113.0</v>
      </c>
      <c r="B205" s="4" t="s">
        <v>244</v>
      </c>
      <c r="C205" s="8">
        <v>341243.0</v>
      </c>
      <c r="D205" s="8">
        <v>3859.0</v>
      </c>
      <c r="E205" s="10">
        <v>82.18</v>
      </c>
      <c r="F205" s="10">
        <v>317123.98</v>
      </c>
      <c r="G205" s="8">
        <v>181.0</v>
      </c>
      <c r="H205" s="10">
        <v>14527.81</v>
      </c>
      <c r="I205" s="10">
        <v>302596.17</v>
      </c>
      <c r="J205" s="9">
        <f t="shared" si="1"/>
        <v>0.04690334283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0.0"/>
    <col customWidth="1" min="3" max="3" width="14.0"/>
    <col customWidth="1" min="4" max="4" width="12.0"/>
    <col customWidth="1" min="5" max="5" width="13.0"/>
    <col customWidth="1" min="6" max="7" width="12.0"/>
    <col customWidth="1" min="8" max="9" width="23.0"/>
    <col customWidth="1" min="10" max="10" width="14.0"/>
    <col customWidth="1" min="11" max="11" width="17.0"/>
    <col customWidth="1" min="12" max="12" width="25.0"/>
    <col customWidth="1" min="13" max="13" width="18.0"/>
    <col customWidth="1" min="14" max="14" width="14.0"/>
    <col customWidth="1" min="15" max="15" width="23.0"/>
    <col customWidth="1" min="16" max="26" width="8.71"/>
  </cols>
  <sheetData>
    <row r="1" ht="31.5" customHeight="1">
      <c r="A1" s="5" t="s">
        <v>769</v>
      </c>
      <c r="B1" s="5" t="s">
        <v>81</v>
      </c>
      <c r="C1" s="5" t="s">
        <v>1019</v>
      </c>
      <c r="D1" s="5" t="s">
        <v>1020</v>
      </c>
      <c r="E1" s="5" t="s">
        <v>1021</v>
      </c>
      <c r="F1" s="5" t="s">
        <v>35</v>
      </c>
      <c r="G1" s="5" t="s">
        <v>38</v>
      </c>
      <c r="H1" s="5" t="s">
        <v>37</v>
      </c>
      <c r="I1" s="5" t="s">
        <v>40</v>
      </c>
      <c r="J1" s="5" t="s">
        <v>1022</v>
      </c>
      <c r="K1" s="5" t="s">
        <v>1023</v>
      </c>
      <c r="L1" s="5" t="s">
        <v>1024</v>
      </c>
      <c r="M1" s="5" t="s">
        <v>1025</v>
      </c>
      <c r="N1" s="5" t="s">
        <v>1026</v>
      </c>
      <c r="O1" s="5" t="s">
        <v>47</v>
      </c>
    </row>
    <row r="2">
      <c r="A2" s="12">
        <v>45778.0</v>
      </c>
      <c r="B2" s="4" t="s">
        <v>300</v>
      </c>
      <c r="C2" s="4" t="s">
        <v>1027</v>
      </c>
      <c r="D2" s="4" t="s">
        <v>1028</v>
      </c>
      <c r="E2" s="8">
        <v>19607.0</v>
      </c>
      <c r="F2" s="8">
        <v>10702.0</v>
      </c>
      <c r="G2" s="8">
        <v>943.0</v>
      </c>
      <c r="H2" s="9">
        <f t="shared" ref="H2:H289" si="1">IFERROR(F2/E2,0)</f>
        <v>0.5458254705</v>
      </c>
      <c r="I2" s="9">
        <f t="shared" ref="I2:I289" si="2">IFERROR(G2/E2,0)</f>
        <v>0.04809506809</v>
      </c>
      <c r="J2" s="8">
        <v>133.0</v>
      </c>
      <c r="K2" s="8">
        <v>105.0</v>
      </c>
      <c r="L2" s="9">
        <f t="shared" ref="L2:L289" si="3">IFERROR(1-K2/J2,0)</f>
        <v>0.2105263158</v>
      </c>
      <c r="M2" s="8">
        <v>121.0</v>
      </c>
      <c r="N2" s="10">
        <v>9657.83</v>
      </c>
      <c r="O2" s="11">
        <f t="shared" ref="O2:O289" si="4">IFERROR(N2/E2,0)</f>
        <v>0.4925705105</v>
      </c>
    </row>
    <row r="3">
      <c r="A3" s="12">
        <v>45809.0</v>
      </c>
      <c r="B3" s="4" t="s">
        <v>300</v>
      </c>
      <c r="C3" s="4" t="s">
        <v>1027</v>
      </c>
      <c r="D3" s="4" t="s">
        <v>1028</v>
      </c>
      <c r="E3" s="8">
        <v>42278.0</v>
      </c>
      <c r="F3" s="8">
        <v>18599.0</v>
      </c>
      <c r="G3" s="8">
        <v>2123.0</v>
      </c>
      <c r="H3" s="9">
        <f t="shared" si="1"/>
        <v>0.4399214722</v>
      </c>
      <c r="I3" s="9">
        <f t="shared" si="2"/>
        <v>0.05021524197</v>
      </c>
      <c r="J3" s="8">
        <v>417.0</v>
      </c>
      <c r="K3" s="8">
        <v>327.0</v>
      </c>
      <c r="L3" s="9">
        <f t="shared" si="3"/>
        <v>0.2158273381</v>
      </c>
      <c r="M3" s="8">
        <v>444.0</v>
      </c>
      <c r="N3" s="10">
        <v>36026.53</v>
      </c>
      <c r="O3" s="11">
        <f t="shared" si="4"/>
        <v>0.8521342069</v>
      </c>
    </row>
    <row r="4">
      <c r="A4" s="12">
        <v>45839.0</v>
      </c>
      <c r="B4" s="4" t="s">
        <v>300</v>
      </c>
      <c r="C4" s="4" t="s">
        <v>1027</v>
      </c>
      <c r="D4" s="4" t="s">
        <v>1028</v>
      </c>
      <c r="E4" s="8">
        <v>43255.0</v>
      </c>
      <c r="F4" s="8">
        <v>20059.0</v>
      </c>
      <c r="G4" s="8">
        <v>2799.0</v>
      </c>
      <c r="H4" s="9">
        <f t="shared" si="1"/>
        <v>0.4637382962</v>
      </c>
      <c r="I4" s="9">
        <f t="shared" si="2"/>
        <v>0.06470928216</v>
      </c>
      <c r="J4" s="8">
        <v>393.0</v>
      </c>
      <c r="K4" s="8">
        <v>342.0</v>
      </c>
      <c r="L4" s="9">
        <f t="shared" si="3"/>
        <v>0.1297709924</v>
      </c>
      <c r="M4" s="8">
        <v>395.0</v>
      </c>
      <c r="N4" s="10">
        <v>29751.93</v>
      </c>
      <c r="O4" s="11">
        <f t="shared" si="4"/>
        <v>0.6878263785</v>
      </c>
    </row>
    <row r="5">
      <c r="A5" s="12">
        <v>45870.0</v>
      </c>
      <c r="B5" s="4" t="s">
        <v>300</v>
      </c>
      <c r="C5" s="4" t="s">
        <v>1027</v>
      </c>
      <c r="D5" s="4" t="s">
        <v>1028</v>
      </c>
      <c r="E5" s="8">
        <v>30425.0</v>
      </c>
      <c r="F5" s="8">
        <v>14906.0</v>
      </c>
      <c r="G5" s="8">
        <v>1569.0</v>
      </c>
      <c r="H5" s="9">
        <f t="shared" si="1"/>
        <v>0.4899260477</v>
      </c>
      <c r="I5" s="9">
        <f t="shared" si="2"/>
        <v>0.05156943303</v>
      </c>
      <c r="J5" s="8">
        <v>307.0</v>
      </c>
      <c r="K5" s="8">
        <v>273.0</v>
      </c>
      <c r="L5" s="9">
        <f t="shared" si="3"/>
        <v>0.1107491857</v>
      </c>
      <c r="M5" s="8">
        <v>116.0</v>
      </c>
      <c r="N5" s="10">
        <v>12110.93</v>
      </c>
      <c r="O5" s="11">
        <f t="shared" si="4"/>
        <v>0.3980585045</v>
      </c>
    </row>
    <row r="6">
      <c r="A6" s="12">
        <v>45901.0</v>
      </c>
      <c r="B6" s="4" t="s">
        <v>300</v>
      </c>
      <c r="C6" s="4" t="s">
        <v>1027</v>
      </c>
      <c r="D6" s="4" t="s">
        <v>1028</v>
      </c>
      <c r="E6" s="8">
        <v>24922.0</v>
      </c>
      <c r="F6" s="8">
        <v>9810.0</v>
      </c>
      <c r="G6" s="8">
        <v>865.0</v>
      </c>
      <c r="H6" s="9">
        <f t="shared" si="1"/>
        <v>0.3936281197</v>
      </c>
      <c r="I6" s="9">
        <f t="shared" si="2"/>
        <v>0.03470828986</v>
      </c>
      <c r="J6" s="8">
        <v>180.0</v>
      </c>
      <c r="K6" s="8">
        <v>153.0</v>
      </c>
      <c r="L6" s="9">
        <f t="shared" si="3"/>
        <v>0.15</v>
      </c>
      <c r="M6" s="8">
        <v>216.0</v>
      </c>
      <c r="N6" s="10">
        <v>18686.72</v>
      </c>
      <c r="O6" s="11">
        <f t="shared" si="4"/>
        <v>0.7498082016</v>
      </c>
    </row>
    <row r="7">
      <c r="A7" s="12">
        <v>45931.0</v>
      </c>
      <c r="B7" s="4" t="s">
        <v>300</v>
      </c>
      <c r="C7" s="4" t="s">
        <v>1027</v>
      </c>
      <c r="D7" s="4" t="s">
        <v>1028</v>
      </c>
      <c r="E7" s="8">
        <v>38621.0</v>
      </c>
      <c r="F7" s="8">
        <v>18050.0</v>
      </c>
      <c r="G7" s="8">
        <v>1733.0</v>
      </c>
      <c r="H7" s="9">
        <f t="shared" si="1"/>
        <v>0.4673623158</v>
      </c>
      <c r="I7" s="9">
        <f t="shared" si="2"/>
        <v>0.04487196085</v>
      </c>
      <c r="J7" s="8">
        <v>230.0</v>
      </c>
      <c r="K7" s="8">
        <v>198.0</v>
      </c>
      <c r="L7" s="9">
        <f t="shared" si="3"/>
        <v>0.1391304348</v>
      </c>
      <c r="M7" s="8">
        <v>127.0</v>
      </c>
      <c r="N7" s="10">
        <v>12709.82</v>
      </c>
      <c r="O7" s="11">
        <f t="shared" si="4"/>
        <v>0.3290909091</v>
      </c>
    </row>
    <row r="8">
      <c r="A8" s="12">
        <v>45962.0</v>
      </c>
      <c r="B8" s="4" t="s">
        <v>300</v>
      </c>
      <c r="C8" s="4" t="s">
        <v>1027</v>
      </c>
      <c r="D8" s="4" t="s">
        <v>1028</v>
      </c>
      <c r="E8" s="8">
        <v>31519.0</v>
      </c>
      <c r="F8" s="8">
        <v>16511.0</v>
      </c>
      <c r="G8" s="8">
        <v>1164.0</v>
      </c>
      <c r="H8" s="9">
        <f t="shared" si="1"/>
        <v>0.5238427615</v>
      </c>
      <c r="I8" s="9">
        <f t="shared" si="2"/>
        <v>0.03693010565</v>
      </c>
      <c r="J8" s="8">
        <v>161.0</v>
      </c>
      <c r="K8" s="8">
        <v>133.0</v>
      </c>
      <c r="L8" s="9">
        <f t="shared" si="3"/>
        <v>0.1739130435</v>
      </c>
      <c r="M8" s="8">
        <v>278.0</v>
      </c>
      <c r="N8" s="10">
        <v>17795.46</v>
      </c>
      <c r="O8" s="11">
        <f t="shared" si="4"/>
        <v>0.5645946889</v>
      </c>
    </row>
    <row r="9">
      <c r="A9" s="12">
        <v>45992.0</v>
      </c>
      <c r="B9" s="4" t="s">
        <v>300</v>
      </c>
      <c r="C9" s="4" t="s">
        <v>1027</v>
      </c>
      <c r="D9" s="4" t="s">
        <v>1028</v>
      </c>
      <c r="E9" s="8">
        <v>31462.0</v>
      </c>
      <c r="F9" s="8">
        <v>12938.0</v>
      </c>
      <c r="G9" s="8">
        <v>1328.0</v>
      </c>
      <c r="H9" s="9">
        <f t="shared" si="1"/>
        <v>0.4112262412</v>
      </c>
      <c r="I9" s="9">
        <f t="shared" si="2"/>
        <v>0.04220964974</v>
      </c>
      <c r="J9" s="8">
        <v>140.0</v>
      </c>
      <c r="K9" s="8">
        <v>109.0</v>
      </c>
      <c r="L9" s="9">
        <f t="shared" si="3"/>
        <v>0.2214285714</v>
      </c>
      <c r="M9" s="8">
        <v>323.0</v>
      </c>
      <c r="N9" s="10">
        <v>27579.92</v>
      </c>
      <c r="O9" s="11">
        <f t="shared" si="4"/>
        <v>0.8766105143</v>
      </c>
    </row>
    <row r="10">
      <c r="A10" s="12">
        <v>46023.0</v>
      </c>
      <c r="B10" s="4" t="s">
        <v>300</v>
      </c>
      <c r="C10" s="4" t="s">
        <v>1027</v>
      </c>
      <c r="D10" s="4" t="s">
        <v>1028</v>
      </c>
      <c r="E10" s="8">
        <v>45746.0</v>
      </c>
      <c r="F10" s="8">
        <v>22365.0</v>
      </c>
      <c r="G10" s="8">
        <v>2709.0</v>
      </c>
      <c r="H10" s="9">
        <f t="shared" si="1"/>
        <v>0.488895204</v>
      </c>
      <c r="I10" s="9">
        <f t="shared" si="2"/>
        <v>0.05921829231</v>
      </c>
      <c r="J10" s="8">
        <v>396.0</v>
      </c>
      <c r="K10" s="8">
        <v>322.0</v>
      </c>
      <c r="L10" s="9">
        <f t="shared" si="3"/>
        <v>0.1868686869</v>
      </c>
      <c r="M10" s="8">
        <v>435.0</v>
      </c>
      <c r="N10" s="10">
        <v>40914.58</v>
      </c>
      <c r="O10" s="11">
        <f t="shared" si="4"/>
        <v>0.8943859572</v>
      </c>
    </row>
    <row r="11">
      <c r="A11" s="12">
        <v>46054.0</v>
      </c>
      <c r="B11" s="4" t="s">
        <v>300</v>
      </c>
      <c r="C11" s="4" t="s">
        <v>1027</v>
      </c>
      <c r="D11" s="4" t="s">
        <v>1028</v>
      </c>
      <c r="E11" s="8">
        <v>39624.0</v>
      </c>
      <c r="F11" s="8">
        <v>19245.0</v>
      </c>
      <c r="G11" s="8">
        <v>1751.0</v>
      </c>
      <c r="H11" s="9">
        <f t="shared" si="1"/>
        <v>0.4856904906</v>
      </c>
      <c r="I11" s="9">
        <f t="shared" si="2"/>
        <v>0.04419038966</v>
      </c>
      <c r="J11" s="8">
        <v>378.0</v>
      </c>
      <c r="K11" s="8">
        <v>341.0</v>
      </c>
      <c r="L11" s="9">
        <f t="shared" si="3"/>
        <v>0.09788359788</v>
      </c>
      <c r="M11" s="8">
        <v>391.0</v>
      </c>
      <c r="N11" s="10">
        <v>43812.31</v>
      </c>
      <c r="O11" s="11">
        <f t="shared" si="4"/>
        <v>1.105701343</v>
      </c>
    </row>
    <row r="12">
      <c r="A12" s="12">
        <v>46082.0</v>
      </c>
      <c r="B12" s="4" t="s">
        <v>300</v>
      </c>
      <c r="C12" s="4" t="s">
        <v>1027</v>
      </c>
      <c r="D12" s="4" t="s">
        <v>1028</v>
      </c>
      <c r="E12" s="8">
        <v>41224.0</v>
      </c>
      <c r="F12" s="8">
        <v>15317.0</v>
      </c>
      <c r="G12" s="8">
        <v>1528.0</v>
      </c>
      <c r="H12" s="9">
        <f t="shared" si="1"/>
        <v>0.3715554046</v>
      </c>
      <c r="I12" s="9">
        <f t="shared" si="2"/>
        <v>0.03706578692</v>
      </c>
      <c r="J12" s="8">
        <v>179.0</v>
      </c>
      <c r="K12" s="8">
        <v>154.0</v>
      </c>
      <c r="L12" s="9">
        <f t="shared" si="3"/>
        <v>0.1396648045</v>
      </c>
      <c r="M12" s="8">
        <v>343.0</v>
      </c>
      <c r="N12" s="10">
        <v>23269.65</v>
      </c>
      <c r="O12" s="11">
        <f t="shared" si="4"/>
        <v>0.5644685135</v>
      </c>
    </row>
    <row r="13">
      <c r="A13" s="12">
        <v>46113.0</v>
      </c>
      <c r="B13" s="4" t="s">
        <v>300</v>
      </c>
      <c r="C13" s="4" t="s">
        <v>1027</v>
      </c>
      <c r="D13" s="4" t="s">
        <v>1028</v>
      </c>
      <c r="E13" s="8">
        <v>18904.0</v>
      </c>
      <c r="F13" s="8">
        <v>10103.0</v>
      </c>
      <c r="G13" s="8">
        <v>1334.0</v>
      </c>
      <c r="H13" s="9">
        <f t="shared" si="1"/>
        <v>0.5344371562</v>
      </c>
      <c r="I13" s="9">
        <f t="shared" si="2"/>
        <v>0.07056707575</v>
      </c>
      <c r="J13" s="8">
        <v>286.0</v>
      </c>
      <c r="K13" s="8">
        <v>260.0</v>
      </c>
      <c r="L13" s="9">
        <f t="shared" si="3"/>
        <v>0.09090909091</v>
      </c>
      <c r="M13" s="8">
        <v>90.0</v>
      </c>
      <c r="N13" s="10">
        <v>10471.11</v>
      </c>
      <c r="O13" s="11">
        <f t="shared" si="4"/>
        <v>0.5539097545</v>
      </c>
    </row>
    <row r="14">
      <c r="A14" s="12">
        <v>45778.0</v>
      </c>
      <c r="B14" s="4" t="s">
        <v>1029</v>
      </c>
      <c r="C14" s="4" t="s">
        <v>1027</v>
      </c>
      <c r="D14" s="4" t="s">
        <v>1028</v>
      </c>
      <c r="E14" s="8">
        <v>17145.0</v>
      </c>
      <c r="F14" s="8">
        <v>6446.0</v>
      </c>
      <c r="G14" s="8">
        <v>601.0</v>
      </c>
      <c r="H14" s="9">
        <f t="shared" si="1"/>
        <v>0.3759696705</v>
      </c>
      <c r="I14" s="9">
        <f t="shared" si="2"/>
        <v>0.03505395159</v>
      </c>
      <c r="J14" s="8">
        <v>128.0</v>
      </c>
      <c r="K14" s="8">
        <v>117.0</v>
      </c>
      <c r="L14" s="9">
        <f t="shared" si="3"/>
        <v>0.0859375</v>
      </c>
      <c r="M14" s="8">
        <v>99.0</v>
      </c>
      <c r="N14" s="10">
        <v>10290.99</v>
      </c>
      <c r="O14" s="11">
        <f t="shared" si="4"/>
        <v>0.6002327209</v>
      </c>
    </row>
    <row r="15">
      <c r="A15" s="12">
        <v>45809.0</v>
      </c>
      <c r="B15" s="4" t="s">
        <v>1029</v>
      </c>
      <c r="C15" s="4" t="s">
        <v>1027</v>
      </c>
      <c r="D15" s="4" t="s">
        <v>1028</v>
      </c>
      <c r="E15" s="8">
        <v>30682.0</v>
      </c>
      <c r="F15" s="8">
        <v>13553.0</v>
      </c>
      <c r="G15" s="8">
        <v>1105.0</v>
      </c>
      <c r="H15" s="9">
        <f t="shared" si="1"/>
        <v>0.4417247898</v>
      </c>
      <c r="I15" s="9">
        <f t="shared" si="2"/>
        <v>0.03601460139</v>
      </c>
      <c r="J15" s="8">
        <v>88.0</v>
      </c>
      <c r="K15" s="8">
        <v>70.0</v>
      </c>
      <c r="L15" s="9">
        <f t="shared" si="3"/>
        <v>0.2045454545</v>
      </c>
      <c r="M15" s="8">
        <v>335.0</v>
      </c>
      <c r="N15" s="10">
        <v>25485.77</v>
      </c>
      <c r="O15" s="11">
        <f t="shared" si="4"/>
        <v>0.8306423962</v>
      </c>
    </row>
    <row r="16">
      <c r="A16" s="12">
        <v>45839.0</v>
      </c>
      <c r="B16" s="4" t="s">
        <v>1029</v>
      </c>
      <c r="C16" s="4" t="s">
        <v>1027</v>
      </c>
      <c r="D16" s="4" t="s">
        <v>1028</v>
      </c>
      <c r="E16" s="8">
        <v>13267.0</v>
      </c>
      <c r="F16" s="8">
        <v>5133.0</v>
      </c>
      <c r="G16" s="8">
        <v>667.0</v>
      </c>
      <c r="H16" s="9">
        <f t="shared" si="1"/>
        <v>0.3868998266</v>
      </c>
      <c r="I16" s="9">
        <f t="shared" si="2"/>
        <v>0.05027511872</v>
      </c>
      <c r="J16" s="8">
        <v>94.0</v>
      </c>
      <c r="K16" s="8">
        <v>82.0</v>
      </c>
      <c r="L16" s="9">
        <f t="shared" si="3"/>
        <v>0.1276595745</v>
      </c>
      <c r="M16" s="8">
        <v>58.0</v>
      </c>
      <c r="N16" s="10">
        <v>5296.61</v>
      </c>
      <c r="O16" s="11">
        <f t="shared" si="4"/>
        <v>0.3992319288</v>
      </c>
    </row>
    <row r="17">
      <c r="A17" s="12">
        <v>45870.0</v>
      </c>
      <c r="B17" s="4" t="s">
        <v>1029</v>
      </c>
      <c r="C17" s="4" t="s">
        <v>1027</v>
      </c>
      <c r="D17" s="4" t="s">
        <v>1028</v>
      </c>
      <c r="E17" s="8">
        <v>32527.0</v>
      </c>
      <c r="F17" s="8">
        <v>11416.0</v>
      </c>
      <c r="G17" s="8">
        <v>926.0</v>
      </c>
      <c r="H17" s="9">
        <f t="shared" si="1"/>
        <v>0.3509699634</v>
      </c>
      <c r="I17" s="9">
        <f t="shared" si="2"/>
        <v>0.02846865681</v>
      </c>
      <c r="J17" s="8">
        <v>87.0</v>
      </c>
      <c r="K17" s="8">
        <v>74.0</v>
      </c>
      <c r="L17" s="9">
        <f t="shared" si="3"/>
        <v>0.1494252874</v>
      </c>
      <c r="M17" s="8">
        <v>212.0</v>
      </c>
      <c r="N17" s="10">
        <v>14998.9</v>
      </c>
      <c r="O17" s="11">
        <f t="shared" si="4"/>
        <v>0.4611215298</v>
      </c>
    </row>
    <row r="18">
      <c r="A18" s="12">
        <v>45901.0</v>
      </c>
      <c r="B18" s="4" t="s">
        <v>1029</v>
      </c>
      <c r="C18" s="4" t="s">
        <v>1027</v>
      </c>
      <c r="D18" s="4" t="s">
        <v>1028</v>
      </c>
      <c r="E18" s="8">
        <v>38953.0</v>
      </c>
      <c r="F18" s="8">
        <v>18841.0</v>
      </c>
      <c r="G18" s="8">
        <v>2415.0</v>
      </c>
      <c r="H18" s="9">
        <f t="shared" si="1"/>
        <v>0.4836854671</v>
      </c>
      <c r="I18" s="9">
        <f t="shared" si="2"/>
        <v>0.06199779221</v>
      </c>
      <c r="J18" s="8">
        <v>431.0</v>
      </c>
      <c r="K18" s="8">
        <v>382.0</v>
      </c>
      <c r="L18" s="9">
        <f t="shared" si="3"/>
        <v>0.1136890951</v>
      </c>
      <c r="M18" s="8">
        <v>150.0</v>
      </c>
      <c r="N18" s="10">
        <v>9856.52</v>
      </c>
      <c r="O18" s="11">
        <f t="shared" si="4"/>
        <v>0.2530362231</v>
      </c>
    </row>
    <row r="19">
      <c r="A19" s="12">
        <v>45931.0</v>
      </c>
      <c r="B19" s="4" t="s">
        <v>1029</v>
      </c>
      <c r="C19" s="4" t="s">
        <v>1027</v>
      </c>
      <c r="D19" s="4" t="s">
        <v>1028</v>
      </c>
      <c r="E19" s="8">
        <v>16750.0</v>
      </c>
      <c r="F19" s="8">
        <v>7202.0</v>
      </c>
      <c r="G19" s="8">
        <v>669.0</v>
      </c>
      <c r="H19" s="9">
        <f t="shared" si="1"/>
        <v>0.4299701493</v>
      </c>
      <c r="I19" s="9">
        <f t="shared" si="2"/>
        <v>0.03994029851</v>
      </c>
      <c r="J19" s="8">
        <v>80.0</v>
      </c>
      <c r="K19" s="8">
        <v>69.0</v>
      </c>
      <c r="L19" s="9">
        <f t="shared" si="3"/>
        <v>0.1375</v>
      </c>
      <c r="M19" s="8">
        <v>181.0</v>
      </c>
      <c r="N19" s="10">
        <v>16980.76</v>
      </c>
      <c r="O19" s="11">
        <f t="shared" si="4"/>
        <v>1.013776716</v>
      </c>
    </row>
    <row r="20">
      <c r="A20" s="12">
        <v>45962.0</v>
      </c>
      <c r="B20" s="4" t="s">
        <v>1029</v>
      </c>
      <c r="C20" s="4" t="s">
        <v>1027</v>
      </c>
      <c r="D20" s="4" t="s">
        <v>1028</v>
      </c>
      <c r="E20" s="8">
        <v>43003.0</v>
      </c>
      <c r="F20" s="8">
        <v>15667.0</v>
      </c>
      <c r="G20" s="8">
        <v>1632.0</v>
      </c>
      <c r="H20" s="9">
        <f t="shared" si="1"/>
        <v>0.3643234193</v>
      </c>
      <c r="I20" s="9">
        <f t="shared" si="2"/>
        <v>0.03795084064</v>
      </c>
      <c r="J20" s="8">
        <v>299.0</v>
      </c>
      <c r="K20" s="8">
        <v>257.0</v>
      </c>
      <c r="L20" s="9">
        <f t="shared" si="3"/>
        <v>0.1404682274</v>
      </c>
      <c r="M20" s="8">
        <v>214.0</v>
      </c>
      <c r="N20" s="10">
        <v>20225.43</v>
      </c>
      <c r="O20" s="11">
        <f t="shared" si="4"/>
        <v>0.4703260238</v>
      </c>
    </row>
    <row r="21" ht="15.75" customHeight="1">
      <c r="A21" s="12">
        <v>45992.0</v>
      </c>
      <c r="B21" s="4" t="s">
        <v>1029</v>
      </c>
      <c r="C21" s="4" t="s">
        <v>1027</v>
      </c>
      <c r="D21" s="4" t="s">
        <v>1028</v>
      </c>
      <c r="E21" s="8">
        <v>23411.0</v>
      </c>
      <c r="F21" s="8">
        <v>9922.0</v>
      </c>
      <c r="G21" s="8">
        <v>930.0</v>
      </c>
      <c r="H21" s="9">
        <f t="shared" si="1"/>
        <v>0.4238178634</v>
      </c>
      <c r="I21" s="9">
        <f t="shared" si="2"/>
        <v>0.03972491564</v>
      </c>
      <c r="J21" s="8">
        <v>181.0</v>
      </c>
      <c r="K21" s="8">
        <v>156.0</v>
      </c>
      <c r="L21" s="9">
        <f t="shared" si="3"/>
        <v>0.138121547</v>
      </c>
      <c r="M21" s="8">
        <v>228.0</v>
      </c>
      <c r="N21" s="10">
        <v>25735.54</v>
      </c>
      <c r="O21" s="11">
        <f t="shared" si="4"/>
        <v>1.09929264</v>
      </c>
    </row>
    <row r="22" ht="15.75" customHeight="1">
      <c r="A22" s="12">
        <v>46023.0</v>
      </c>
      <c r="B22" s="4" t="s">
        <v>1029</v>
      </c>
      <c r="C22" s="4" t="s">
        <v>1027</v>
      </c>
      <c r="D22" s="4" t="s">
        <v>1028</v>
      </c>
      <c r="E22" s="8">
        <v>23078.0</v>
      </c>
      <c r="F22" s="8">
        <v>8714.0</v>
      </c>
      <c r="G22" s="8">
        <v>724.0</v>
      </c>
      <c r="H22" s="9">
        <f t="shared" si="1"/>
        <v>0.3775890458</v>
      </c>
      <c r="I22" s="9">
        <f t="shared" si="2"/>
        <v>0.03137186931</v>
      </c>
      <c r="J22" s="8">
        <v>79.0</v>
      </c>
      <c r="K22" s="8">
        <v>66.0</v>
      </c>
      <c r="L22" s="9">
        <f t="shared" si="3"/>
        <v>0.164556962</v>
      </c>
      <c r="M22" s="8">
        <v>139.0</v>
      </c>
      <c r="N22" s="10">
        <v>13516.73</v>
      </c>
      <c r="O22" s="11">
        <f t="shared" si="4"/>
        <v>0.5856976341</v>
      </c>
    </row>
    <row r="23" ht="15.75" customHeight="1">
      <c r="A23" s="12">
        <v>46054.0</v>
      </c>
      <c r="B23" s="4" t="s">
        <v>1029</v>
      </c>
      <c r="C23" s="4" t="s">
        <v>1027</v>
      </c>
      <c r="D23" s="4" t="s">
        <v>1028</v>
      </c>
      <c r="E23" s="8">
        <v>35899.0</v>
      </c>
      <c r="F23" s="8">
        <v>13646.0</v>
      </c>
      <c r="G23" s="8">
        <v>1252.0</v>
      </c>
      <c r="H23" s="9">
        <f t="shared" si="1"/>
        <v>0.380122009</v>
      </c>
      <c r="I23" s="9">
        <f t="shared" si="2"/>
        <v>0.03487562328</v>
      </c>
      <c r="J23" s="8">
        <v>218.0</v>
      </c>
      <c r="K23" s="8">
        <v>184.0</v>
      </c>
      <c r="L23" s="9">
        <f t="shared" si="3"/>
        <v>0.1559633028</v>
      </c>
      <c r="M23" s="8">
        <v>192.0</v>
      </c>
      <c r="N23" s="10">
        <v>22137.8</v>
      </c>
      <c r="O23" s="11">
        <f t="shared" si="4"/>
        <v>0.616668988</v>
      </c>
    </row>
    <row r="24" ht="15.75" customHeight="1">
      <c r="A24" s="12">
        <v>46082.0</v>
      </c>
      <c r="B24" s="4" t="s">
        <v>1029</v>
      </c>
      <c r="C24" s="4" t="s">
        <v>1027</v>
      </c>
      <c r="D24" s="4" t="s">
        <v>1028</v>
      </c>
      <c r="E24" s="8">
        <v>19764.0</v>
      </c>
      <c r="F24" s="8">
        <v>7563.0</v>
      </c>
      <c r="G24" s="8">
        <v>890.0</v>
      </c>
      <c r="H24" s="9">
        <f t="shared" si="1"/>
        <v>0.3826654523</v>
      </c>
      <c r="I24" s="9">
        <f t="shared" si="2"/>
        <v>0.04503137017</v>
      </c>
      <c r="J24" s="8">
        <v>175.0</v>
      </c>
      <c r="K24" s="8">
        <v>147.0</v>
      </c>
      <c r="L24" s="9">
        <f t="shared" si="3"/>
        <v>0.16</v>
      </c>
      <c r="M24" s="8">
        <v>73.0</v>
      </c>
      <c r="N24" s="10">
        <v>7238.97</v>
      </c>
      <c r="O24" s="11">
        <f t="shared" si="4"/>
        <v>0.3662704918</v>
      </c>
    </row>
    <row r="25" ht="15.75" customHeight="1">
      <c r="A25" s="12">
        <v>46113.0</v>
      </c>
      <c r="B25" s="4" t="s">
        <v>1029</v>
      </c>
      <c r="C25" s="4" t="s">
        <v>1027</v>
      </c>
      <c r="D25" s="4" t="s">
        <v>1028</v>
      </c>
      <c r="E25" s="8">
        <v>14645.0</v>
      </c>
      <c r="F25" s="8">
        <v>7046.0</v>
      </c>
      <c r="G25" s="8">
        <v>692.0</v>
      </c>
      <c r="H25" s="9">
        <f t="shared" si="1"/>
        <v>0.4811198361</v>
      </c>
      <c r="I25" s="9">
        <f t="shared" si="2"/>
        <v>0.04725162171</v>
      </c>
      <c r="J25" s="8">
        <v>133.0</v>
      </c>
      <c r="K25" s="8">
        <v>106.0</v>
      </c>
      <c r="L25" s="9">
        <f t="shared" si="3"/>
        <v>0.2030075188</v>
      </c>
      <c r="M25" s="8">
        <v>60.0</v>
      </c>
      <c r="N25" s="10">
        <v>5305.09</v>
      </c>
      <c r="O25" s="11">
        <f t="shared" si="4"/>
        <v>0.3622458177</v>
      </c>
    </row>
    <row r="26" ht="15.75" customHeight="1">
      <c r="A26" s="12">
        <v>45778.0</v>
      </c>
      <c r="B26" s="4" t="s">
        <v>509</v>
      </c>
      <c r="C26" s="4" t="s">
        <v>1027</v>
      </c>
      <c r="D26" s="4" t="s">
        <v>1028</v>
      </c>
      <c r="E26" s="8">
        <v>37798.0</v>
      </c>
      <c r="F26" s="8">
        <v>13316.0</v>
      </c>
      <c r="G26" s="8">
        <v>1541.0</v>
      </c>
      <c r="H26" s="9">
        <f t="shared" si="1"/>
        <v>0.3522937722</v>
      </c>
      <c r="I26" s="9">
        <f t="shared" si="2"/>
        <v>0.04076935288</v>
      </c>
      <c r="J26" s="8">
        <v>267.0</v>
      </c>
      <c r="K26" s="8">
        <v>224.0</v>
      </c>
      <c r="L26" s="9">
        <f t="shared" si="3"/>
        <v>0.1610486891</v>
      </c>
      <c r="M26" s="8">
        <v>131.0</v>
      </c>
      <c r="N26" s="10">
        <v>10938.35</v>
      </c>
      <c r="O26" s="11">
        <f t="shared" si="4"/>
        <v>0.2893896502</v>
      </c>
    </row>
    <row r="27" ht="15.75" customHeight="1">
      <c r="A27" s="12">
        <v>45809.0</v>
      </c>
      <c r="B27" s="4" t="s">
        <v>509</v>
      </c>
      <c r="C27" s="4" t="s">
        <v>1027</v>
      </c>
      <c r="D27" s="4" t="s">
        <v>1028</v>
      </c>
      <c r="E27" s="8">
        <v>15599.0</v>
      </c>
      <c r="F27" s="8">
        <v>7342.0</v>
      </c>
      <c r="G27" s="8">
        <v>926.0</v>
      </c>
      <c r="H27" s="9">
        <f t="shared" si="1"/>
        <v>0.4706711969</v>
      </c>
      <c r="I27" s="9">
        <f t="shared" si="2"/>
        <v>0.05936277967</v>
      </c>
      <c r="J27" s="8">
        <v>132.0</v>
      </c>
      <c r="K27" s="8">
        <v>109.0</v>
      </c>
      <c r="L27" s="9">
        <f t="shared" si="3"/>
        <v>0.1742424242</v>
      </c>
      <c r="M27" s="8">
        <v>113.0</v>
      </c>
      <c r="N27" s="10">
        <v>8825.73</v>
      </c>
      <c r="O27" s="11">
        <f t="shared" si="4"/>
        <v>0.5657881916</v>
      </c>
    </row>
    <row r="28" ht="15.75" customHeight="1">
      <c r="A28" s="12">
        <v>45839.0</v>
      </c>
      <c r="B28" s="4" t="s">
        <v>509</v>
      </c>
      <c r="C28" s="4" t="s">
        <v>1027</v>
      </c>
      <c r="D28" s="4" t="s">
        <v>1028</v>
      </c>
      <c r="E28" s="8">
        <v>43063.0</v>
      </c>
      <c r="F28" s="8">
        <v>23441.0</v>
      </c>
      <c r="G28" s="8">
        <v>1824.0</v>
      </c>
      <c r="H28" s="9">
        <f t="shared" si="1"/>
        <v>0.5443420105</v>
      </c>
      <c r="I28" s="9">
        <f t="shared" si="2"/>
        <v>0.04235654738</v>
      </c>
      <c r="J28" s="8">
        <v>191.0</v>
      </c>
      <c r="K28" s="8">
        <v>160.0</v>
      </c>
      <c r="L28" s="9">
        <f t="shared" si="3"/>
        <v>0.1623036649</v>
      </c>
      <c r="M28" s="8">
        <v>423.0</v>
      </c>
      <c r="N28" s="10">
        <v>46622.58</v>
      </c>
      <c r="O28" s="11">
        <f t="shared" si="4"/>
        <v>1.082659824</v>
      </c>
    </row>
    <row r="29" ht="15.75" customHeight="1">
      <c r="A29" s="12">
        <v>45870.0</v>
      </c>
      <c r="B29" s="4" t="s">
        <v>509</v>
      </c>
      <c r="C29" s="4" t="s">
        <v>1027</v>
      </c>
      <c r="D29" s="4" t="s">
        <v>1028</v>
      </c>
      <c r="E29" s="8">
        <v>13243.0</v>
      </c>
      <c r="F29" s="8">
        <v>5033.0</v>
      </c>
      <c r="G29" s="8">
        <v>471.0</v>
      </c>
      <c r="H29" s="9">
        <f t="shared" si="1"/>
        <v>0.3800498377</v>
      </c>
      <c r="I29" s="9">
        <f t="shared" si="2"/>
        <v>0.03556595937</v>
      </c>
      <c r="J29" s="8">
        <v>99.0</v>
      </c>
      <c r="K29" s="8">
        <v>85.0</v>
      </c>
      <c r="L29" s="9">
        <f t="shared" si="3"/>
        <v>0.1414141414</v>
      </c>
      <c r="M29" s="8">
        <v>63.0</v>
      </c>
      <c r="N29" s="10">
        <v>6726.52</v>
      </c>
      <c r="O29" s="11">
        <f t="shared" si="4"/>
        <v>0.5079302273</v>
      </c>
    </row>
    <row r="30" ht="15.75" customHeight="1">
      <c r="A30" s="12">
        <v>45901.0</v>
      </c>
      <c r="B30" s="4" t="s">
        <v>509</v>
      </c>
      <c r="C30" s="4" t="s">
        <v>1027</v>
      </c>
      <c r="D30" s="4" t="s">
        <v>1028</v>
      </c>
      <c r="E30" s="8">
        <v>37818.0</v>
      </c>
      <c r="F30" s="8">
        <v>16525.0</v>
      </c>
      <c r="G30" s="8">
        <v>1694.0</v>
      </c>
      <c r="H30" s="9">
        <f t="shared" si="1"/>
        <v>0.4369612354</v>
      </c>
      <c r="I30" s="9">
        <f t="shared" si="2"/>
        <v>0.04479348458</v>
      </c>
      <c r="J30" s="8">
        <v>144.0</v>
      </c>
      <c r="K30" s="8">
        <v>129.0</v>
      </c>
      <c r="L30" s="9">
        <f t="shared" si="3"/>
        <v>0.1041666667</v>
      </c>
      <c r="M30" s="8">
        <v>270.0</v>
      </c>
      <c r="N30" s="10">
        <v>16471.19</v>
      </c>
      <c r="O30" s="11">
        <f t="shared" si="4"/>
        <v>0.435538368</v>
      </c>
    </row>
    <row r="31" ht="15.75" customHeight="1">
      <c r="A31" s="12">
        <v>45931.0</v>
      </c>
      <c r="B31" s="4" t="s">
        <v>509</v>
      </c>
      <c r="C31" s="4" t="s">
        <v>1027</v>
      </c>
      <c r="D31" s="4" t="s">
        <v>1028</v>
      </c>
      <c r="E31" s="8">
        <v>47277.0</v>
      </c>
      <c r="F31" s="8">
        <v>23037.0</v>
      </c>
      <c r="G31" s="8">
        <v>2019.0</v>
      </c>
      <c r="H31" s="9">
        <f t="shared" si="1"/>
        <v>0.4872771115</v>
      </c>
      <c r="I31" s="9">
        <f t="shared" si="2"/>
        <v>0.04270575544</v>
      </c>
      <c r="J31" s="8">
        <v>256.0</v>
      </c>
      <c r="K31" s="8">
        <v>210.0</v>
      </c>
      <c r="L31" s="9">
        <f t="shared" si="3"/>
        <v>0.1796875</v>
      </c>
      <c r="M31" s="8">
        <v>490.0</v>
      </c>
      <c r="N31" s="10">
        <v>44376.81</v>
      </c>
      <c r="O31" s="11">
        <f t="shared" si="4"/>
        <v>0.9386553715</v>
      </c>
    </row>
    <row r="32" ht="15.75" customHeight="1">
      <c r="A32" s="12">
        <v>45962.0</v>
      </c>
      <c r="B32" s="4" t="s">
        <v>509</v>
      </c>
      <c r="C32" s="4" t="s">
        <v>1027</v>
      </c>
      <c r="D32" s="4" t="s">
        <v>1028</v>
      </c>
      <c r="E32" s="8">
        <v>19713.0</v>
      </c>
      <c r="F32" s="8">
        <v>8055.0</v>
      </c>
      <c r="G32" s="8">
        <v>799.0</v>
      </c>
      <c r="H32" s="9">
        <f t="shared" si="1"/>
        <v>0.4086136052</v>
      </c>
      <c r="I32" s="9">
        <f t="shared" si="2"/>
        <v>0.04053162887</v>
      </c>
      <c r="J32" s="8">
        <v>113.0</v>
      </c>
      <c r="K32" s="8">
        <v>92.0</v>
      </c>
      <c r="L32" s="9">
        <f t="shared" si="3"/>
        <v>0.185840708</v>
      </c>
      <c r="M32" s="8">
        <v>65.0</v>
      </c>
      <c r="N32" s="10">
        <v>4205.56</v>
      </c>
      <c r="O32" s="11">
        <f t="shared" si="4"/>
        <v>0.2133394207</v>
      </c>
    </row>
    <row r="33" ht="15.75" customHeight="1">
      <c r="A33" s="12">
        <v>45992.0</v>
      </c>
      <c r="B33" s="4" t="s">
        <v>509</v>
      </c>
      <c r="C33" s="4" t="s">
        <v>1027</v>
      </c>
      <c r="D33" s="4" t="s">
        <v>1028</v>
      </c>
      <c r="E33" s="8">
        <v>10399.0</v>
      </c>
      <c r="F33" s="8">
        <v>4744.0</v>
      </c>
      <c r="G33" s="8">
        <v>463.0</v>
      </c>
      <c r="H33" s="9">
        <f t="shared" si="1"/>
        <v>0.4561977113</v>
      </c>
      <c r="I33" s="9">
        <f t="shared" si="2"/>
        <v>0.04452351188</v>
      </c>
      <c r="J33" s="8">
        <v>48.0</v>
      </c>
      <c r="K33" s="8">
        <v>41.0</v>
      </c>
      <c r="L33" s="9">
        <f t="shared" si="3"/>
        <v>0.1458333333</v>
      </c>
      <c r="M33" s="8">
        <v>42.0</v>
      </c>
      <c r="N33" s="10">
        <v>2800.5</v>
      </c>
      <c r="O33" s="11">
        <f t="shared" si="4"/>
        <v>0.2693047408</v>
      </c>
    </row>
    <row r="34" ht="15.75" customHeight="1">
      <c r="A34" s="12">
        <v>46023.0</v>
      </c>
      <c r="B34" s="4" t="s">
        <v>509</v>
      </c>
      <c r="C34" s="4" t="s">
        <v>1027</v>
      </c>
      <c r="D34" s="4" t="s">
        <v>1028</v>
      </c>
      <c r="E34" s="8">
        <v>40338.0</v>
      </c>
      <c r="F34" s="8">
        <v>17596.0</v>
      </c>
      <c r="G34" s="8">
        <v>1570.0</v>
      </c>
      <c r="H34" s="9">
        <f t="shared" si="1"/>
        <v>0.4362139918</v>
      </c>
      <c r="I34" s="9">
        <f t="shared" si="2"/>
        <v>0.03892111657</v>
      </c>
      <c r="J34" s="8">
        <v>339.0</v>
      </c>
      <c r="K34" s="8">
        <v>297.0</v>
      </c>
      <c r="L34" s="9">
        <f t="shared" si="3"/>
        <v>0.1238938053</v>
      </c>
      <c r="M34" s="8">
        <v>209.0</v>
      </c>
      <c r="N34" s="10">
        <v>22474.67</v>
      </c>
      <c r="O34" s="11">
        <f t="shared" si="4"/>
        <v>0.5571587585</v>
      </c>
    </row>
    <row r="35" ht="15.75" customHeight="1">
      <c r="A35" s="12">
        <v>46054.0</v>
      </c>
      <c r="B35" s="4" t="s">
        <v>509</v>
      </c>
      <c r="C35" s="4" t="s">
        <v>1027</v>
      </c>
      <c r="D35" s="4" t="s">
        <v>1028</v>
      </c>
      <c r="E35" s="8">
        <v>42311.0</v>
      </c>
      <c r="F35" s="8">
        <v>19624.0</v>
      </c>
      <c r="G35" s="8">
        <v>1429.0</v>
      </c>
      <c r="H35" s="9">
        <f t="shared" si="1"/>
        <v>0.463803739</v>
      </c>
      <c r="I35" s="9">
        <f t="shared" si="2"/>
        <v>0.03377372315</v>
      </c>
      <c r="J35" s="8">
        <v>179.0</v>
      </c>
      <c r="K35" s="8">
        <v>140.0</v>
      </c>
      <c r="L35" s="9">
        <f t="shared" si="3"/>
        <v>0.217877095</v>
      </c>
      <c r="M35" s="8">
        <v>358.0</v>
      </c>
      <c r="N35" s="10">
        <v>36311.44</v>
      </c>
      <c r="O35" s="11">
        <f t="shared" si="4"/>
        <v>0.8582033041</v>
      </c>
    </row>
    <row r="36" ht="15.75" customHeight="1">
      <c r="A36" s="12">
        <v>46082.0</v>
      </c>
      <c r="B36" s="4" t="s">
        <v>509</v>
      </c>
      <c r="C36" s="4" t="s">
        <v>1027</v>
      </c>
      <c r="D36" s="4" t="s">
        <v>1028</v>
      </c>
      <c r="E36" s="8">
        <v>14627.0</v>
      </c>
      <c r="F36" s="8">
        <v>6236.0</v>
      </c>
      <c r="G36" s="8">
        <v>864.0</v>
      </c>
      <c r="H36" s="9">
        <f t="shared" si="1"/>
        <v>0.4263348602</v>
      </c>
      <c r="I36" s="9">
        <f t="shared" si="2"/>
        <v>0.05906884529</v>
      </c>
      <c r="J36" s="8">
        <v>78.0</v>
      </c>
      <c r="K36" s="8">
        <v>70.0</v>
      </c>
      <c r="L36" s="9">
        <f t="shared" si="3"/>
        <v>0.1025641026</v>
      </c>
      <c r="M36" s="8">
        <v>142.0</v>
      </c>
      <c r="N36" s="10">
        <v>11835.95</v>
      </c>
      <c r="O36" s="11">
        <f t="shared" si="4"/>
        <v>0.8091850687</v>
      </c>
    </row>
    <row r="37" ht="15.75" customHeight="1">
      <c r="A37" s="12">
        <v>46113.0</v>
      </c>
      <c r="B37" s="4" t="s">
        <v>509</v>
      </c>
      <c r="C37" s="4" t="s">
        <v>1027</v>
      </c>
      <c r="D37" s="4" t="s">
        <v>1028</v>
      </c>
      <c r="E37" s="8">
        <v>9466.0</v>
      </c>
      <c r="F37" s="8">
        <v>3661.0</v>
      </c>
      <c r="G37" s="8">
        <v>447.0</v>
      </c>
      <c r="H37" s="9">
        <f t="shared" si="1"/>
        <v>0.3867525882</v>
      </c>
      <c r="I37" s="9">
        <f t="shared" si="2"/>
        <v>0.04722163533</v>
      </c>
      <c r="J37" s="8">
        <v>80.0</v>
      </c>
      <c r="K37" s="8">
        <v>70.0</v>
      </c>
      <c r="L37" s="9">
        <f t="shared" si="3"/>
        <v>0.125</v>
      </c>
      <c r="M37" s="8">
        <v>35.0</v>
      </c>
      <c r="N37" s="10">
        <v>3945.93</v>
      </c>
      <c r="O37" s="11">
        <f t="shared" si="4"/>
        <v>0.4168529474</v>
      </c>
    </row>
    <row r="38" ht="15.75" customHeight="1">
      <c r="A38" s="12">
        <v>45778.0</v>
      </c>
      <c r="B38" s="4" t="s">
        <v>183</v>
      </c>
      <c r="C38" s="4" t="s">
        <v>1027</v>
      </c>
      <c r="D38" s="4" t="s">
        <v>1030</v>
      </c>
      <c r="E38" s="8">
        <v>15630.0</v>
      </c>
      <c r="F38" s="8">
        <v>7951.0</v>
      </c>
      <c r="G38" s="8">
        <v>874.0</v>
      </c>
      <c r="H38" s="9">
        <f t="shared" si="1"/>
        <v>0.5087012156</v>
      </c>
      <c r="I38" s="9">
        <f t="shared" si="2"/>
        <v>0.05591810621</v>
      </c>
      <c r="J38" s="8">
        <v>191.0</v>
      </c>
      <c r="K38" s="8">
        <v>165.0</v>
      </c>
      <c r="L38" s="9">
        <f t="shared" si="3"/>
        <v>0.1361256545</v>
      </c>
      <c r="M38" s="8">
        <v>122.0</v>
      </c>
      <c r="N38" s="10">
        <v>12886.06</v>
      </c>
      <c r="O38" s="11">
        <f t="shared" si="4"/>
        <v>0.8244440179</v>
      </c>
    </row>
    <row r="39" ht="15.75" customHeight="1">
      <c r="A39" s="12">
        <v>45809.0</v>
      </c>
      <c r="B39" s="4" t="s">
        <v>183</v>
      </c>
      <c r="C39" s="4" t="s">
        <v>1027</v>
      </c>
      <c r="D39" s="4" t="s">
        <v>1030</v>
      </c>
      <c r="E39" s="8">
        <v>11200.0</v>
      </c>
      <c r="F39" s="8">
        <v>4758.0</v>
      </c>
      <c r="G39" s="8">
        <v>490.0</v>
      </c>
      <c r="H39" s="9">
        <f t="shared" si="1"/>
        <v>0.4248214286</v>
      </c>
      <c r="I39" s="9">
        <f t="shared" si="2"/>
        <v>0.04375</v>
      </c>
      <c r="J39" s="8">
        <v>91.0</v>
      </c>
      <c r="K39" s="8">
        <v>76.0</v>
      </c>
      <c r="L39" s="9">
        <f t="shared" si="3"/>
        <v>0.1648351648</v>
      </c>
      <c r="M39" s="8">
        <v>108.0</v>
      </c>
      <c r="N39" s="10">
        <v>11307.44</v>
      </c>
      <c r="O39" s="11">
        <f t="shared" si="4"/>
        <v>1.009592857</v>
      </c>
    </row>
    <row r="40" ht="15.75" customHeight="1">
      <c r="A40" s="12">
        <v>45839.0</v>
      </c>
      <c r="B40" s="4" t="s">
        <v>183</v>
      </c>
      <c r="C40" s="4" t="s">
        <v>1027</v>
      </c>
      <c r="D40" s="4" t="s">
        <v>1030</v>
      </c>
      <c r="E40" s="8">
        <v>26143.0</v>
      </c>
      <c r="F40" s="8">
        <v>11772.0</v>
      </c>
      <c r="G40" s="8">
        <v>861.0</v>
      </c>
      <c r="H40" s="9">
        <f t="shared" si="1"/>
        <v>0.4502926214</v>
      </c>
      <c r="I40" s="9">
        <f t="shared" si="2"/>
        <v>0.03293424626</v>
      </c>
      <c r="J40" s="8">
        <v>116.0</v>
      </c>
      <c r="K40" s="8">
        <v>93.0</v>
      </c>
      <c r="L40" s="9">
        <f t="shared" si="3"/>
        <v>0.1982758621</v>
      </c>
      <c r="M40" s="8">
        <v>145.0</v>
      </c>
      <c r="N40" s="10">
        <v>8453.94</v>
      </c>
      <c r="O40" s="11">
        <f t="shared" si="4"/>
        <v>0.323372987</v>
      </c>
    </row>
    <row r="41" ht="15.75" customHeight="1">
      <c r="A41" s="12">
        <v>45870.0</v>
      </c>
      <c r="B41" s="4" t="s">
        <v>183</v>
      </c>
      <c r="C41" s="4" t="s">
        <v>1027</v>
      </c>
      <c r="D41" s="4" t="s">
        <v>1030</v>
      </c>
      <c r="E41" s="8">
        <v>21574.0</v>
      </c>
      <c r="F41" s="8">
        <v>7631.0</v>
      </c>
      <c r="G41" s="8">
        <v>755.0</v>
      </c>
      <c r="H41" s="9">
        <f t="shared" si="1"/>
        <v>0.3537128024</v>
      </c>
      <c r="I41" s="9">
        <f t="shared" si="2"/>
        <v>0.03499582831</v>
      </c>
      <c r="J41" s="8">
        <v>74.0</v>
      </c>
      <c r="K41" s="8">
        <v>60.0</v>
      </c>
      <c r="L41" s="9">
        <f t="shared" si="3"/>
        <v>0.1891891892</v>
      </c>
      <c r="M41" s="8">
        <v>181.0</v>
      </c>
      <c r="N41" s="10">
        <v>21096.25</v>
      </c>
      <c r="O41" s="11">
        <f t="shared" si="4"/>
        <v>0.9778552888</v>
      </c>
    </row>
    <row r="42" ht="15.75" customHeight="1">
      <c r="A42" s="12">
        <v>45901.0</v>
      </c>
      <c r="B42" s="4" t="s">
        <v>183</v>
      </c>
      <c r="C42" s="4" t="s">
        <v>1027</v>
      </c>
      <c r="D42" s="4" t="s">
        <v>1030</v>
      </c>
      <c r="E42" s="8">
        <v>28850.0</v>
      </c>
      <c r="F42" s="8">
        <v>10658.0</v>
      </c>
      <c r="G42" s="8">
        <v>913.0</v>
      </c>
      <c r="H42" s="9">
        <f t="shared" si="1"/>
        <v>0.3694280763</v>
      </c>
      <c r="I42" s="9">
        <f t="shared" si="2"/>
        <v>0.03164644714</v>
      </c>
      <c r="J42" s="8">
        <v>163.0</v>
      </c>
      <c r="K42" s="8">
        <v>132.0</v>
      </c>
      <c r="L42" s="9">
        <f t="shared" si="3"/>
        <v>0.1901840491</v>
      </c>
      <c r="M42" s="8">
        <v>245.0</v>
      </c>
      <c r="N42" s="10">
        <v>24914.01</v>
      </c>
      <c r="O42" s="11">
        <f t="shared" si="4"/>
        <v>0.8635705373</v>
      </c>
    </row>
    <row r="43" ht="15.75" customHeight="1">
      <c r="A43" s="12">
        <v>45931.0</v>
      </c>
      <c r="B43" s="4" t="s">
        <v>183</v>
      </c>
      <c r="C43" s="4" t="s">
        <v>1027</v>
      </c>
      <c r="D43" s="4" t="s">
        <v>1030</v>
      </c>
      <c r="E43" s="8">
        <v>47932.0</v>
      </c>
      <c r="F43" s="8">
        <v>24703.0</v>
      </c>
      <c r="G43" s="8">
        <v>2745.0</v>
      </c>
      <c r="H43" s="9">
        <f t="shared" si="1"/>
        <v>0.5153759493</v>
      </c>
      <c r="I43" s="9">
        <f t="shared" si="2"/>
        <v>0.05726863056</v>
      </c>
      <c r="J43" s="8">
        <v>463.0</v>
      </c>
      <c r="K43" s="8">
        <v>382.0</v>
      </c>
      <c r="L43" s="9">
        <f t="shared" si="3"/>
        <v>0.1749460043</v>
      </c>
      <c r="M43" s="8">
        <v>311.0</v>
      </c>
      <c r="N43" s="10">
        <v>35389.42</v>
      </c>
      <c r="O43" s="11">
        <f t="shared" si="4"/>
        <v>0.7383255445</v>
      </c>
    </row>
    <row r="44" ht="15.75" customHeight="1">
      <c r="A44" s="12">
        <v>45962.0</v>
      </c>
      <c r="B44" s="4" t="s">
        <v>183</v>
      </c>
      <c r="C44" s="4" t="s">
        <v>1027</v>
      </c>
      <c r="D44" s="4" t="s">
        <v>1030</v>
      </c>
      <c r="E44" s="8">
        <v>8823.0</v>
      </c>
      <c r="F44" s="8">
        <v>3693.0</v>
      </c>
      <c r="G44" s="8">
        <v>341.0</v>
      </c>
      <c r="H44" s="9">
        <f t="shared" si="1"/>
        <v>0.4185651139</v>
      </c>
      <c r="I44" s="9">
        <f t="shared" si="2"/>
        <v>0.03864898561</v>
      </c>
      <c r="J44" s="8">
        <v>66.0</v>
      </c>
      <c r="K44" s="8">
        <v>52.0</v>
      </c>
      <c r="L44" s="9">
        <f t="shared" si="3"/>
        <v>0.2121212121</v>
      </c>
      <c r="M44" s="8">
        <v>94.0</v>
      </c>
      <c r="N44" s="10">
        <v>8266.22</v>
      </c>
      <c r="O44" s="11">
        <f t="shared" si="4"/>
        <v>0.9368944803</v>
      </c>
    </row>
    <row r="45" ht="15.75" customHeight="1">
      <c r="A45" s="12">
        <v>45992.0</v>
      </c>
      <c r="B45" s="4" t="s">
        <v>183</v>
      </c>
      <c r="C45" s="4" t="s">
        <v>1027</v>
      </c>
      <c r="D45" s="4" t="s">
        <v>1030</v>
      </c>
      <c r="E45" s="8">
        <v>42880.0</v>
      </c>
      <c r="F45" s="8">
        <v>20991.0</v>
      </c>
      <c r="G45" s="8">
        <v>2458.0</v>
      </c>
      <c r="H45" s="9">
        <f t="shared" si="1"/>
        <v>0.4895289179</v>
      </c>
      <c r="I45" s="9">
        <f t="shared" si="2"/>
        <v>0.05732276119</v>
      </c>
      <c r="J45" s="8">
        <v>284.0</v>
      </c>
      <c r="K45" s="8">
        <v>222.0</v>
      </c>
      <c r="L45" s="9">
        <f t="shared" si="3"/>
        <v>0.2183098592</v>
      </c>
      <c r="M45" s="8">
        <v>457.0</v>
      </c>
      <c r="N45" s="10">
        <v>53040.98</v>
      </c>
      <c r="O45" s="11">
        <f t="shared" si="4"/>
        <v>1.236963153</v>
      </c>
    </row>
    <row r="46" ht="15.75" customHeight="1">
      <c r="A46" s="12">
        <v>46023.0</v>
      </c>
      <c r="B46" s="4" t="s">
        <v>183</v>
      </c>
      <c r="C46" s="4" t="s">
        <v>1027</v>
      </c>
      <c r="D46" s="4" t="s">
        <v>1030</v>
      </c>
      <c r="E46" s="8">
        <v>39885.0</v>
      </c>
      <c r="F46" s="8">
        <v>18437.0</v>
      </c>
      <c r="G46" s="8">
        <v>1736.0</v>
      </c>
      <c r="H46" s="9">
        <f t="shared" si="1"/>
        <v>0.4622539802</v>
      </c>
      <c r="I46" s="9">
        <f t="shared" si="2"/>
        <v>0.04352513476</v>
      </c>
      <c r="J46" s="8">
        <v>189.0</v>
      </c>
      <c r="K46" s="8">
        <v>173.0</v>
      </c>
      <c r="L46" s="9">
        <f t="shared" si="3"/>
        <v>0.08465608466</v>
      </c>
      <c r="M46" s="8">
        <v>252.0</v>
      </c>
      <c r="N46" s="10">
        <v>19028.36</v>
      </c>
      <c r="O46" s="11">
        <f t="shared" si="4"/>
        <v>0.4770806067</v>
      </c>
    </row>
    <row r="47" ht="15.75" customHeight="1">
      <c r="A47" s="12">
        <v>46054.0</v>
      </c>
      <c r="B47" s="4" t="s">
        <v>183</v>
      </c>
      <c r="C47" s="4" t="s">
        <v>1027</v>
      </c>
      <c r="D47" s="4" t="s">
        <v>1030</v>
      </c>
      <c r="E47" s="8">
        <v>28665.0</v>
      </c>
      <c r="F47" s="8">
        <v>12621.0</v>
      </c>
      <c r="G47" s="8">
        <v>1296.0</v>
      </c>
      <c r="H47" s="9">
        <f t="shared" si="1"/>
        <v>0.4402930403</v>
      </c>
      <c r="I47" s="9">
        <f t="shared" si="2"/>
        <v>0.04521193093</v>
      </c>
      <c r="J47" s="8">
        <v>131.0</v>
      </c>
      <c r="K47" s="8">
        <v>112.0</v>
      </c>
      <c r="L47" s="9">
        <f t="shared" si="3"/>
        <v>0.1450381679</v>
      </c>
      <c r="M47" s="8">
        <v>247.0</v>
      </c>
      <c r="N47" s="10">
        <v>22697.71</v>
      </c>
      <c r="O47" s="11">
        <f t="shared" si="4"/>
        <v>0.7918266178</v>
      </c>
    </row>
    <row r="48" ht="15.75" customHeight="1">
      <c r="A48" s="12">
        <v>46082.0</v>
      </c>
      <c r="B48" s="4" t="s">
        <v>183</v>
      </c>
      <c r="C48" s="4" t="s">
        <v>1027</v>
      </c>
      <c r="D48" s="4" t="s">
        <v>1030</v>
      </c>
      <c r="E48" s="8">
        <v>35223.0</v>
      </c>
      <c r="F48" s="8">
        <v>19343.0</v>
      </c>
      <c r="G48" s="8">
        <v>1385.0</v>
      </c>
      <c r="H48" s="9">
        <f t="shared" si="1"/>
        <v>0.5491582205</v>
      </c>
      <c r="I48" s="9">
        <f t="shared" si="2"/>
        <v>0.03932089828</v>
      </c>
      <c r="J48" s="8">
        <v>299.0</v>
      </c>
      <c r="K48" s="8">
        <v>256.0</v>
      </c>
      <c r="L48" s="9">
        <f t="shared" si="3"/>
        <v>0.143812709</v>
      </c>
      <c r="M48" s="8">
        <v>261.0</v>
      </c>
      <c r="N48" s="10">
        <v>18813.69</v>
      </c>
      <c r="O48" s="11">
        <f t="shared" si="4"/>
        <v>0.5341308236</v>
      </c>
    </row>
    <row r="49" ht="15.75" customHeight="1">
      <c r="A49" s="12">
        <v>46113.0</v>
      </c>
      <c r="B49" s="4" t="s">
        <v>183</v>
      </c>
      <c r="C49" s="4" t="s">
        <v>1027</v>
      </c>
      <c r="D49" s="4" t="s">
        <v>1030</v>
      </c>
      <c r="E49" s="8">
        <v>43231.0</v>
      </c>
      <c r="F49" s="8">
        <v>16269.0</v>
      </c>
      <c r="G49" s="8">
        <v>1830.0</v>
      </c>
      <c r="H49" s="9">
        <f t="shared" si="1"/>
        <v>0.3763271726</v>
      </c>
      <c r="I49" s="9">
        <f t="shared" si="2"/>
        <v>0.04233073489</v>
      </c>
      <c r="J49" s="8">
        <v>364.0</v>
      </c>
      <c r="K49" s="8">
        <v>288.0</v>
      </c>
      <c r="L49" s="9">
        <f t="shared" si="3"/>
        <v>0.2087912088</v>
      </c>
      <c r="M49" s="8">
        <v>214.0</v>
      </c>
      <c r="N49" s="10">
        <v>25150.96</v>
      </c>
      <c r="O49" s="11">
        <f t="shared" si="4"/>
        <v>0.5817806667</v>
      </c>
    </row>
    <row r="50" ht="15.75" customHeight="1">
      <c r="A50" s="12">
        <v>45778.0</v>
      </c>
      <c r="B50" s="4" t="s">
        <v>259</v>
      </c>
      <c r="C50" s="4" t="s">
        <v>1027</v>
      </c>
      <c r="D50" s="4" t="s">
        <v>1030</v>
      </c>
      <c r="E50" s="8">
        <v>45404.0</v>
      </c>
      <c r="F50" s="8">
        <v>18518.0</v>
      </c>
      <c r="G50" s="8">
        <v>2417.0</v>
      </c>
      <c r="H50" s="9">
        <f t="shared" si="1"/>
        <v>0.4078495287</v>
      </c>
      <c r="I50" s="9">
        <f t="shared" si="2"/>
        <v>0.05323319531</v>
      </c>
      <c r="J50" s="8">
        <v>452.0</v>
      </c>
      <c r="K50" s="8">
        <v>414.0</v>
      </c>
      <c r="L50" s="9">
        <f t="shared" si="3"/>
        <v>0.08407079646</v>
      </c>
      <c r="M50" s="8">
        <v>536.0</v>
      </c>
      <c r="N50" s="10">
        <v>48778.26</v>
      </c>
      <c r="O50" s="11">
        <f t="shared" si="4"/>
        <v>1.07431636</v>
      </c>
    </row>
    <row r="51" ht="15.75" customHeight="1">
      <c r="A51" s="12">
        <v>45809.0</v>
      </c>
      <c r="B51" s="4" t="s">
        <v>259</v>
      </c>
      <c r="C51" s="4" t="s">
        <v>1027</v>
      </c>
      <c r="D51" s="4" t="s">
        <v>1030</v>
      </c>
      <c r="E51" s="8">
        <v>31070.0</v>
      </c>
      <c r="F51" s="8">
        <v>15542.0</v>
      </c>
      <c r="G51" s="8">
        <v>1542.0</v>
      </c>
      <c r="H51" s="9">
        <f t="shared" si="1"/>
        <v>0.5002252977</v>
      </c>
      <c r="I51" s="9">
        <f t="shared" si="2"/>
        <v>0.04962986804</v>
      </c>
      <c r="J51" s="8">
        <v>252.0</v>
      </c>
      <c r="K51" s="8">
        <v>207.0</v>
      </c>
      <c r="L51" s="9">
        <f t="shared" si="3"/>
        <v>0.1785714286</v>
      </c>
      <c r="M51" s="8">
        <v>194.0</v>
      </c>
      <c r="N51" s="10">
        <v>12481.64</v>
      </c>
      <c r="O51" s="11">
        <f t="shared" si="4"/>
        <v>0.4017264242</v>
      </c>
    </row>
    <row r="52" ht="15.75" customHeight="1">
      <c r="A52" s="12">
        <v>45839.0</v>
      </c>
      <c r="B52" s="4" t="s">
        <v>259</v>
      </c>
      <c r="C52" s="4" t="s">
        <v>1027</v>
      </c>
      <c r="D52" s="4" t="s">
        <v>1030</v>
      </c>
      <c r="E52" s="8">
        <v>28825.0</v>
      </c>
      <c r="F52" s="8">
        <v>12984.0</v>
      </c>
      <c r="G52" s="8">
        <v>1392.0</v>
      </c>
      <c r="H52" s="9">
        <f t="shared" si="1"/>
        <v>0.4504423244</v>
      </c>
      <c r="I52" s="9">
        <f t="shared" si="2"/>
        <v>0.0482914137</v>
      </c>
      <c r="J52" s="8">
        <v>155.0</v>
      </c>
      <c r="K52" s="8">
        <v>129.0</v>
      </c>
      <c r="L52" s="9">
        <f t="shared" si="3"/>
        <v>0.1677419355</v>
      </c>
      <c r="M52" s="8">
        <v>282.0</v>
      </c>
      <c r="N52" s="10">
        <v>21199.92</v>
      </c>
      <c r="O52" s="11">
        <f t="shared" si="4"/>
        <v>0.7354699046</v>
      </c>
    </row>
    <row r="53" ht="15.75" customHeight="1">
      <c r="A53" s="12">
        <v>45870.0</v>
      </c>
      <c r="B53" s="4" t="s">
        <v>259</v>
      </c>
      <c r="C53" s="4" t="s">
        <v>1027</v>
      </c>
      <c r="D53" s="4" t="s">
        <v>1030</v>
      </c>
      <c r="E53" s="8">
        <v>37455.0</v>
      </c>
      <c r="F53" s="8">
        <v>14285.0</v>
      </c>
      <c r="G53" s="8">
        <v>1873.0</v>
      </c>
      <c r="H53" s="9">
        <f t="shared" si="1"/>
        <v>0.3813910025</v>
      </c>
      <c r="I53" s="9">
        <f t="shared" si="2"/>
        <v>0.05000667468</v>
      </c>
      <c r="J53" s="8">
        <v>254.0</v>
      </c>
      <c r="K53" s="8">
        <v>198.0</v>
      </c>
      <c r="L53" s="9">
        <f t="shared" si="3"/>
        <v>0.2204724409</v>
      </c>
      <c r="M53" s="8">
        <v>392.0</v>
      </c>
      <c r="N53" s="10">
        <v>40680.23</v>
      </c>
      <c r="O53" s="11">
        <f t="shared" si="4"/>
        <v>1.086109465</v>
      </c>
    </row>
    <row r="54" ht="15.75" customHeight="1">
      <c r="A54" s="12">
        <v>45901.0</v>
      </c>
      <c r="B54" s="4" t="s">
        <v>259</v>
      </c>
      <c r="C54" s="4" t="s">
        <v>1027</v>
      </c>
      <c r="D54" s="4" t="s">
        <v>1030</v>
      </c>
      <c r="E54" s="8">
        <v>19289.0</v>
      </c>
      <c r="F54" s="8">
        <v>9387.0</v>
      </c>
      <c r="G54" s="8">
        <v>721.0</v>
      </c>
      <c r="H54" s="9">
        <f t="shared" si="1"/>
        <v>0.4866504225</v>
      </c>
      <c r="I54" s="9">
        <f t="shared" si="2"/>
        <v>0.03737881694</v>
      </c>
      <c r="J54" s="8">
        <v>116.0</v>
      </c>
      <c r="K54" s="8">
        <v>97.0</v>
      </c>
      <c r="L54" s="9">
        <f t="shared" si="3"/>
        <v>0.1637931034</v>
      </c>
      <c r="M54" s="8">
        <v>130.0</v>
      </c>
      <c r="N54" s="10">
        <v>9013.22</v>
      </c>
      <c r="O54" s="11">
        <f t="shared" si="4"/>
        <v>0.4672725388</v>
      </c>
    </row>
    <row r="55" ht="15.75" customHeight="1">
      <c r="A55" s="12">
        <v>45931.0</v>
      </c>
      <c r="B55" s="4" t="s">
        <v>259</v>
      </c>
      <c r="C55" s="4" t="s">
        <v>1027</v>
      </c>
      <c r="D55" s="4" t="s">
        <v>1030</v>
      </c>
      <c r="E55" s="8">
        <v>9903.0</v>
      </c>
      <c r="F55" s="8">
        <v>4691.0</v>
      </c>
      <c r="G55" s="8">
        <v>373.0</v>
      </c>
      <c r="H55" s="9">
        <f t="shared" si="1"/>
        <v>0.4736948399</v>
      </c>
      <c r="I55" s="9">
        <f t="shared" si="2"/>
        <v>0.03766535393</v>
      </c>
      <c r="J55" s="8">
        <v>62.0</v>
      </c>
      <c r="K55" s="8">
        <v>57.0</v>
      </c>
      <c r="L55" s="9">
        <f t="shared" si="3"/>
        <v>0.08064516129</v>
      </c>
      <c r="M55" s="8">
        <v>83.0</v>
      </c>
      <c r="N55" s="10">
        <v>8460.1</v>
      </c>
      <c r="O55" s="11">
        <f t="shared" si="4"/>
        <v>0.8542966778</v>
      </c>
    </row>
    <row r="56" ht="15.75" customHeight="1">
      <c r="A56" s="12">
        <v>45962.0</v>
      </c>
      <c r="B56" s="4" t="s">
        <v>259</v>
      </c>
      <c r="C56" s="4" t="s">
        <v>1027</v>
      </c>
      <c r="D56" s="4" t="s">
        <v>1030</v>
      </c>
      <c r="E56" s="8">
        <v>9496.0</v>
      </c>
      <c r="F56" s="8">
        <v>3940.0</v>
      </c>
      <c r="G56" s="8">
        <v>344.0</v>
      </c>
      <c r="H56" s="9">
        <f t="shared" si="1"/>
        <v>0.4149115417</v>
      </c>
      <c r="I56" s="9">
        <f t="shared" si="2"/>
        <v>0.03622577928</v>
      </c>
      <c r="J56" s="8">
        <v>54.0</v>
      </c>
      <c r="K56" s="8">
        <v>45.0</v>
      </c>
      <c r="L56" s="9">
        <f t="shared" si="3"/>
        <v>0.1666666667</v>
      </c>
      <c r="M56" s="8">
        <v>36.0</v>
      </c>
      <c r="N56" s="10">
        <v>2887.84</v>
      </c>
      <c r="O56" s="11">
        <f t="shared" si="4"/>
        <v>0.3041112047</v>
      </c>
    </row>
    <row r="57" ht="15.75" customHeight="1">
      <c r="A57" s="12">
        <v>45992.0</v>
      </c>
      <c r="B57" s="4" t="s">
        <v>259</v>
      </c>
      <c r="C57" s="4" t="s">
        <v>1027</v>
      </c>
      <c r="D57" s="4" t="s">
        <v>1030</v>
      </c>
      <c r="E57" s="8">
        <v>47409.0</v>
      </c>
      <c r="F57" s="8">
        <v>24970.0</v>
      </c>
      <c r="G57" s="8">
        <v>2891.0</v>
      </c>
      <c r="H57" s="9">
        <f t="shared" si="1"/>
        <v>0.5266932439</v>
      </c>
      <c r="I57" s="9">
        <f t="shared" si="2"/>
        <v>0.0609799827</v>
      </c>
      <c r="J57" s="8">
        <v>454.0</v>
      </c>
      <c r="K57" s="8">
        <v>409.0</v>
      </c>
      <c r="L57" s="9">
        <f t="shared" si="3"/>
        <v>0.09911894273</v>
      </c>
      <c r="M57" s="8">
        <v>505.0</v>
      </c>
      <c r="N57" s="10">
        <v>34179.79</v>
      </c>
      <c r="O57" s="11">
        <f t="shared" si="4"/>
        <v>0.7209557257</v>
      </c>
    </row>
    <row r="58" ht="15.75" customHeight="1">
      <c r="A58" s="12">
        <v>46023.0</v>
      </c>
      <c r="B58" s="4" t="s">
        <v>259</v>
      </c>
      <c r="C58" s="4" t="s">
        <v>1027</v>
      </c>
      <c r="D58" s="4" t="s">
        <v>1030</v>
      </c>
      <c r="E58" s="8">
        <v>32186.0</v>
      </c>
      <c r="F58" s="8">
        <v>15919.0</v>
      </c>
      <c r="G58" s="8">
        <v>1381.0</v>
      </c>
      <c r="H58" s="9">
        <f t="shared" si="1"/>
        <v>0.4945939228</v>
      </c>
      <c r="I58" s="9">
        <f t="shared" si="2"/>
        <v>0.04290685391</v>
      </c>
      <c r="J58" s="8">
        <v>201.0</v>
      </c>
      <c r="K58" s="8">
        <v>176.0</v>
      </c>
      <c r="L58" s="9">
        <f t="shared" si="3"/>
        <v>0.1243781095</v>
      </c>
      <c r="M58" s="8">
        <v>154.0</v>
      </c>
      <c r="N58" s="10">
        <v>10157.69</v>
      </c>
      <c r="O58" s="11">
        <f t="shared" si="4"/>
        <v>0.3155934257</v>
      </c>
    </row>
    <row r="59" ht="15.75" customHeight="1">
      <c r="A59" s="12">
        <v>46054.0</v>
      </c>
      <c r="B59" s="4" t="s">
        <v>259</v>
      </c>
      <c r="C59" s="4" t="s">
        <v>1027</v>
      </c>
      <c r="D59" s="4" t="s">
        <v>1030</v>
      </c>
      <c r="E59" s="8">
        <v>12247.0</v>
      </c>
      <c r="F59" s="8">
        <v>6477.0</v>
      </c>
      <c r="G59" s="8">
        <v>547.0</v>
      </c>
      <c r="H59" s="9">
        <f t="shared" si="1"/>
        <v>0.5288642116</v>
      </c>
      <c r="I59" s="9">
        <f t="shared" si="2"/>
        <v>0.04466399935</v>
      </c>
      <c r="J59" s="8">
        <v>79.0</v>
      </c>
      <c r="K59" s="8">
        <v>64.0</v>
      </c>
      <c r="L59" s="9">
        <f t="shared" si="3"/>
        <v>0.1898734177</v>
      </c>
      <c r="M59" s="8">
        <v>103.0</v>
      </c>
      <c r="N59" s="10">
        <v>12090.43</v>
      </c>
      <c r="O59" s="11">
        <f t="shared" si="4"/>
        <v>0.9872156446</v>
      </c>
    </row>
    <row r="60" ht="15.75" customHeight="1">
      <c r="A60" s="12">
        <v>46082.0</v>
      </c>
      <c r="B60" s="4" t="s">
        <v>259</v>
      </c>
      <c r="C60" s="4" t="s">
        <v>1027</v>
      </c>
      <c r="D60" s="4" t="s">
        <v>1030</v>
      </c>
      <c r="E60" s="8">
        <v>19591.0</v>
      </c>
      <c r="F60" s="8">
        <v>10668.0</v>
      </c>
      <c r="G60" s="8">
        <v>1120.0</v>
      </c>
      <c r="H60" s="9">
        <f t="shared" si="1"/>
        <v>0.5445357562</v>
      </c>
      <c r="I60" s="9">
        <f t="shared" si="2"/>
        <v>0.05716910826</v>
      </c>
      <c r="J60" s="8">
        <v>107.0</v>
      </c>
      <c r="K60" s="8">
        <v>92.0</v>
      </c>
      <c r="L60" s="9">
        <f t="shared" si="3"/>
        <v>0.1401869159</v>
      </c>
      <c r="M60" s="8">
        <v>117.0</v>
      </c>
      <c r="N60" s="10">
        <v>13245.49</v>
      </c>
      <c r="O60" s="11">
        <f t="shared" si="4"/>
        <v>0.6761007606</v>
      </c>
    </row>
    <row r="61" ht="15.75" customHeight="1">
      <c r="A61" s="12">
        <v>46113.0</v>
      </c>
      <c r="B61" s="4" t="s">
        <v>259</v>
      </c>
      <c r="C61" s="4" t="s">
        <v>1027</v>
      </c>
      <c r="D61" s="4" t="s">
        <v>1030</v>
      </c>
      <c r="E61" s="8">
        <v>18437.0</v>
      </c>
      <c r="F61" s="8">
        <v>7355.0</v>
      </c>
      <c r="G61" s="8">
        <v>886.0</v>
      </c>
      <c r="H61" s="9">
        <f t="shared" si="1"/>
        <v>0.3989260726</v>
      </c>
      <c r="I61" s="9">
        <f t="shared" si="2"/>
        <v>0.04805554049</v>
      </c>
      <c r="J61" s="8">
        <v>79.0</v>
      </c>
      <c r="K61" s="8">
        <v>69.0</v>
      </c>
      <c r="L61" s="9">
        <f t="shared" si="3"/>
        <v>0.1265822785</v>
      </c>
      <c r="M61" s="8">
        <v>168.0</v>
      </c>
      <c r="N61" s="10">
        <v>13839.97</v>
      </c>
      <c r="O61" s="11">
        <f t="shared" si="4"/>
        <v>0.7506627976</v>
      </c>
    </row>
    <row r="62" ht="15.75" customHeight="1">
      <c r="A62" s="12">
        <v>45778.0</v>
      </c>
      <c r="B62" s="4" t="s">
        <v>113</v>
      </c>
      <c r="C62" s="4" t="s">
        <v>1027</v>
      </c>
      <c r="D62" s="4" t="s">
        <v>1031</v>
      </c>
      <c r="E62" s="8">
        <v>42063.0</v>
      </c>
      <c r="F62" s="8">
        <v>23097.0</v>
      </c>
      <c r="G62" s="8">
        <v>3010.0</v>
      </c>
      <c r="H62" s="9">
        <f t="shared" si="1"/>
        <v>0.5491049141</v>
      </c>
      <c r="I62" s="9">
        <f t="shared" si="2"/>
        <v>0.07155932768</v>
      </c>
      <c r="J62" s="8">
        <v>270.0</v>
      </c>
      <c r="K62" s="8">
        <v>226.0</v>
      </c>
      <c r="L62" s="9">
        <f t="shared" si="3"/>
        <v>0.162962963</v>
      </c>
      <c r="M62" s="8">
        <v>224.0</v>
      </c>
      <c r="N62" s="10">
        <v>22614.73</v>
      </c>
      <c r="O62" s="11">
        <f t="shared" si="4"/>
        <v>0.5376394931</v>
      </c>
    </row>
    <row r="63" ht="15.75" customHeight="1">
      <c r="A63" s="12">
        <v>45809.0</v>
      </c>
      <c r="B63" s="4" t="s">
        <v>113</v>
      </c>
      <c r="C63" s="4" t="s">
        <v>1027</v>
      </c>
      <c r="D63" s="4" t="s">
        <v>1031</v>
      </c>
      <c r="E63" s="8">
        <v>15928.0</v>
      </c>
      <c r="F63" s="8">
        <v>7855.0</v>
      </c>
      <c r="G63" s="8">
        <v>883.0</v>
      </c>
      <c r="H63" s="9">
        <f t="shared" si="1"/>
        <v>0.4931567052</v>
      </c>
      <c r="I63" s="9">
        <f t="shared" si="2"/>
        <v>0.05543696635</v>
      </c>
      <c r="J63" s="8">
        <v>192.0</v>
      </c>
      <c r="K63" s="8">
        <v>168.0</v>
      </c>
      <c r="L63" s="9">
        <f t="shared" si="3"/>
        <v>0.125</v>
      </c>
      <c r="M63" s="8">
        <v>110.0</v>
      </c>
      <c r="N63" s="10">
        <v>11843.18</v>
      </c>
      <c r="O63" s="11">
        <f t="shared" si="4"/>
        <v>0.7435447012</v>
      </c>
    </row>
    <row r="64" ht="15.75" customHeight="1">
      <c r="A64" s="12">
        <v>45839.0</v>
      </c>
      <c r="B64" s="4" t="s">
        <v>113</v>
      </c>
      <c r="C64" s="4" t="s">
        <v>1027</v>
      </c>
      <c r="D64" s="4" t="s">
        <v>1031</v>
      </c>
      <c r="E64" s="8">
        <v>11918.0</v>
      </c>
      <c r="F64" s="8">
        <v>4869.0</v>
      </c>
      <c r="G64" s="8">
        <v>476.0</v>
      </c>
      <c r="H64" s="9">
        <f t="shared" si="1"/>
        <v>0.4085417016</v>
      </c>
      <c r="I64" s="9">
        <f t="shared" si="2"/>
        <v>0.03993958718</v>
      </c>
      <c r="J64" s="8">
        <v>92.0</v>
      </c>
      <c r="K64" s="8">
        <v>81.0</v>
      </c>
      <c r="L64" s="9">
        <f t="shared" si="3"/>
        <v>0.1195652174</v>
      </c>
      <c r="M64" s="8">
        <v>74.0</v>
      </c>
      <c r="N64" s="10">
        <v>7473.81</v>
      </c>
      <c r="O64" s="11">
        <f t="shared" si="4"/>
        <v>0.6271027018</v>
      </c>
    </row>
    <row r="65" ht="15.75" customHeight="1">
      <c r="A65" s="12">
        <v>45870.0</v>
      </c>
      <c r="B65" s="4" t="s">
        <v>113</v>
      </c>
      <c r="C65" s="4" t="s">
        <v>1027</v>
      </c>
      <c r="D65" s="4" t="s">
        <v>1031</v>
      </c>
      <c r="E65" s="8">
        <v>41525.0</v>
      </c>
      <c r="F65" s="8">
        <v>19759.0</v>
      </c>
      <c r="G65" s="8">
        <v>1991.0</v>
      </c>
      <c r="H65" s="9">
        <f t="shared" si="1"/>
        <v>0.475833835</v>
      </c>
      <c r="I65" s="9">
        <f t="shared" si="2"/>
        <v>0.04794701987</v>
      </c>
      <c r="J65" s="8">
        <v>378.0</v>
      </c>
      <c r="K65" s="8">
        <v>300.0</v>
      </c>
      <c r="L65" s="9">
        <f t="shared" si="3"/>
        <v>0.2063492063</v>
      </c>
      <c r="M65" s="8">
        <v>441.0</v>
      </c>
      <c r="N65" s="10">
        <v>45633.1</v>
      </c>
      <c r="O65" s="11">
        <f t="shared" si="4"/>
        <v>1.098930765</v>
      </c>
    </row>
    <row r="66" ht="15.75" customHeight="1">
      <c r="A66" s="12">
        <v>45901.0</v>
      </c>
      <c r="B66" s="4" t="s">
        <v>113</v>
      </c>
      <c r="C66" s="4" t="s">
        <v>1027</v>
      </c>
      <c r="D66" s="4" t="s">
        <v>1031</v>
      </c>
      <c r="E66" s="8">
        <v>45998.0</v>
      </c>
      <c r="F66" s="8">
        <v>23031.0</v>
      </c>
      <c r="G66" s="8">
        <v>1792.0</v>
      </c>
      <c r="H66" s="9">
        <f t="shared" si="1"/>
        <v>0.5006956824</v>
      </c>
      <c r="I66" s="9">
        <f t="shared" si="2"/>
        <v>0.03895821557</v>
      </c>
      <c r="J66" s="8">
        <v>185.0</v>
      </c>
      <c r="K66" s="8">
        <v>154.0</v>
      </c>
      <c r="L66" s="9">
        <f t="shared" si="3"/>
        <v>0.1675675676</v>
      </c>
      <c r="M66" s="8">
        <v>278.0</v>
      </c>
      <c r="N66" s="10">
        <v>31352.42</v>
      </c>
      <c r="O66" s="11">
        <f t="shared" si="4"/>
        <v>0.6816039828</v>
      </c>
    </row>
    <row r="67" ht="15.75" customHeight="1">
      <c r="A67" s="12">
        <v>45931.0</v>
      </c>
      <c r="B67" s="4" t="s">
        <v>113</v>
      </c>
      <c r="C67" s="4" t="s">
        <v>1027</v>
      </c>
      <c r="D67" s="4" t="s">
        <v>1031</v>
      </c>
      <c r="E67" s="8">
        <v>39627.0</v>
      </c>
      <c r="F67" s="8">
        <v>15534.0</v>
      </c>
      <c r="G67" s="8">
        <v>1192.0</v>
      </c>
      <c r="H67" s="9">
        <f t="shared" si="1"/>
        <v>0.3920054508</v>
      </c>
      <c r="I67" s="9">
        <f t="shared" si="2"/>
        <v>0.03008050067</v>
      </c>
      <c r="J67" s="8">
        <v>202.0</v>
      </c>
      <c r="K67" s="8">
        <v>159.0</v>
      </c>
      <c r="L67" s="9">
        <f t="shared" si="3"/>
        <v>0.2128712871</v>
      </c>
      <c r="M67" s="8">
        <v>439.0</v>
      </c>
      <c r="N67" s="10">
        <v>38410.14</v>
      </c>
      <c r="O67" s="11">
        <f t="shared" si="4"/>
        <v>0.9692921493</v>
      </c>
    </row>
    <row r="68" ht="15.75" customHeight="1">
      <c r="A68" s="12">
        <v>45962.0</v>
      </c>
      <c r="B68" s="4" t="s">
        <v>113</v>
      </c>
      <c r="C68" s="4" t="s">
        <v>1027</v>
      </c>
      <c r="D68" s="4" t="s">
        <v>1031</v>
      </c>
      <c r="E68" s="8">
        <v>24038.0</v>
      </c>
      <c r="F68" s="8">
        <v>12052.0</v>
      </c>
      <c r="G68" s="8">
        <v>1132.0</v>
      </c>
      <c r="H68" s="9">
        <f t="shared" si="1"/>
        <v>0.5013728264</v>
      </c>
      <c r="I68" s="9">
        <f t="shared" si="2"/>
        <v>0.04709210417</v>
      </c>
      <c r="J68" s="8">
        <v>199.0</v>
      </c>
      <c r="K68" s="8">
        <v>164.0</v>
      </c>
      <c r="L68" s="9">
        <f t="shared" si="3"/>
        <v>0.175879397</v>
      </c>
      <c r="M68" s="8">
        <v>169.0</v>
      </c>
      <c r="N68" s="10">
        <v>12417.33</v>
      </c>
      <c r="O68" s="11">
        <f t="shared" si="4"/>
        <v>0.5165708462</v>
      </c>
    </row>
    <row r="69" ht="15.75" customHeight="1">
      <c r="A69" s="12">
        <v>45992.0</v>
      </c>
      <c r="B69" s="4" t="s">
        <v>113</v>
      </c>
      <c r="C69" s="4" t="s">
        <v>1027</v>
      </c>
      <c r="D69" s="4" t="s">
        <v>1031</v>
      </c>
      <c r="E69" s="8">
        <v>26041.0</v>
      </c>
      <c r="F69" s="8">
        <v>12210.0</v>
      </c>
      <c r="G69" s="8">
        <v>1505.0</v>
      </c>
      <c r="H69" s="9">
        <f t="shared" si="1"/>
        <v>0.4688760032</v>
      </c>
      <c r="I69" s="9">
        <f t="shared" si="2"/>
        <v>0.05779347951</v>
      </c>
      <c r="J69" s="8">
        <v>151.0</v>
      </c>
      <c r="K69" s="8">
        <v>123.0</v>
      </c>
      <c r="L69" s="9">
        <f t="shared" si="3"/>
        <v>0.1854304636</v>
      </c>
      <c r="M69" s="8">
        <v>129.0</v>
      </c>
      <c r="N69" s="10">
        <v>10352.39</v>
      </c>
      <c r="O69" s="11">
        <f t="shared" si="4"/>
        <v>0.3975419531</v>
      </c>
    </row>
    <row r="70" ht="15.75" customHeight="1">
      <c r="A70" s="12">
        <v>46023.0</v>
      </c>
      <c r="B70" s="4" t="s">
        <v>113</v>
      </c>
      <c r="C70" s="4" t="s">
        <v>1027</v>
      </c>
      <c r="D70" s="4" t="s">
        <v>1031</v>
      </c>
      <c r="E70" s="8">
        <v>31771.0</v>
      </c>
      <c r="F70" s="8">
        <v>15655.0</v>
      </c>
      <c r="G70" s="8">
        <v>1431.0</v>
      </c>
      <c r="H70" s="9">
        <f t="shared" si="1"/>
        <v>0.4927449561</v>
      </c>
      <c r="I70" s="9">
        <f t="shared" si="2"/>
        <v>0.04504107519</v>
      </c>
      <c r="J70" s="8">
        <v>257.0</v>
      </c>
      <c r="K70" s="8">
        <v>220.0</v>
      </c>
      <c r="L70" s="9">
        <f t="shared" si="3"/>
        <v>0.1439688716</v>
      </c>
      <c r="M70" s="8">
        <v>182.0</v>
      </c>
      <c r="N70" s="10">
        <v>18342.82</v>
      </c>
      <c r="O70" s="11">
        <f t="shared" si="4"/>
        <v>0.5773447484</v>
      </c>
    </row>
    <row r="71" ht="15.75" customHeight="1">
      <c r="A71" s="12">
        <v>46054.0</v>
      </c>
      <c r="B71" s="4" t="s">
        <v>113</v>
      </c>
      <c r="C71" s="4" t="s">
        <v>1027</v>
      </c>
      <c r="D71" s="4" t="s">
        <v>1031</v>
      </c>
      <c r="E71" s="8">
        <v>27325.0</v>
      </c>
      <c r="F71" s="8">
        <v>10407.0</v>
      </c>
      <c r="G71" s="8">
        <v>1315.0</v>
      </c>
      <c r="H71" s="9">
        <f t="shared" si="1"/>
        <v>0.3808600183</v>
      </c>
      <c r="I71" s="9">
        <f t="shared" si="2"/>
        <v>0.04812442818</v>
      </c>
      <c r="J71" s="8">
        <v>128.0</v>
      </c>
      <c r="K71" s="8">
        <v>110.0</v>
      </c>
      <c r="L71" s="9">
        <f t="shared" si="3"/>
        <v>0.140625</v>
      </c>
      <c r="M71" s="8">
        <v>293.0</v>
      </c>
      <c r="N71" s="10">
        <v>21517.44</v>
      </c>
      <c r="O71" s="11">
        <f t="shared" si="4"/>
        <v>0.787463495</v>
      </c>
    </row>
    <row r="72" ht="15.75" customHeight="1">
      <c r="A72" s="12">
        <v>46082.0</v>
      </c>
      <c r="B72" s="4" t="s">
        <v>113</v>
      </c>
      <c r="C72" s="4" t="s">
        <v>1027</v>
      </c>
      <c r="D72" s="4" t="s">
        <v>1031</v>
      </c>
      <c r="E72" s="8">
        <v>22936.0</v>
      </c>
      <c r="F72" s="8">
        <v>8156.0</v>
      </c>
      <c r="G72" s="8">
        <v>691.0</v>
      </c>
      <c r="H72" s="9">
        <f t="shared" si="1"/>
        <v>0.3555981863</v>
      </c>
      <c r="I72" s="9">
        <f t="shared" si="2"/>
        <v>0.03012731078</v>
      </c>
      <c r="J72" s="8">
        <v>84.0</v>
      </c>
      <c r="K72" s="8">
        <v>72.0</v>
      </c>
      <c r="L72" s="9">
        <f t="shared" si="3"/>
        <v>0.1428571429</v>
      </c>
      <c r="M72" s="8">
        <v>122.0</v>
      </c>
      <c r="N72" s="10">
        <v>12354.74</v>
      </c>
      <c r="O72" s="11">
        <f t="shared" si="4"/>
        <v>0.5386614928</v>
      </c>
    </row>
    <row r="73" ht="15.75" customHeight="1">
      <c r="A73" s="12">
        <v>46113.0</v>
      </c>
      <c r="B73" s="4" t="s">
        <v>113</v>
      </c>
      <c r="C73" s="4" t="s">
        <v>1027</v>
      </c>
      <c r="D73" s="4" t="s">
        <v>1031</v>
      </c>
      <c r="E73" s="8">
        <v>41870.0</v>
      </c>
      <c r="F73" s="8">
        <v>18053.0</v>
      </c>
      <c r="G73" s="8">
        <v>2045.0</v>
      </c>
      <c r="H73" s="9">
        <f t="shared" si="1"/>
        <v>0.4311679006</v>
      </c>
      <c r="I73" s="9">
        <f t="shared" si="2"/>
        <v>0.04884165273</v>
      </c>
      <c r="J73" s="8">
        <v>212.0</v>
      </c>
      <c r="K73" s="8">
        <v>175.0</v>
      </c>
      <c r="L73" s="9">
        <f t="shared" si="3"/>
        <v>0.1745283019</v>
      </c>
      <c r="M73" s="8">
        <v>184.0</v>
      </c>
      <c r="N73" s="10">
        <v>20084.82</v>
      </c>
      <c r="O73" s="11">
        <f t="shared" si="4"/>
        <v>0.4796947695</v>
      </c>
    </row>
    <row r="74" ht="15.75" customHeight="1">
      <c r="A74" s="12">
        <v>45778.0</v>
      </c>
      <c r="B74" s="4" t="s">
        <v>1032</v>
      </c>
      <c r="C74" s="4" t="s">
        <v>1033</v>
      </c>
      <c r="D74" s="4" t="s">
        <v>1034</v>
      </c>
      <c r="E74" s="8">
        <v>28597.0</v>
      </c>
      <c r="F74" s="8">
        <v>13002.0</v>
      </c>
      <c r="G74" s="8">
        <v>1254.0</v>
      </c>
      <c r="H74" s="9">
        <f t="shared" si="1"/>
        <v>0.4546630765</v>
      </c>
      <c r="I74" s="9">
        <f t="shared" si="2"/>
        <v>0.04385075358</v>
      </c>
      <c r="J74" s="8">
        <v>262.0</v>
      </c>
      <c r="K74" s="8">
        <v>228.0</v>
      </c>
      <c r="L74" s="9">
        <f t="shared" si="3"/>
        <v>0.1297709924</v>
      </c>
      <c r="M74" s="8">
        <v>309.0</v>
      </c>
      <c r="N74" s="10">
        <v>26859.25</v>
      </c>
      <c r="O74" s="11">
        <f t="shared" si="4"/>
        <v>0.9392331363</v>
      </c>
    </row>
    <row r="75" ht="15.75" customHeight="1">
      <c r="A75" s="12">
        <v>45809.0</v>
      </c>
      <c r="B75" s="4" t="s">
        <v>1032</v>
      </c>
      <c r="C75" s="4" t="s">
        <v>1033</v>
      </c>
      <c r="D75" s="4" t="s">
        <v>1034</v>
      </c>
      <c r="E75" s="8">
        <v>39719.0</v>
      </c>
      <c r="F75" s="8">
        <v>21028.0</v>
      </c>
      <c r="G75" s="8">
        <v>1492.0</v>
      </c>
      <c r="H75" s="9">
        <f t="shared" si="1"/>
        <v>0.5294191697</v>
      </c>
      <c r="I75" s="9">
        <f t="shared" si="2"/>
        <v>0.0375638863</v>
      </c>
      <c r="J75" s="8">
        <v>317.0</v>
      </c>
      <c r="K75" s="8">
        <v>262.0</v>
      </c>
      <c r="L75" s="9">
        <f t="shared" si="3"/>
        <v>0.1735015773</v>
      </c>
      <c r="M75" s="8">
        <v>229.0</v>
      </c>
      <c r="N75" s="10">
        <v>16364.02</v>
      </c>
      <c r="O75" s="11">
        <f t="shared" si="4"/>
        <v>0.4119947632</v>
      </c>
    </row>
    <row r="76" ht="15.75" customHeight="1">
      <c r="A76" s="12">
        <v>45839.0</v>
      </c>
      <c r="B76" s="4" t="s">
        <v>1032</v>
      </c>
      <c r="C76" s="4" t="s">
        <v>1033</v>
      </c>
      <c r="D76" s="4" t="s">
        <v>1034</v>
      </c>
      <c r="E76" s="8">
        <v>26239.0</v>
      </c>
      <c r="F76" s="8">
        <v>12377.0</v>
      </c>
      <c r="G76" s="8">
        <v>1497.0</v>
      </c>
      <c r="H76" s="9">
        <f t="shared" si="1"/>
        <v>0.4717024277</v>
      </c>
      <c r="I76" s="9">
        <f t="shared" si="2"/>
        <v>0.05705247913</v>
      </c>
      <c r="J76" s="8">
        <v>144.0</v>
      </c>
      <c r="K76" s="8">
        <v>116.0</v>
      </c>
      <c r="L76" s="9">
        <f t="shared" si="3"/>
        <v>0.1944444444</v>
      </c>
      <c r="M76" s="8">
        <v>196.0</v>
      </c>
      <c r="N76" s="10">
        <v>18064.24</v>
      </c>
      <c r="O76" s="11">
        <f t="shared" si="4"/>
        <v>0.6884500172</v>
      </c>
    </row>
    <row r="77" ht="15.75" customHeight="1">
      <c r="A77" s="12">
        <v>45870.0</v>
      </c>
      <c r="B77" s="4" t="s">
        <v>1032</v>
      </c>
      <c r="C77" s="4" t="s">
        <v>1033</v>
      </c>
      <c r="D77" s="4" t="s">
        <v>1034</v>
      </c>
      <c r="E77" s="8">
        <v>8799.0</v>
      </c>
      <c r="F77" s="8">
        <v>4557.0</v>
      </c>
      <c r="G77" s="8">
        <v>588.0</v>
      </c>
      <c r="H77" s="9">
        <f t="shared" si="1"/>
        <v>0.5178997613</v>
      </c>
      <c r="I77" s="9">
        <f t="shared" si="2"/>
        <v>0.06682577566</v>
      </c>
      <c r="J77" s="8">
        <v>111.0</v>
      </c>
      <c r="K77" s="8">
        <v>94.0</v>
      </c>
      <c r="L77" s="9">
        <f t="shared" si="3"/>
        <v>0.1531531532</v>
      </c>
      <c r="M77" s="8">
        <v>44.0</v>
      </c>
      <c r="N77" s="10">
        <v>3086.68</v>
      </c>
      <c r="O77" s="11">
        <f t="shared" si="4"/>
        <v>0.3507989544</v>
      </c>
    </row>
    <row r="78" ht="15.75" customHeight="1">
      <c r="A78" s="12">
        <v>45901.0</v>
      </c>
      <c r="B78" s="4" t="s">
        <v>1032</v>
      </c>
      <c r="C78" s="4" t="s">
        <v>1033</v>
      </c>
      <c r="D78" s="4" t="s">
        <v>1034</v>
      </c>
      <c r="E78" s="8">
        <v>10152.0</v>
      </c>
      <c r="F78" s="8">
        <v>4362.0</v>
      </c>
      <c r="G78" s="8">
        <v>335.0</v>
      </c>
      <c r="H78" s="9">
        <f t="shared" si="1"/>
        <v>0.4296690307</v>
      </c>
      <c r="I78" s="9">
        <f t="shared" si="2"/>
        <v>0.03299842396</v>
      </c>
      <c r="J78" s="8">
        <v>42.0</v>
      </c>
      <c r="K78" s="8">
        <v>33.0</v>
      </c>
      <c r="L78" s="9">
        <f t="shared" si="3"/>
        <v>0.2142857143</v>
      </c>
      <c r="M78" s="8">
        <v>81.0</v>
      </c>
      <c r="N78" s="10">
        <v>7296.9</v>
      </c>
      <c r="O78" s="11">
        <f t="shared" si="4"/>
        <v>0.7187647754</v>
      </c>
    </row>
    <row r="79" ht="15.75" customHeight="1">
      <c r="A79" s="12">
        <v>45931.0</v>
      </c>
      <c r="B79" s="4" t="s">
        <v>1032</v>
      </c>
      <c r="C79" s="4" t="s">
        <v>1033</v>
      </c>
      <c r="D79" s="4" t="s">
        <v>1034</v>
      </c>
      <c r="E79" s="8">
        <v>43240.0</v>
      </c>
      <c r="F79" s="8">
        <v>22680.0</v>
      </c>
      <c r="G79" s="8">
        <v>3128.0</v>
      </c>
      <c r="H79" s="9">
        <f t="shared" si="1"/>
        <v>0.5245143386</v>
      </c>
      <c r="I79" s="9">
        <f t="shared" si="2"/>
        <v>0.07234042553</v>
      </c>
      <c r="J79" s="8">
        <v>274.0</v>
      </c>
      <c r="K79" s="8">
        <v>235.0</v>
      </c>
      <c r="L79" s="9">
        <f t="shared" si="3"/>
        <v>0.1423357664</v>
      </c>
      <c r="M79" s="8">
        <v>226.0</v>
      </c>
      <c r="N79" s="10">
        <v>16580.34</v>
      </c>
      <c r="O79" s="11">
        <f t="shared" si="4"/>
        <v>0.3834491212</v>
      </c>
    </row>
    <row r="80" ht="15.75" customHeight="1">
      <c r="A80" s="12">
        <v>45962.0</v>
      </c>
      <c r="B80" s="4" t="s">
        <v>1032</v>
      </c>
      <c r="C80" s="4" t="s">
        <v>1033</v>
      </c>
      <c r="D80" s="4" t="s">
        <v>1034</v>
      </c>
      <c r="E80" s="8">
        <v>19972.0</v>
      </c>
      <c r="F80" s="8">
        <v>9745.0</v>
      </c>
      <c r="G80" s="8">
        <v>1126.0</v>
      </c>
      <c r="H80" s="9">
        <f t="shared" si="1"/>
        <v>0.4879331063</v>
      </c>
      <c r="I80" s="9">
        <f t="shared" si="2"/>
        <v>0.0563789305</v>
      </c>
      <c r="J80" s="8">
        <v>128.0</v>
      </c>
      <c r="K80" s="8">
        <v>112.0</v>
      </c>
      <c r="L80" s="9">
        <f t="shared" si="3"/>
        <v>0.125</v>
      </c>
      <c r="M80" s="8">
        <v>141.0</v>
      </c>
      <c r="N80" s="10">
        <v>8518.37</v>
      </c>
      <c r="O80" s="11">
        <f t="shared" si="4"/>
        <v>0.4265156219</v>
      </c>
    </row>
    <row r="81" ht="15.75" customHeight="1">
      <c r="A81" s="12">
        <v>45992.0</v>
      </c>
      <c r="B81" s="4" t="s">
        <v>1032</v>
      </c>
      <c r="C81" s="4" t="s">
        <v>1033</v>
      </c>
      <c r="D81" s="4" t="s">
        <v>1034</v>
      </c>
      <c r="E81" s="8">
        <v>47920.0</v>
      </c>
      <c r="F81" s="8">
        <v>19319.0</v>
      </c>
      <c r="G81" s="8">
        <v>1727.0</v>
      </c>
      <c r="H81" s="9">
        <f t="shared" si="1"/>
        <v>0.4031510851</v>
      </c>
      <c r="I81" s="9">
        <f t="shared" si="2"/>
        <v>0.03603923205</v>
      </c>
      <c r="J81" s="8">
        <v>317.0</v>
      </c>
      <c r="K81" s="8">
        <v>279.0</v>
      </c>
      <c r="L81" s="9">
        <f t="shared" si="3"/>
        <v>0.119873817</v>
      </c>
      <c r="M81" s="8">
        <v>539.0</v>
      </c>
      <c r="N81" s="10">
        <v>60566.6</v>
      </c>
      <c r="O81" s="11">
        <f t="shared" si="4"/>
        <v>1.263910684</v>
      </c>
    </row>
    <row r="82" ht="15.75" customHeight="1">
      <c r="A82" s="12">
        <v>46023.0</v>
      </c>
      <c r="B82" s="4" t="s">
        <v>1032</v>
      </c>
      <c r="C82" s="4" t="s">
        <v>1033</v>
      </c>
      <c r="D82" s="4" t="s">
        <v>1034</v>
      </c>
      <c r="E82" s="8">
        <v>16686.0</v>
      </c>
      <c r="F82" s="8">
        <v>7583.0</v>
      </c>
      <c r="G82" s="8">
        <v>563.0</v>
      </c>
      <c r="H82" s="9">
        <f t="shared" si="1"/>
        <v>0.4544528347</v>
      </c>
      <c r="I82" s="9">
        <f t="shared" si="2"/>
        <v>0.0337408606</v>
      </c>
      <c r="J82" s="8">
        <v>62.0</v>
      </c>
      <c r="K82" s="8">
        <v>53.0</v>
      </c>
      <c r="L82" s="9">
        <f t="shared" si="3"/>
        <v>0.1451612903</v>
      </c>
      <c r="M82" s="8">
        <v>137.0</v>
      </c>
      <c r="N82" s="10">
        <v>11762.31</v>
      </c>
      <c r="O82" s="11">
        <f t="shared" si="4"/>
        <v>0.7049208918</v>
      </c>
    </row>
    <row r="83" ht="15.75" customHeight="1">
      <c r="A83" s="12">
        <v>46054.0</v>
      </c>
      <c r="B83" s="4" t="s">
        <v>1032</v>
      </c>
      <c r="C83" s="4" t="s">
        <v>1033</v>
      </c>
      <c r="D83" s="4" t="s">
        <v>1034</v>
      </c>
      <c r="E83" s="8">
        <v>43188.0</v>
      </c>
      <c r="F83" s="8">
        <v>22731.0</v>
      </c>
      <c r="G83" s="8">
        <v>1672.0</v>
      </c>
      <c r="H83" s="9">
        <f t="shared" si="1"/>
        <v>0.5263267574</v>
      </c>
      <c r="I83" s="9">
        <f t="shared" si="2"/>
        <v>0.03871445772</v>
      </c>
      <c r="J83" s="8">
        <v>318.0</v>
      </c>
      <c r="K83" s="8">
        <v>251.0</v>
      </c>
      <c r="L83" s="9">
        <f t="shared" si="3"/>
        <v>0.2106918239</v>
      </c>
      <c r="M83" s="8">
        <v>315.0</v>
      </c>
      <c r="N83" s="10">
        <v>26621.87</v>
      </c>
      <c r="O83" s="11">
        <f t="shared" si="4"/>
        <v>0.616418218</v>
      </c>
    </row>
    <row r="84" ht="15.75" customHeight="1">
      <c r="A84" s="12">
        <v>46082.0</v>
      </c>
      <c r="B84" s="4" t="s">
        <v>1032</v>
      </c>
      <c r="C84" s="4" t="s">
        <v>1033</v>
      </c>
      <c r="D84" s="4" t="s">
        <v>1034</v>
      </c>
      <c r="E84" s="8">
        <v>39197.0</v>
      </c>
      <c r="F84" s="8">
        <v>15266.0</v>
      </c>
      <c r="G84" s="8">
        <v>1648.0</v>
      </c>
      <c r="H84" s="9">
        <f t="shared" si="1"/>
        <v>0.3894685818</v>
      </c>
      <c r="I84" s="9">
        <f t="shared" si="2"/>
        <v>0.04204403398</v>
      </c>
      <c r="J84" s="8">
        <v>181.0</v>
      </c>
      <c r="K84" s="8">
        <v>153.0</v>
      </c>
      <c r="L84" s="9">
        <f t="shared" si="3"/>
        <v>0.1546961326</v>
      </c>
      <c r="M84" s="8">
        <v>318.0</v>
      </c>
      <c r="N84" s="10">
        <v>29543.09</v>
      </c>
      <c r="O84" s="11">
        <f t="shared" si="4"/>
        <v>0.7537079368</v>
      </c>
    </row>
    <row r="85" ht="15.75" customHeight="1">
      <c r="A85" s="12">
        <v>46113.0</v>
      </c>
      <c r="B85" s="4" t="s">
        <v>1032</v>
      </c>
      <c r="C85" s="4" t="s">
        <v>1033</v>
      </c>
      <c r="D85" s="4" t="s">
        <v>1034</v>
      </c>
      <c r="E85" s="8">
        <v>15308.0</v>
      </c>
      <c r="F85" s="8">
        <v>7562.0</v>
      </c>
      <c r="G85" s="8">
        <v>763.0</v>
      </c>
      <c r="H85" s="9">
        <f t="shared" si="1"/>
        <v>0.4939900706</v>
      </c>
      <c r="I85" s="9">
        <f t="shared" si="2"/>
        <v>0.04984321923</v>
      </c>
      <c r="J85" s="8">
        <v>129.0</v>
      </c>
      <c r="K85" s="8">
        <v>111.0</v>
      </c>
      <c r="L85" s="9">
        <f t="shared" si="3"/>
        <v>0.1395348837</v>
      </c>
      <c r="M85" s="8">
        <v>133.0</v>
      </c>
      <c r="N85" s="10">
        <v>13743.23</v>
      </c>
      <c r="O85" s="11">
        <f t="shared" si="4"/>
        <v>0.8977808989</v>
      </c>
    </row>
    <row r="86" ht="15.75" customHeight="1">
      <c r="A86" s="12">
        <v>45778.0</v>
      </c>
      <c r="B86" s="4" t="s">
        <v>138</v>
      </c>
      <c r="C86" s="4" t="s">
        <v>1033</v>
      </c>
      <c r="D86" s="4" t="s">
        <v>1034</v>
      </c>
      <c r="E86" s="8">
        <v>8032.0</v>
      </c>
      <c r="F86" s="8">
        <v>3215.0</v>
      </c>
      <c r="G86" s="8">
        <v>316.0</v>
      </c>
      <c r="H86" s="9">
        <f t="shared" si="1"/>
        <v>0.4002739044</v>
      </c>
      <c r="I86" s="9">
        <f t="shared" si="2"/>
        <v>0.03934262948</v>
      </c>
      <c r="J86" s="8">
        <v>37.0</v>
      </c>
      <c r="K86" s="8">
        <v>32.0</v>
      </c>
      <c r="L86" s="9">
        <f t="shared" si="3"/>
        <v>0.1351351351</v>
      </c>
      <c r="M86" s="8">
        <v>47.0</v>
      </c>
      <c r="N86" s="10">
        <v>4088.85</v>
      </c>
      <c r="O86" s="11">
        <f t="shared" si="4"/>
        <v>0.5090699701</v>
      </c>
    </row>
    <row r="87" ht="15.75" customHeight="1">
      <c r="A87" s="12">
        <v>45809.0</v>
      </c>
      <c r="B87" s="4" t="s">
        <v>138</v>
      </c>
      <c r="C87" s="4" t="s">
        <v>1033</v>
      </c>
      <c r="D87" s="4" t="s">
        <v>1034</v>
      </c>
      <c r="E87" s="8">
        <v>26596.0</v>
      </c>
      <c r="F87" s="8">
        <v>14369.0</v>
      </c>
      <c r="G87" s="8">
        <v>1307.0</v>
      </c>
      <c r="H87" s="9">
        <f t="shared" si="1"/>
        <v>0.5402692134</v>
      </c>
      <c r="I87" s="9">
        <f t="shared" si="2"/>
        <v>0.04914272823</v>
      </c>
      <c r="J87" s="8">
        <v>263.0</v>
      </c>
      <c r="K87" s="8">
        <v>214.0</v>
      </c>
      <c r="L87" s="9">
        <f t="shared" si="3"/>
        <v>0.1863117871</v>
      </c>
      <c r="M87" s="8">
        <v>145.0</v>
      </c>
      <c r="N87" s="10">
        <v>13293.0</v>
      </c>
      <c r="O87" s="11">
        <f t="shared" si="4"/>
        <v>0.4998120018</v>
      </c>
    </row>
    <row r="88" ht="15.75" customHeight="1">
      <c r="A88" s="12">
        <v>45839.0</v>
      </c>
      <c r="B88" s="4" t="s">
        <v>138</v>
      </c>
      <c r="C88" s="4" t="s">
        <v>1033</v>
      </c>
      <c r="D88" s="4" t="s">
        <v>1034</v>
      </c>
      <c r="E88" s="8">
        <v>28237.0</v>
      </c>
      <c r="F88" s="8">
        <v>13417.0</v>
      </c>
      <c r="G88" s="8">
        <v>1043.0</v>
      </c>
      <c r="H88" s="9">
        <f t="shared" si="1"/>
        <v>0.4751567093</v>
      </c>
      <c r="I88" s="9">
        <f t="shared" si="2"/>
        <v>0.0369373517</v>
      </c>
      <c r="J88" s="8">
        <v>193.0</v>
      </c>
      <c r="K88" s="8">
        <v>155.0</v>
      </c>
      <c r="L88" s="9">
        <f t="shared" si="3"/>
        <v>0.1968911917</v>
      </c>
      <c r="M88" s="8">
        <v>86.0</v>
      </c>
      <c r="N88" s="10">
        <v>9597.77</v>
      </c>
      <c r="O88" s="11">
        <f t="shared" si="4"/>
        <v>0.3399004852</v>
      </c>
    </row>
    <row r="89" ht="15.75" customHeight="1">
      <c r="A89" s="12">
        <v>45870.0</v>
      </c>
      <c r="B89" s="4" t="s">
        <v>138</v>
      </c>
      <c r="C89" s="4" t="s">
        <v>1033</v>
      </c>
      <c r="D89" s="4" t="s">
        <v>1034</v>
      </c>
      <c r="E89" s="8">
        <v>41393.0</v>
      </c>
      <c r="F89" s="8">
        <v>18382.0</v>
      </c>
      <c r="G89" s="8">
        <v>1496.0</v>
      </c>
      <c r="H89" s="9">
        <f t="shared" si="1"/>
        <v>0.4440847486</v>
      </c>
      <c r="I89" s="9">
        <f t="shared" si="2"/>
        <v>0.03614137656</v>
      </c>
      <c r="J89" s="8">
        <v>133.0</v>
      </c>
      <c r="K89" s="8">
        <v>111.0</v>
      </c>
      <c r="L89" s="9">
        <f t="shared" si="3"/>
        <v>0.1654135338</v>
      </c>
      <c r="M89" s="8">
        <v>237.0</v>
      </c>
      <c r="N89" s="10">
        <v>26903.7</v>
      </c>
      <c r="O89" s="11">
        <f t="shared" si="4"/>
        <v>0.6499577223</v>
      </c>
    </row>
    <row r="90" ht="15.75" customHeight="1">
      <c r="A90" s="12">
        <v>45901.0</v>
      </c>
      <c r="B90" s="4" t="s">
        <v>138</v>
      </c>
      <c r="C90" s="4" t="s">
        <v>1033</v>
      </c>
      <c r="D90" s="4" t="s">
        <v>1034</v>
      </c>
      <c r="E90" s="8">
        <v>37045.0</v>
      </c>
      <c r="F90" s="8">
        <v>15502.0</v>
      </c>
      <c r="G90" s="8">
        <v>1830.0</v>
      </c>
      <c r="H90" s="9">
        <f t="shared" si="1"/>
        <v>0.4184640302</v>
      </c>
      <c r="I90" s="9">
        <f t="shared" si="2"/>
        <v>0.04939937913</v>
      </c>
      <c r="J90" s="8">
        <v>357.0</v>
      </c>
      <c r="K90" s="8">
        <v>288.0</v>
      </c>
      <c r="L90" s="9">
        <f t="shared" si="3"/>
        <v>0.1932773109</v>
      </c>
      <c r="M90" s="8">
        <v>147.0</v>
      </c>
      <c r="N90" s="10">
        <v>10570.5</v>
      </c>
      <c r="O90" s="11">
        <f t="shared" si="4"/>
        <v>0.2853421514</v>
      </c>
    </row>
    <row r="91" ht="15.75" customHeight="1">
      <c r="A91" s="12">
        <v>45931.0</v>
      </c>
      <c r="B91" s="4" t="s">
        <v>138</v>
      </c>
      <c r="C91" s="4" t="s">
        <v>1033</v>
      </c>
      <c r="D91" s="4" t="s">
        <v>1034</v>
      </c>
      <c r="E91" s="8">
        <v>28132.0</v>
      </c>
      <c r="F91" s="8">
        <v>12669.0</v>
      </c>
      <c r="G91" s="8">
        <v>1170.0</v>
      </c>
      <c r="H91" s="9">
        <f t="shared" si="1"/>
        <v>0.4503412484</v>
      </c>
      <c r="I91" s="9">
        <f t="shared" si="2"/>
        <v>0.0415896488</v>
      </c>
      <c r="J91" s="8">
        <v>180.0</v>
      </c>
      <c r="K91" s="8">
        <v>142.0</v>
      </c>
      <c r="L91" s="9">
        <f t="shared" si="3"/>
        <v>0.2111111111</v>
      </c>
      <c r="M91" s="8">
        <v>160.0</v>
      </c>
      <c r="N91" s="10">
        <v>15131.46</v>
      </c>
      <c r="O91" s="11">
        <f t="shared" si="4"/>
        <v>0.5378735959</v>
      </c>
    </row>
    <row r="92" ht="15.75" customHeight="1">
      <c r="A92" s="12">
        <v>45962.0</v>
      </c>
      <c r="B92" s="4" t="s">
        <v>138</v>
      </c>
      <c r="C92" s="4" t="s">
        <v>1033</v>
      </c>
      <c r="D92" s="4" t="s">
        <v>1034</v>
      </c>
      <c r="E92" s="8">
        <v>45421.0</v>
      </c>
      <c r="F92" s="8">
        <v>22000.0</v>
      </c>
      <c r="G92" s="8">
        <v>2038.0</v>
      </c>
      <c r="H92" s="9">
        <f t="shared" si="1"/>
        <v>0.4843574558</v>
      </c>
      <c r="I92" s="9">
        <f t="shared" si="2"/>
        <v>0.04486911341</v>
      </c>
      <c r="J92" s="8">
        <v>217.0</v>
      </c>
      <c r="K92" s="8">
        <v>181.0</v>
      </c>
      <c r="L92" s="9">
        <f t="shared" si="3"/>
        <v>0.1658986175</v>
      </c>
      <c r="M92" s="8">
        <v>206.0</v>
      </c>
      <c r="N92" s="10">
        <v>13900.18</v>
      </c>
      <c r="O92" s="11">
        <f t="shared" si="4"/>
        <v>0.30602981</v>
      </c>
    </row>
    <row r="93" ht="15.75" customHeight="1">
      <c r="A93" s="12">
        <v>45992.0</v>
      </c>
      <c r="B93" s="4" t="s">
        <v>138</v>
      </c>
      <c r="C93" s="4" t="s">
        <v>1033</v>
      </c>
      <c r="D93" s="4" t="s">
        <v>1034</v>
      </c>
      <c r="E93" s="8">
        <v>18297.0</v>
      </c>
      <c r="F93" s="8">
        <v>7595.0</v>
      </c>
      <c r="G93" s="8">
        <v>806.0</v>
      </c>
      <c r="H93" s="9">
        <f t="shared" si="1"/>
        <v>0.4150953708</v>
      </c>
      <c r="I93" s="9">
        <f t="shared" si="2"/>
        <v>0.04405093731</v>
      </c>
      <c r="J93" s="8">
        <v>117.0</v>
      </c>
      <c r="K93" s="8">
        <v>101.0</v>
      </c>
      <c r="L93" s="9">
        <f t="shared" si="3"/>
        <v>0.1367521368</v>
      </c>
      <c r="M93" s="8">
        <v>123.0</v>
      </c>
      <c r="N93" s="10">
        <v>12495.34</v>
      </c>
      <c r="O93" s="11">
        <f t="shared" si="4"/>
        <v>0.6829174182</v>
      </c>
    </row>
    <row r="94" ht="15.75" customHeight="1">
      <c r="A94" s="12">
        <v>46023.0</v>
      </c>
      <c r="B94" s="4" t="s">
        <v>138</v>
      </c>
      <c r="C94" s="4" t="s">
        <v>1033</v>
      </c>
      <c r="D94" s="4" t="s">
        <v>1034</v>
      </c>
      <c r="E94" s="8">
        <v>22989.0</v>
      </c>
      <c r="F94" s="8">
        <v>12335.0</v>
      </c>
      <c r="G94" s="8">
        <v>1270.0</v>
      </c>
      <c r="H94" s="9">
        <f t="shared" si="1"/>
        <v>0.5365609639</v>
      </c>
      <c r="I94" s="9">
        <f t="shared" si="2"/>
        <v>0.05524381226</v>
      </c>
      <c r="J94" s="8">
        <v>253.0</v>
      </c>
      <c r="K94" s="8">
        <v>208.0</v>
      </c>
      <c r="L94" s="9">
        <f t="shared" si="3"/>
        <v>0.1778656126</v>
      </c>
      <c r="M94" s="8">
        <v>98.0</v>
      </c>
      <c r="N94" s="10">
        <v>7646.29</v>
      </c>
      <c r="O94" s="11">
        <f t="shared" si="4"/>
        <v>0.332606464</v>
      </c>
    </row>
    <row r="95" ht="15.75" customHeight="1">
      <c r="A95" s="12">
        <v>46054.0</v>
      </c>
      <c r="B95" s="4" t="s">
        <v>138</v>
      </c>
      <c r="C95" s="4" t="s">
        <v>1033</v>
      </c>
      <c r="D95" s="4" t="s">
        <v>1034</v>
      </c>
      <c r="E95" s="8">
        <v>31195.0</v>
      </c>
      <c r="F95" s="8">
        <v>16091.0</v>
      </c>
      <c r="G95" s="8">
        <v>1481.0</v>
      </c>
      <c r="H95" s="9">
        <f t="shared" si="1"/>
        <v>0.5158198429</v>
      </c>
      <c r="I95" s="9">
        <f t="shared" si="2"/>
        <v>0.04747555698</v>
      </c>
      <c r="J95" s="8">
        <v>182.0</v>
      </c>
      <c r="K95" s="8">
        <v>156.0</v>
      </c>
      <c r="L95" s="9">
        <f t="shared" si="3"/>
        <v>0.1428571429</v>
      </c>
      <c r="M95" s="8">
        <v>307.0</v>
      </c>
      <c r="N95" s="10">
        <v>17910.49</v>
      </c>
      <c r="O95" s="11">
        <f t="shared" si="4"/>
        <v>0.5741461773</v>
      </c>
    </row>
    <row r="96" ht="15.75" customHeight="1">
      <c r="A96" s="12">
        <v>46082.0</v>
      </c>
      <c r="B96" s="4" t="s">
        <v>138</v>
      </c>
      <c r="C96" s="4" t="s">
        <v>1033</v>
      </c>
      <c r="D96" s="4" t="s">
        <v>1034</v>
      </c>
      <c r="E96" s="8">
        <v>34481.0</v>
      </c>
      <c r="F96" s="8">
        <v>12449.0</v>
      </c>
      <c r="G96" s="8">
        <v>1227.0</v>
      </c>
      <c r="H96" s="9">
        <f t="shared" si="1"/>
        <v>0.361039413</v>
      </c>
      <c r="I96" s="9">
        <f t="shared" si="2"/>
        <v>0.03558481483</v>
      </c>
      <c r="J96" s="8">
        <v>209.0</v>
      </c>
      <c r="K96" s="8">
        <v>167.0</v>
      </c>
      <c r="L96" s="9">
        <f t="shared" si="3"/>
        <v>0.2009569378</v>
      </c>
      <c r="M96" s="8">
        <v>245.0</v>
      </c>
      <c r="N96" s="10">
        <v>18240.85</v>
      </c>
      <c r="O96" s="11">
        <f t="shared" si="4"/>
        <v>0.5290116296</v>
      </c>
    </row>
    <row r="97" ht="15.75" customHeight="1">
      <c r="A97" s="12">
        <v>46113.0</v>
      </c>
      <c r="B97" s="4" t="s">
        <v>138</v>
      </c>
      <c r="C97" s="4" t="s">
        <v>1033</v>
      </c>
      <c r="D97" s="4" t="s">
        <v>1034</v>
      </c>
      <c r="E97" s="8">
        <v>21252.0</v>
      </c>
      <c r="F97" s="8">
        <v>8324.0</v>
      </c>
      <c r="G97" s="8">
        <v>1000.0</v>
      </c>
      <c r="H97" s="9">
        <f t="shared" si="1"/>
        <v>0.391680783</v>
      </c>
      <c r="I97" s="9">
        <f t="shared" si="2"/>
        <v>0.04705439488</v>
      </c>
      <c r="J97" s="8">
        <v>121.0</v>
      </c>
      <c r="K97" s="8">
        <v>100.0</v>
      </c>
      <c r="L97" s="9">
        <f t="shared" si="3"/>
        <v>0.173553719</v>
      </c>
      <c r="M97" s="8">
        <v>125.0</v>
      </c>
      <c r="N97" s="10">
        <v>13181.9</v>
      </c>
      <c r="O97" s="11">
        <f t="shared" si="4"/>
        <v>0.6202663279</v>
      </c>
    </row>
    <row r="98" ht="15.75" customHeight="1">
      <c r="A98" s="12">
        <v>45778.0</v>
      </c>
      <c r="B98" s="4" t="s">
        <v>249</v>
      </c>
      <c r="C98" s="4" t="s">
        <v>1033</v>
      </c>
      <c r="D98" s="4" t="s">
        <v>1034</v>
      </c>
      <c r="E98" s="8">
        <v>29344.0</v>
      </c>
      <c r="F98" s="8">
        <v>13545.0</v>
      </c>
      <c r="G98" s="8">
        <v>1648.0</v>
      </c>
      <c r="H98" s="9">
        <f t="shared" si="1"/>
        <v>0.4615935115</v>
      </c>
      <c r="I98" s="9">
        <f t="shared" si="2"/>
        <v>0.05616139586</v>
      </c>
      <c r="J98" s="8">
        <v>315.0</v>
      </c>
      <c r="K98" s="8">
        <v>272.0</v>
      </c>
      <c r="L98" s="9">
        <f t="shared" si="3"/>
        <v>0.1365079365</v>
      </c>
      <c r="M98" s="8">
        <v>204.0</v>
      </c>
      <c r="N98" s="10">
        <v>15185.31</v>
      </c>
      <c r="O98" s="11">
        <f t="shared" si="4"/>
        <v>0.5174928435</v>
      </c>
    </row>
    <row r="99" ht="15.75" customHeight="1">
      <c r="A99" s="12">
        <v>45809.0</v>
      </c>
      <c r="B99" s="4" t="s">
        <v>249</v>
      </c>
      <c r="C99" s="4" t="s">
        <v>1033</v>
      </c>
      <c r="D99" s="4" t="s">
        <v>1034</v>
      </c>
      <c r="E99" s="8">
        <v>12877.0</v>
      </c>
      <c r="F99" s="8">
        <v>5133.0</v>
      </c>
      <c r="G99" s="8">
        <v>476.0</v>
      </c>
      <c r="H99" s="9">
        <f t="shared" si="1"/>
        <v>0.3986176905</v>
      </c>
      <c r="I99" s="9">
        <f t="shared" si="2"/>
        <v>0.03696513163</v>
      </c>
      <c r="J99" s="8">
        <v>70.0</v>
      </c>
      <c r="K99" s="8">
        <v>61.0</v>
      </c>
      <c r="L99" s="9">
        <f t="shared" si="3"/>
        <v>0.1285714286</v>
      </c>
      <c r="M99" s="8">
        <v>93.0</v>
      </c>
      <c r="N99" s="10">
        <v>10812.92</v>
      </c>
      <c r="O99" s="11">
        <f t="shared" si="4"/>
        <v>0.8397080065</v>
      </c>
    </row>
    <row r="100" ht="15.75" customHeight="1">
      <c r="A100" s="12">
        <v>45839.0</v>
      </c>
      <c r="B100" s="4" t="s">
        <v>249</v>
      </c>
      <c r="C100" s="4" t="s">
        <v>1033</v>
      </c>
      <c r="D100" s="4" t="s">
        <v>1034</v>
      </c>
      <c r="E100" s="8">
        <v>11014.0</v>
      </c>
      <c r="F100" s="8">
        <v>5575.0</v>
      </c>
      <c r="G100" s="8">
        <v>542.0</v>
      </c>
      <c r="H100" s="9">
        <f t="shared" si="1"/>
        <v>0.5061739604</v>
      </c>
      <c r="I100" s="9">
        <f t="shared" si="2"/>
        <v>0.04921009624</v>
      </c>
      <c r="J100" s="8">
        <v>116.0</v>
      </c>
      <c r="K100" s="8">
        <v>101.0</v>
      </c>
      <c r="L100" s="9">
        <f t="shared" si="3"/>
        <v>0.1293103448</v>
      </c>
      <c r="M100" s="8">
        <v>57.0</v>
      </c>
      <c r="N100" s="10">
        <v>6681.3</v>
      </c>
      <c r="O100" s="11">
        <f t="shared" si="4"/>
        <v>0.6066188487</v>
      </c>
    </row>
    <row r="101" ht="15.75" customHeight="1">
      <c r="A101" s="12">
        <v>45870.0</v>
      </c>
      <c r="B101" s="4" t="s">
        <v>249</v>
      </c>
      <c r="C101" s="4" t="s">
        <v>1033</v>
      </c>
      <c r="D101" s="4" t="s">
        <v>1034</v>
      </c>
      <c r="E101" s="8">
        <v>46411.0</v>
      </c>
      <c r="F101" s="8">
        <v>19724.0</v>
      </c>
      <c r="G101" s="8">
        <v>1520.0</v>
      </c>
      <c r="H101" s="9">
        <f t="shared" si="1"/>
        <v>0.424985456</v>
      </c>
      <c r="I101" s="9">
        <f t="shared" si="2"/>
        <v>0.03275085648</v>
      </c>
      <c r="J101" s="8">
        <v>257.0</v>
      </c>
      <c r="K101" s="8">
        <v>210.0</v>
      </c>
      <c r="L101" s="9">
        <f t="shared" si="3"/>
        <v>0.1828793774</v>
      </c>
      <c r="M101" s="8">
        <v>293.0</v>
      </c>
      <c r="N101" s="10">
        <v>33231.0</v>
      </c>
      <c r="O101" s="11">
        <f t="shared" si="4"/>
        <v>0.7160155998</v>
      </c>
    </row>
    <row r="102" ht="15.75" customHeight="1">
      <c r="A102" s="12">
        <v>45901.0</v>
      </c>
      <c r="B102" s="4" t="s">
        <v>249</v>
      </c>
      <c r="C102" s="4" t="s">
        <v>1033</v>
      </c>
      <c r="D102" s="4" t="s">
        <v>1034</v>
      </c>
      <c r="E102" s="8">
        <v>15276.0</v>
      </c>
      <c r="F102" s="8">
        <v>6788.0</v>
      </c>
      <c r="G102" s="8">
        <v>893.0</v>
      </c>
      <c r="H102" s="9">
        <f t="shared" si="1"/>
        <v>0.4443571616</v>
      </c>
      <c r="I102" s="9">
        <f t="shared" si="2"/>
        <v>0.05845771144</v>
      </c>
      <c r="J102" s="8">
        <v>80.0</v>
      </c>
      <c r="K102" s="8">
        <v>73.0</v>
      </c>
      <c r="L102" s="9">
        <f t="shared" si="3"/>
        <v>0.0875</v>
      </c>
      <c r="M102" s="8">
        <v>146.0</v>
      </c>
      <c r="N102" s="10">
        <v>15688.96</v>
      </c>
      <c r="O102" s="11">
        <f t="shared" si="4"/>
        <v>1.027033255</v>
      </c>
    </row>
    <row r="103" ht="15.75" customHeight="1">
      <c r="A103" s="12">
        <v>45931.0</v>
      </c>
      <c r="B103" s="4" t="s">
        <v>249</v>
      </c>
      <c r="C103" s="4" t="s">
        <v>1033</v>
      </c>
      <c r="D103" s="4" t="s">
        <v>1034</v>
      </c>
      <c r="E103" s="8">
        <v>17857.0</v>
      </c>
      <c r="F103" s="8">
        <v>8356.0</v>
      </c>
      <c r="G103" s="8">
        <v>920.0</v>
      </c>
      <c r="H103" s="9">
        <f t="shared" si="1"/>
        <v>0.4679397435</v>
      </c>
      <c r="I103" s="9">
        <f t="shared" si="2"/>
        <v>0.05152041216</v>
      </c>
      <c r="J103" s="8">
        <v>145.0</v>
      </c>
      <c r="K103" s="8">
        <v>121.0</v>
      </c>
      <c r="L103" s="9">
        <f t="shared" si="3"/>
        <v>0.1655172414</v>
      </c>
      <c r="M103" s="8">
        <v>106.0</v>
      </c>
      <c r="N103" s="10">
        <v>9624.28</v>
      </c>
      <c r="O103" s="11">
        <f t="shared" si="4"/>
        <v>0.5389639917</v>
      </c>
    </row>
    <row r="104" ht="15.75" customHeight="1">
      <c r="A104" s="12">
        <v>45962.0</v>
      </c>
      <c r="B104" s="4" t="s">
        <v>249</v>
      </c>
      <c r="C104" s="4" t="s">
        <v>1033</v>
      </c>
      <c r="D104" s="4" t="s">
        <v>1034</v>
      </c>
      <c r="E104" s="8">
        <v>25086.0</v>
      </c>
      <c r="F104" s="8">
        <v>11573.0</v>
      </c>
      <c r="G104" s="8">
        <v>1472.0</v>
      </c>
      <c r="H104" s="9">
        <f t="shared" si="1"/>
        <v>0.4613330144</v>
      </c>
      <c r="I104" s="9">
        <f t="shared" si="2"/>
        <v>0.05867814717</v>
      </c>
      <c r="J104" s="8">
        <v>259.0</v>
      </c>
      <c r="K104" s="8">
        <v>207.0</v>
      </c>
      <c r="L104" s="9">
        <f t="shared" si="3"/>
        <v>0.2007722008</v>
      </c>
      <c r="M104" s="8">
        <v>249.0</v>
      </c>
      <c r="N104" s="10">
        <v>27450.64</v>
      </c>
      <c r="O104" s="11">
        <f t="shared" si="4"/>
        <v>1.094261341</v>
      </c>
    </row>
    <row r="105" ht="15.75" customHeight="1">
      <c r="A105" s="12">
        <v>45992.0</v>
      </c>
      <c r="B105" s="4" t="s">
        <v>249</v>
      </c>
      <c r="C105" s="4" t="s">
        <v>1033</v>
      </c>
      <c r="D105" s="4" t="s">
        <v>1034</v>
      </c>
      <c r="E105" s="8">
        <v>28575.0</v>
      </c>
      <c r="F105" s="8">
        <v>15471.0</v>
      </c>
      <c r="G105" s="8">
        <v>1474.0</v>
      </c>
      <c r="H105" s="9">
        <f t="shared" si="1"/>
        <v>0.5414173228</v>
      </c>
      <c r="I105" s="9">
        <f t="shared" si="2"/>
        <v>0.05158355206</v>
      </c>
      <c r="J105" s="8">
        <v>277.0</v>
      </c>
      <c r="K105" s="8">
        <v>245.0</v>
      </c>
      <c r="L105" s="9">
        <f t="shared" si="3"/>
        <v>0.1155234657</v>
      </c>
      <c r="M105" s="8">
        <v>140.0</v>
      </c>
      <c r="N105" s="10">
        <v>10818.64</v>
      </c>
      <c r="O105" s="11">
        <f t="shared" si="4"/>
        <v>0.3786050744</v>
      </c>
    </row>
    <row r="106" ht="15.75" customHeight="1">
      <c r="A106" s="12">
        <v>46023.0</v>
      </c>
      <c r="B106" s="4" t="s">
        <v>249</v>
      </c>
      <c r="C106" s="4" t="s">
        <v>1033</v>
      </c>
      <c r="D106" s="4" t="s">
        <v>1034</v>
      </c>
      <c r="E106" s="8">
        <v>22921.0</v>
      </c>
      <c r="F106" s="8">
        <v>10134.0</v>
      </c>
      <c r="G106" s="8">
        <v>945.0</v>
      </c>
      <c r="H106" s="9">
        <f t="shared" si="1"/>
        <v>0.4421273068</v>
      </c>
      <c r="I106" s="9">
        <f t="shared" si="2"/>
        <v>0.04122856769</v>
      </c>
      <c r="J106" s="8">
        <v>165.0</v>
      </c>
      <c r="K106" s="8">
        <v>144.0</v>
      </c>
      <c r="L106" s="9">
        <f t="shared" si="3"/>
        <v>0.1272727273</v>
      </c>
      <c r="M106" s="8">
        <v>121.0</v>
      </c>
      <c r="N106" s="10">
        <v>12445.94</v>
      </c>
      <c r="O106" s="11">
        <f t="shared" si="4"/>
        <v>0.5429928886</v>
      </c>
    </row>
    <row r="107" ht="15.75" customHeight="1">
      <c r="A107" s="12">
        <v>46054.0</v>
      </c>
      <c r="B107" s="4" t="s">
        <v>249</v>
      </c>
      <c r="C107" s="4" t="s">
        <v>1033</v>
      </c>
      <c r="D107" s="4" t="s">
        <v>1034</v>
      </c>
      <c r="E107" s="8">
        <v>9516.0</v>
      </c>
      <c r="F107" s="8">
        <v>3597.0</v>
      </c>
      <c r="G107" s="8">
        <v>413.0</v>
      </c>
      <c r="H107" s="9">
        <f t="shared" si="1"/>
        <v>0.3779949559</v>
      </c>
      <c r="I107" s="9">
        <f t="shared" si="2"/>
        <v>0.04340058848</v>
      </c>
      <c r="J107" s="8">
        <v>57.0</v>
      </c>
      <c r="K107" s="8">
        <v>50.0</v>
      </c>
      <c r="L107" s="9">
        <f t="shared" si="3"/>
        <v>0.1228070175</v>
      </c>
      <c r="M107" s="8">
        <v>96.0</v>
      </c>
      <c r="N107" s="10">
        <v>10358.44</v>
      </c>
      <c r="O107" s="11">
        <f t="shared" si="4"/>
        <v>1.088528794</v>
      </c>
    </row>
    <row r="108" ht="15.75" customHeight="1">
      <c r="A108" s="12">
        <v>46082.0</v>
      </c>
      <c r="B108" s="4" t="s">
        <v>249</v>
      </c>
      <c r="C108" s="4" t="s">
        <v>1033</v>
      </c>
      <c r="D108" s="4" t="s">
        <v>1034</v>
      </c>
      <c r="E108" s="8">
        <v>11950.0</v>
      </c>
      <c r="F108" s="8">
        <v>6364.0</v>
      </c>
      <c r="G108" s="8">
        <v>673.0</v>
      </c>
      <c r="H108" s="9">
        <f t="shared" si="1"/>
        <v>0.5325523013</v>
      </c>
      <c r="I108" s="9">
        <f t="shared" si="2"/>
        <v>0.05631799163</v>
      </c>
      <c r="J108" s="8">
        <v>55.0</v>
      </c>
      <c r="K108" s="8">
        <v>46.0</v>
      </c>
      <c r="L108" s="9">
        <f t="shared" si="3"/>
        <v>0.1636363636</v>
      </c>
      <c r="M108" s="8">
        <v>39.0</v>
      </c>
      <c r="N108" s="10">
        <v>3441.86</v>
      </c>
      <c r="O108" s="11">
        <f t="shared" si="4"/>
        <v>0.2880217573</v>
      </c>
    </row>
    <row r="109" ht="15.75" customHeight="1">
      <c r="A109" s="12">
        <v>46113.0</v>
      </c>
      <c r="B109" s="4" t="s">
        <v>249</v>
      </c>
      <c r="C109" s="4" t="s">
        <v>1033</v>
      </c>
      <c r="D109" s="4" t="s">
        <v>1034</v>
      </c>
      <c r="E109" s="8">
        <v>29434.0</v>
      </c>
      <c r="F109" s="8">
        <v>14953.0</v>
      </c>
      <c r="G109" s="8">
        <v>1561.0</v>
      </c>
      <c r="H109" s="9">
        <f t="shared" si="1"/>
        <v>0.5080179384</v>
      </c>
      <c r="I109" s="9">
        <f t="shared" si="2"/>
        <v>0.05303390637</v>
      </c>
      <c r="J109" s="8">
        <v>250.0</v>
      </c>
      <c r="K109" s="8">
        <v>217.0</v>
      </c>
      <c r="L109" s="9">
        <f t="shared" si="3"/>
        <v>0.132</v>
      </c>
      <c r="M109" s="8">
        <v>282.0</v>
      </c>
      <c r="N109" s="10">
        <v>25920.99</v>
      </c>
      <c r="O109" s="11">
        <f t="shared" si="4"/>
        <v>0.8806478902</v>
      </c>
    </row>
    <row r="110" ht="15.75" customHeight="1">
      <c r="A110" s="12">
        <v>45778.0</v>
      </c>
      <c r="B110" s="4" t="s">
        <v>663</v>
      </c>
      <c r="C110" s="4" t="s">
        <v>1033</v>
      </c>
      <c r="D110" s="4" t="s">
        <v>1035</v>
      </c>
      <c r="E110" s="8">
        <v>44588.0</v>
      </c>
      <c r="F110" s="8">
        <v>22566.0</v>
      </c>
      <c r="G110" s="8">
        <v>2419.0</v>
      </c>
      <c r="H110" s="9">
        <f t="shared" si="1"/>
        <v>0.506100296</v>
      </c>
      <c r="I110" s="9">
        <f t="shared" si="2"/>
        <v>0.05425226518</v>
      </c>
      <c r="J110" s="8">
        <v>463.0</v>
      </c>
      <c r="K110" s="8">
        <v>415.0</v>
      </c>
      <c r="L110" s="9">
        <f t="shared" si="3"/>
        <v>0.1036717063</v>
      </c>
      <c r="M110" s="8">
        <v>168.0</v>
      </c>
      <c r="N110" s="10">
        <v>19042.77</v>
      </c>
      <c r="O110" s="11">
        <f t="shared" si="4"/>
        <v>0.4270828474</v>
      </c>
    </row>
    <row r="111" ht="15.75" customHeight="1">
      <c r="A111" s="12">
        <v>45809.0</v>
      </c>
      <c r="B111" s="4" t="s">
        <v>663</v>
      </c>
      <c r="C111" s="4" t="s">
        <v>1033</v>
      </c>
      <c r="D111" s="4" t="s">
        <v>1035</v>
      </c>
      <c r="E111" s="8">
        <v>47979.0</v>
      </c>
      <c r="F111" s="8">
        <v>23031.0</v>
      </c>
      <c r="G111" s="8">
        <v>1919.0</v>
      </c>
      <c r="H111" s="9">
        <f t="shared" si="1"/>
        <v>0.4800225098</v>
      </c>
      <c r="I111" s="9">
        <f t="shared" si="2"/>
        <v>0.03999666521</v>
      </c>
      <c r="J111" s="8">
        <v>173.0</v>
      </c>
      <c r="K111" s="8">
        <v>151.0</v>
      </c>
      <c r="L111" s="9">
        <f t="shared" si="3"/>
        <v>0.1271676301</v>
      </c>
      <c r="M111" s="8">
        <v>497.0</v>
      </c>
      <c r="N111" s="10">
        <v>42713.63</v>
      </c>
      <c r="O111" s="11">
        <f t="shared" si="4"/>
        <v>0.890256779</v>
      </c>
    </row>
    <row r="112" ht="15.75" customHeight="1">
      <c r="A112" s="12">
        <v>45839.0</v>
      </c>
      <c r="B112" s="4" t="s">
        <v>663</v>
      </c>
      <c r="C112" s="4" t="s">
        <v>1033</v>
      </c>
      <c r="D112" s="4" t="s">
        <v>1035</v>
      </c>
      <c r="E112" s="8">
        <v>17974.0</v>
      </c>
      <c r="F112" s="8">
        <v>8629.0</v>
      </c>
      <c r="G112" s="8">
        <v>648.0</v>
      </c>
      <c r="H112" s="9">
        <f t="shared" si="1"/>
        <v>0.4800823412</v>
      </c>
      <c r="I112" s="9">
        <f t="shared" si="2"/>
        <v>0.03605207522</v>
      </c>
      <c r="J112" s="8">
        <v>110.0</v>
      </c>
      <c r="K112" s="8">
        <v>91.0</v>
      </c>
      <c r="L112" s="9">
        <f t="shared" si="3"/>
        <v>0.1727272727</v>
      </c>
      <c r="M112" s="8">
        <v>139.0</v>
      </c>
      <c r="N112" s="10">
        <v>13838.17</v>
      </c>
      <c r="O112" s="11">
        <f t="shared" si="4"/>
        <v>0.769899299</v>
      </c>
    </row>
    <row r="113" ht="15.75" customHeight="1">
      <c r="A113" s="12">
        <v>45870.0</v>
      </c>
      <c r="B113" s="4" t="s">
        <v>663</v>
      </c>
      <c r="C113" s="4" t="s">
        <v>1033</v>
      </c>
      <c r="D113" s="4" t="s">
        <v>1035</v>
      </c>
      <c r="E113" s="8">
        <v>36337.0</v>
      </c>
      <c r="F113" s="8">
        <v>19181.0</v>
      </c>
      <c r="G113" s="8">
        <v>1881.0</v>
      </c>
      <c r="H113" s="9">
        <f t="shared" si="1"/>
        <v>0.5278641605</v>
      </c>
      <c r="I113" s="9">
        <f t="shared" si="2"/>
        <v>0.05176541817</v>
      </c>
      <c r="J113" s="8">
        <v>227.0</v>
      </c>
      <c r="K113" s="8">
        <v>196.0</v>
      </c>
      <c r="L113" s="9">
        <f t="shared" si="3"/>
        <v>0.1365638767</v>
      </c>
      <c r="M113" s="8">
        <v>236.0</v>
      </c>
      <c r="N113" s="10">
        <v>13808.9</v>
      </c>
      <c r="O113" s="11">
        <f t="shared" si="4"/>
        <v>0.3800231169</v>
      </c>
    </row>
    <row r="114" ht="15.75" customHeight="1">
      <c r="A114" s="12">
        <v>45901.0</v>
      </c>
      <c r="B114" s="4" t="s">
        <v>663</v>
      </c>
      <c r="C114" s="4" t="s">
        <v>1033</v>
      </c>
      <c r="D114" s="4" t="s">
        <v>1035</v>
      </c>
      <c r="E114" s="8">
        <v>29127.0</v>
      </c>
      <c r="F114" s="8">
        <v>12682.0</v>
      </c>
      <c r="G114" s="8">
        <v>1117.0</v>
      </c>
      <c r="H114" s="9">
        <f t="shared" si="1"/>
        <v>0.4354035774</v>
      </c>
      <c r="I114" s="9">
        <f t="shared" si="2"/>
        <v>0.0383492979</v>
      </c>
      <c r="J114" s="8">
        <v>124.0</v>
      </c>
      <c r="K114" s="8">
        <v>108.0</v>
      </c>
      <c r="L114" s="9">
        <f t="shared" si="3"/>
        <v>0.1290322581</v>
      </c>
      <c r="M114" s="8">
        <v>173.0</v>
      </c>
      <c r="N114" s="10">
        <v>14785.48</v>
      </c>
      <c r="O114" s="11">
        <f t="shared" si="4"/>
        <v>0.5076211076</v>
      </c>
    </row>
    <row r="115" ht="15.75" customHeight="1">
      <c r="A115" s="12">
        <v>45931.0</v>
      </c>
      <c r="B115" s="4" t="s">
        <v>663</v>
      </c>
      <c r="C115" s="4" t="s">
        <v>1033</v>
      </c>
      <c r="D115" s="4" t="s">
        <v>1035</v>
      </c>
      <c r="E115" s="8">
        <v>21128.0</v>
      </c>
      <c r="F115" s="8">
        <v>10648.0</v>
      </c>
      <c r="G115" s="8">
        <v>1173.0</v>
      </c>
      <c r="H115" s="9">
        <f t="shared" si="1"/>
        <v>0.5039757668</v>
      </c>
      <c r="I115" s="9">
        <f t="shared" si="2"/>
        <v>0.0555187429</v>
      </c>
      <c r="J115" s="8">
        <v>152.0</v>
      </c>
      <c r="K115" s="8">
        <v>137.0</v>
      </c>
      <c r="L115" s="9">
        <f t="shared" si="3"/>
        <v>0.09868421053</v>
      </c>
      <c r="M115" s="8">
        <v>228.0</v>
      </c>
      <c r="N115" s="10">
        <v>15311.63</v>
      </c>
      <c r="O115" s="11">
        <f t="shared" si="4"/>
        <v>0.7247079705</v>
      </c>
    </row>
    <row r="116" ht="15.75" customHeight="1">
      <c r="A116" s="12">
        <v>45962.0</v>
      </c>
      <c r="B116" s="4" t="s">
        <v>663</v>
      </c>
      <c r="C116" s="4" t="s">
        <v>1033</v>
      </c>
      <c r="D116" s="4" t="s">
        <v>1035</v>
      </c>
      <c r="E116" s="8">
        <v>17717.0</v>
      </c>
      <c r="F116" s="8">
        <v>6931.0</v>
      </c>
      <c r="G116" s="8">
        <v>573.0</v>
      </c>
      <c r="H116" s="9">
        <f t="shared" si="1"/>
        <v>0.3912061861</v>
      </c>
      <c r="I116" s="9">
        <f t="shared" si="2"/>
        <v>0.03234181859</v>
      </c>
      <c r="J116" s="8">
        <v>47.0</v>
      </c>
      <c r="K116" s="8">
        <v>40.0</v>
      </c>
      <c r="L116" s="9">
        <f t="shared" si="3"/>
        <v>0.1489361702</v>
      </c>
      <c r="M116" s="8">
        <v>187.0</v>
      </c>
      <c r="N116" s="10">
        <v>19591.58</v>
      </c>
      <c r="O116" s="11">
        <f t="shared" si="4"/>
        <v>1.105806852</v>
      </c>
    </row>
    <row r="117" ht="15.75" customHeight="1">
      <c r="A117" s="12">
        <v>45992.0</v>
      </c>
      <c r="B117" s="4" t="s">
        <v>663</v>
      </c>
      <c r="C117" s="4" t="s">
        <v>1033</v>
      </c>
      <c r="D117" s="4" t="s">
        <v>1035</v>
      </c>
      <c r="E117" s="8">
        <v>43394.0</v>
      </c>
      <c r="F117" s="8">
        <v>18212.0</v>
      </c>
      <c r="G117" s="8">
        <v>1363.0</v>
      </c>
      <c r="H117" s="9">
        <f t="shared" si="1"/>
        <v>0.419689358</v>
      </c>
      <c r="I117" s="9">
        <f t="shared" si="2"/>
        <v>0.03140987233</v>
      </c>
      <c r="J117" s="8">
        <v>275.0</v>
      </c>
      <c r="K117" s="8">
        <v>250.0</v>
      </c>
      <c r="L117" s="9">
        <f t="shared" si="3"/>
        <v>0.09090909091</v>
      </c>
      <c r="M117" s="8">
        <v>387.0</v>
      </c>
      <c r="N117" s="10">
        <v>27129.51</v>
      </c>
      <c r="O117" s="11">
        <f t="shared" si="4"/>
        <v>0.6251903489</v>
      </c>
    </row>
    <row r="118" ht="15.75" customHeight="1">
      <c r="A118" s="12">
        <v>46023.0</v>
      </c>
      <c r="B118" s="4" t="s">
        <v>663</v>
      </c>
      <c r="C118" s="4" t="s">
        <v>1033</v>
      </c>
      <c r="D118" s="4" t="s">
        <v>1035</v>
      </c>
      <c r="E118" s="8">
        <v>18701.0</v>
      </c>
      <c r="F118" s="8">
        <v>8132.0</v>
      </c>
      <c r="G118" s="8">
        <v>723.0</v>
      </c>
      <c r="H118" s="9">
        <f t="shared" si="1"/>
        <v>0.4348430565</v>
      </c>
      <c r="I118" s="9">
        <f t="shared" si="2"/>
        <v>0.03866103417</v>
      </c>
      <c r="J118" s="8">
        <v>152.0</v>
      </c>
      <c r="K118" s="8">
        <v>123.0</v>
      </c>
      <c r="L118" s="9">
        <f t="shared" si="3"/>
        <v>0.1907894737</v>
      </c>
      <c r="M118" s="8">
        <v>115.0</v>
      </c>
      <c r="N118" s="10">
        <v>7617.45</v>
      </c>
      <c r="O118" s="11">
        <f t="shared" si="4"/>
        <v>0.4073284851</v>
      </c>
    </row>
    <row r="119" ht="15.75" customHeight="1">
      <c r="A119" s="12">
        <v>46054.0</v>
      </c>
      <c r="B119" s="4" t="s">
        <v>663</v>
      </c>
      <c r="C119" s="4" t="s">
        <v>1033</v>
      </c>
      <c r="D119" s="4" t="s">
        <v>1035</v>
      </c>
      <c r="E119" s="8">
        <v>36812.0</v>
      </c>
      <c r="F119" s="8">
        <v>13790.0</v>
      </c>
      <c r="G119" s="8">
        <v>1880.0</v>
      </c>
      <c r="H119" s="9">
        <f t="shared" si="1"/>
        <v>0.3746061067</v>
      </c>
      <c r="I119" s="9">
        <f t="shared" si="2"/>
        <v>0.05107030316</v>
      </c>
      <c r="J119" s="8">
        <v>157.0</v>
      </c>
      <c r="K119" s="8">
        <v>141.0</v>
      </c>
      <c r="L119" s="9">
        <f t="shared" si="3"/>
        <v>0.101910828</v>
      </c>
      <c r="M119" s="8">
        <v>393.0</v>
      </c>
      <c r="N119" s="10">
        <v>27712.42</v>
      </c>
      <c r="O119" s="11">
        <f t="shared" si="4"/>
        <v>0.75280941</v>
      </c>
    </row>
    <row r="120" ht="15.75" customHeight="1">
      <c r="A120" s="12">
        <v>46082.0</v>
      </c>
      <c r="B120" s="4" t="s">
        <v>663</v>
      </c>
      <c r="C120" s="4" t="s">
        <v>1033</v>
      </c>
      <c r="D120" s="4" t="s">
        <v>1035</v>
      </c>
      <c r="E120" s="8">
        <v>11225.0</v>
      </c>
      <c r="F120" s="8">
        <v>4931.0</v>
      </c>
      <c r="G120" s="8">
        <v>482.0</v>
      </c>
      <c r="H120" s="9">
        <f t="shared" si="1"/>
        <v>0.4392873051</v>
      </c>
      <c r="I120" s="9">
        <f t="shared" si="2"/>
        <v>0.04293986637</v>
      </c>
      <c r="J120" s="8">
        <v>52.0</v>
      </c>
      <c r="K120" s="8">
        <v>43.0</v>
      </c>
      <c r="L120" s="9">
        <f t="shared" si="3"/>
        <v>0.1730769231</v>
      </c>
      <c r="M120" s="8">
        <v>115.0</v>
      </c>
      <c r="N120" s="10">
        <v>7310.68</v>
      </c>
      <c r="O120" s="11">
        <f t="shared" si="4"/>
        <v>0.6512855234</v>
      </c>
    </row>
    <row r="121" ht="15.75" customHeight="1">
      <c r="A121" s="12">
        <v>46113.0</v>
      </c>
      <c r="B121" s="4" t="s">
        <v>663</v>
      </c>
      <c r="C121" s="4" t="s">
        <v>1033</v>
      </c>
      <c r="D121" s="4" t="s">
        <v>1035</v>
      </c>
      <c r="E121" s="8">
        <v>19475.0</v>
      </c>
      <c r="F121" s="8">
        <v>8789.0</v>
      </c>
      <c r="G121" s="8">
        <v>971.0</v>
      </c>
      <c r="H121" s="9">
        <f t="shared" si="1"/>
        <v>0.451296534</v>
      </c>
      <c r="I121" s="9">
        <f t="shared" si="2"/>
        <v>0.04985879332</v>
      </c>
      <c r="J121" s="8">
        <v>147.0</v>
      </c>
      <c r="K121" s="8">
        <v>118.0</v>
      </c>
      <c r="L121" s="9">
        <f t="shared" si="3"/>
        <v>0.1972789116</v>
      </c>
      <c r="M121" s="8">
        <v>95.0</v>
      </c>
      <c r="N121" s="10">
        <v>10871.97</v>
      </c>
      <c r="O121" s="11">
        <f t="shared" si="4"/>
        <v>0.5582526316</v>
      </c>
    </row>
    <row r="122" ht="15.75" customHeight="1">
      <c r="A122" s="12">
        <v>45778.0</v>
      </c>
      <c r="B122" s="4" t="s">
        <v>212</v>
      </c>
      <c r="C122" s="4" t="s">
        <v>1033</v>
      </c>
      <c r="D122" s="4" t="s">
        <v>1036</v>
      </c>
      <c r="E122" s="8">
        <v>47639.0</v>
      </c>
      <c r="F122" s="8">
        <v>20088.0</v>
      </c>
      <c r="G122" s="8">
        <v>2805.0</v>
      </c>
      <c r="H122" s="9">
        <f t="shared" si="1"/>
        <v>0.4216713197</v>
      </c>
      <c r="I122" s="9">
        <f t="shared" si="2"/>
        <v>0.05888032914</v>
      </c>
      <c r="J122" s="8">
        <v>387.0</v>
      </c>
      <c r="K122" s="8">
        <v>313.0</v>
      </c>
      <c r="L122" s="9">
        <f t="shared" si="3"/>
        <v>0.1912144703</v>
      </c>
      <c r="M122" s="8">
        <v>181.0</v>
      </c>
      <c r="N122" s="10">
        <v>16003.04</v>
      </c>
      <c r="O122" s="11">
        <f t="shared" si="4"/>
        <v>0.3359230882</v>
      </c>
    </row>
    <row r="123" ht="15.75" customHeight="1">
      <c r="A123" s="12">
        <v>45809.0</v>
      </c>
      <c r="B123" s="4" t="s">
        <v>212</v>
      </c>
      <c r="C123" s="4" t="s">
        <v>1033</v>
      </c>
      <c r="D123" s="4" t="s">
        <v>1036</v>
      </c>
      <c r="E123" s="8">
        <v>39324.0</v>
      </c>
      <c r="F123" s="8">
        <v>15771.0</v>
      </c>
      <c r="G123" s="8">
        <v>1227.0</v>
      </c>
      <c r="H123" s="9">
        <f t="shared" si="1"/>
        <v>0.4010527922</v>
      </c>
      <c r="I123" s="9">
        <f t="shared" si="2"/>
        <v>0.03120231919</v>
      </c>
      <c r="J123" s="8">
        <v>176.0</v>
      </c>
      <c r="K123" s="8">
        <v>137.0</v>
      </c>
      <c r="L123" s="9">
        <f t="shared" si="3"/>
        <v>0.2215909091</v>
      </c>
      <c r="M123" s="8">
        <v>402.0</v>
      </c>
      <c r="N123" s="10">
        <v>32971.44</v>
      </c>
      <c r="O123" s="11">
        <f t="shared" si="4"/>
        <v>0.8384559048</v>
      </c>
    </row>
    <row r="124" ht="15.75" customHeight="1">
      <c r="A124" s="12">
        <v>45839.0</v>
      </c>
      <c r="B124" s="4" t="s">
        <v>212</v>
      </c>
      <c r="C124" s="4" t="s">
        <v>1033</v>
      </c>
      <c r="D124" s="4" t="s">
        <v>1036</v>
      </c>
      <c r="E124" s="8">
        <v>14557.0</v>
      </c>
      <c r="F124" s="8">
        <v>6127.0</v>
      </c>
      <c r="G124" s="8">
        <v>834.0</v>
      </c>
      <c r="H124" s="9">
        <f t="shared" si="1"/>
        <v>0.4208971629</v>
      </c>
      <c r="I124" s="9">
        <f t="shared" si="2"/>
        <v>0.05729202446</v>
      </c>
      <c r="J124" s="8">
        <v>164.0</v>
      </c>
      <c r="K124" s="8">
        <v>137.0</v>
      </c>
      <c r="L124" s="9">
        <f t="shared" si="3"/>
        <v>0.1646341463</v>
      </c>
      <c r="M124" s="8">
        <v>154.0</v>
      </c>
      <c r="N124" s="10">
        <v>11710.42</v>
      </c>
      <c r="O124" s="11">
        <f t="shared" si="4"/>
        <v>0.8044528406</v>
      </c>
    </row>
    <row r="125" ht="15.75" customHeight="1">
      <c r="A125" s="12">
        <v>45870.0</v>
      </c>
      <c r="B125" s="4" t="s">
        <v>212</v>
      </c>
      <c r="C125" s="4" t="s">
        <v>1033</v>
      </c>
      <c r="D125" s="4" t="s">
        <v>1036</v>
      </c>
      <c r="E125" s="8">
        <v>13534.0</v>
      </c>
      <c r="F125" s="8">
        <v>6497.0</v>
      </c>
      <c r="G125" s="8">
        <v>823.0</v>
      </c>
      <c r="H125" s="9">
        <f t="shared" si="1"/>
        <v>0.4800502438</v>
      </c>
      <c r="I125" s="9">
        <f t="shared" si="2"/>
        <v>0.06080981232</v>
      </c>
      <c r="J125" s="8">
        <v>166.0</v>
      </c>
      <c r="K125" s="8">
        <v>129.0</v>
      </c>
      <c r="L125" s="9">
        <f t="shared" si="3"/>
        <v>0.2228915663</v>
      </c>
      <c r="M125" s="8">
        <v>158.0</v>
      </c>
      <c r="N125" s="10">
        <v>16080.88</v>
      </c>
      <c r="O125" s="11">
        <f t="shared" si="4"/>
        <v>1.188183833</v>
      </c>
    </row>
    <row r="126" ht="15.75" customHeight="1">
      <c r="A126" s="12">
        <v>45901.0</v>
      </c>
      <c r="B126" s="4" t="s">
        <v>212</v>
      </c>
      <c r="C126" s="4" t="s">
        <v>1033</v>
      </c>
      <c r="D126" s="4" t="s">
        <v>1036</v>
      </c>
      <c r="E126" s="8">
        <v>29185.0</v>
      </c>
      <c r="F126" s="8">
        <v>10479.0</v>
      </c>
      <c r="G126" s="8">
        <v>1355.0</v>
      </c>
      <c r="H126" s="9">
        <f t="shared" si="1"/>
        <v>0.3590543087</v>
      </c>
      <c r="I126" s="9">
        <f t="shared" si="2"/>
        <v>0.04642795957</v>
      </c>
      <c r="J126" s="8">
        <v>142.0</v>
      </c>
      <c r="K126" s="8">
        <v>110.0</v>
      </c>
      <c r="L126" s="9">
        <f t="shared" si="3"/>
        <v>0.2253521127</v>
      </c>
      <c r="M126" s="8">
        <v>223.0</v>
      </c>
      <c r="N126" s="10">
        <v>14810.15</v>
      </c>
      <c r="O126" s="11">
        <f t="shared" si="4"/>
        <v>0.5074575981</v>
      </c>
    </row>
    <row r="127" ht="15.75" customHeight="1">
      <c r="A127" s="12">
        <v>45931.0</v>
      </c>
      <c r="B127" s="4" t="s">
        <v>212</v>
      </c>
      <c r="C127" s="4" t="s">
        <v>1033</v>
      </c>
      <c r="D127" s="4" t="s">
        <v>1036</v>
      </c>
      <c r="E127" s="8">
        <v>38789.0</v>
      </c>
      <c r="F127" s="8">
        <v>19489.0</v>
      </c>
      <c r="G127" s="8">
        <v>1447.0</v>
      </c>
      <c r="H127" s="9">
        <f t="shared" si="1"/>
        <v>0.5024362577</v>
      </c>
      <c r="I127" s="9">
        <f t="shared" si="2"/>
        <v>0.03730439042</v>
      </c>
      <c r="J127" s="8">
        <v>278.0</v>
      </c>
      <c r="K127" s="8">
        <v>250.0</v>
      </c>
      <c r="L127" s="9">
        <f t="shared" si="3"/>
        <v>0.1007194245</v>
      </c>
      <c r="M127" s="8">
        <v>347.0</v>
      </c>
      <c r="N127" s="10">
        <v>27864.88</v>
      </c>
      <c r="O127" s="11">
        <f t="shared" si="4"/>
        <v>0.7183706721</v>
      </c>
    </row>
    <row r="128" ht="15.75" customHeight="1">
      <c r="A128" s="12">
        <v>45962.0</v>
      </c>
      <c r="B128" s="4" t="s">
        <v>212</v>
      </c>
      <c r="C128" s="4" t="s">
        <v>1033</v>
      </c>
      <c r="D128" s="4" t="s">
        <v>1036</v>
      </c>
      <c r="E128" s="8">
        <v>35189.0</v>
      </c>
      <c r="F128" s="8">
        <v>18110.0</v>
      </c>
      <c r="G128" s="8">
        <v>1799.0</v>
      </c>
      <c r="H128" s="9">
        <f t="shared" si="1"/>
        <v>0.5146494643</v>
      </c>
      <c r="I128" s="9">
        <f t="shared" si="2"/>
        <v>0.05112393077</v>
      </c>
      <c r="J128" s="8">
        <v>187.0</v>
      </c>
      <c r="K128" s="8">
        <v>159.0</v>
      </c>
      <c r="L128" s="9">
        <f t="shared" si="3"/>
        <v>0.1497326203</v>
      </c>
      <c r="M128" s="8">
        <v>153.0</v>
      </c>
      <c r="N128" s="10">
        <v>16304.45</v>
      </c>
      <c r="O128" s="11">
        <f t="shared" si="4"/>
        <v>0.4633393958</v>
      </c>
    </row>
    <row r="129" ht="15.75" customHeight="1">
      <c r="A129" s="12">
        <v>45992.0</v>
      </c>
      <c r="B129" s="4" t="s">
        <v>212</v>
      </c>
      <c r="C129" s="4" t="s">
        <v>1033</v>
      </c>
      <c r="D129" s="4" t="s">
        <v>1036</v>
      </c>
      <c r="E129" s="8">
        <v>19902.0</v>
      </c>
      <c r="F129" s="8">
        <v>8418.0</v>
      </c>
      <c r="G129" s="8">
        <v>1134.0</v>
      </c>
      <c r="H129" s="9">
        <f t="shared" si="1"/>
        <v>0.4229725656</v>
      </c>
      <c r="I129" s="9">
        <f t="shared" si="2"/>
        <v>0.05697919807</v>
      </c>
      <c r="J129" s="8">
        <v>215.0</v>
      </c>
      <c r="K129" s="8">
        <v>168.0</v>
      </c>
      <c r="L129" s="9">
        <f t="shared" si="3"/>
        <v>0.2186046512</v>
      </c>
      <c r="M129" s="8">
        <v>96.0</v>
      </c>
      <c r="N129" s="10">
        <v>7893.05</v>
      </c>
      <c r="O129" s="11">
        <f t="shared" si="4"/>
        <v>0.3965958195</v>
      </c>
    </row>
    <row r="130" ht="15.75" customHeight="1">
      <c r="A130" s="12">
        <v>46023.0</v>
      </c>
      <c r="B130" s="4" t="s">
        <v>212</v>
      </c>
      <c r="C130" s="4" t="s">
        <v>1033</v>
      </c>
      <c r="D130" s="4" t="s">
        <v>1036</v>
      </c>
      <c r="E130" s="8">
        <v>32456.0</v>
      </c>
      <c r="F130" s="8">
        <v>17259.0</v>
      </c>
      <c r="G130" s="8">
        <v>1528.0</v>
      </c>
      <c r="H130" s="9">
        <f t="shared" si="1"/>
        <v>0.5317660833</v>
      </c>
      <c r="I130" s="9">
        <f t="shared" si="2"/>
        <v>0.0470791225</v>
      </c>
      <c r="J130" s="8">
        <v>190.0</v>
      </c>
      <c r="K130" s="8">
        <v>169.0</v>
      </c>
      <c r="L130" s="9">
        <f t="shared" si="3"/>
        <v>0.1105263158</v>
      </c>
      <c r="M130" s="8">
        <v>194.0</v>
      </c>
      <c r="N130" s="10">
        <v>21597.87</v>
      </c>
      <c r="O130" s="11">
        <f t="shared" si="4"/>
        <v>0.6654507641</v>
      </c>
    </row>
    <row r="131" ht="15.75" customHeight="1">
      <c r="A131" s="12">
        <v>46054.0</v>
      </c>
      <c r="B131" s="4" t="s">
        <v>212</v>
      </c>
      <c r="C131" s="4" t="s">
        <v>1033</v>
      </c>
      <c r="D131" s="4" t="s">
        <v>1036</v>
      </c>
      <c r="E131" s="8">
        <v>10242.0</v>
      </c>
      <c r="F131" s="8">
        <v>5090.0</v>
      </c>
      <c r="G131" s="8">
        <v>407.0</v>
      </c>
      <c r="H131" s="9">
        <f t="shared" si="1"/>
        <v>0.4969732474</v>
      </c>
      <c r="I131" s="9">
        <f t="shared" si="2"/>
        <v>0.03973833236</v>
      </c>
      <c r="J131" s="8">
        <v>55.0</v>
      </c>
      <c r="K131" s="8">
        <v>47.0</v>
      </c>
      <c r="L131" s="9">
        <f t="shared" si="3"/>
        <v>0.1454545455</v>
      </c>
      <c r="M131" s="8">
        <v>101.0</v>
      </c>
      <c r="N131" s="10">
        <v>10236.49</v>
      </c>
      <c r="O131" s="11">
        <f t="shared" si="4"/>
        <v>0.9994620191</v>
      </c>
    </row>
    <row r="132" ht="15.75" customHeight="1">
      <c r="A132" s="12">
        <v>46082.0</v>
      </c>
      <c r="B132" s="4" t="s">
        <v>212</v>
      </c>
      <c r="C132" s="4" t="s">
        <v>1033</v>
      </c>
      <c r="D132" s="4" t="s">
        <v>1036</v>
      </c>
      <c r="E132" s="8">
        <v>19124.0</v>
      </c>
      <c r="F132" s="8">
        <v>7298.0</v>
      </c>
      <c r="G132" s="8">
        <v>518.0</v>
      </c>
      <c r="H132" s="9">
        <f t="shared" si="1"/>
        <v>0.381614725</v>
      </c>
      <c r="I132" s="9">
        <f t="shared" si="2"/>
        <v>0.0270863836</v>
      </c>
      <c r="J132" s="8">
        <v>106.0</v>
      </c>
      <c r="K132" s="8">
        <v>84.0</v>
      </c>
      <c r="L132" s="9">
        <f t="shared" si="3"/>
        <v>0.2075471698</v>
      </c>
      <c r="M132" s="8">
        <v>227.0</v>
      </c>
      <c r="N132" s="10">
        <v>14697.03</v>
      </c>
      <c r="O132" s="11">
        <f t="shared" si="4"/>
        <v>0.7685123405</v>
      </c>
    </row>
    <row r="133" ht="15.75" customHeight="1">
      <c r="A133" s="12">
        <v>46113.0</v>
      </c>
      <c r="B133" s="4" t="s">
        <v>212</v>
      </c>
      <c r="C133" s="4" t="s">
        <v>1033</v>
      </c>
      <c r="D133" s="4" t="s">
        <v>1036</v>
      </c>
      <c r="E133" s="8">
        <v>39174.0</v>
      </c>
      <c r="F133" s="8">
        <v>17349.0</v>
      </c>
      <c r="G133" s="8">
        <v>1718.0</v>
      </c>
      <c r="H133" s="9">
        <f t="shared" si="1"/>
        <v>0.4428702711</v>
      </c>
      <c r="I133" s="9">
        <f t="shared" si="2"/>
        <v>0.04385561852</v>
      </c>
      <c r="J133" s="8">
        <v>353.0</v>
      </c>
      <c r="K133" s="8">
        <v>297.0</v>
      </c>
      <c r="L133" s="9">
        <f t="shared" si="3"/>
        <v>0.1586402266</v>
      </c>
      <c r="M133" s="8">
        <v>419.0</v>
      </c>
      <c r="N133" s="10">
        <v>44650.95</v>
      </c>
      <c r="O133" s="11">
        <f t="shared" si="4"/>
        <v>1.139810844</v>
      </c>
    </row>
    <row r="134" ht="15.75" customHeight="1">
      <c r="A134" s="12">
        <v>45778.0</v>
      </c>
      <c r="B134" s="4" t="s">
        <v>321</v>
      </c>
      <c r="C134" s="4" t="s">
        <v>1033</v>
      </c>
      <c r="D134" s="4" t="s">
        <v>1036</v>
      </c>
      <c r="E134" s="8">
        <v>8047.0</v>
      </c>
      <c r="F134" s="8">
        <v>3317.0</v>
      </c>
      <c r="G134" s="8">
        <v>341.0</v>
      </c>
      <c r="H134" s="9">
        <f t="shared" si="1"/>
        <v>0.4122033056</v>
      </c>
      <c r="I134" s="9">
        <f t="shared" si="2"/>
        <v>0.04237604076</v>
      </c>
      <c r="J134" s="8">
        <v>70.0</v>
      </c>
      <c r="K134" s="8">
        <v>55.0</v>
      </c>
      <c r="L134" s="9">
        <f t="shared" si="3"/>
        <v>0.2142857143</v>
      </c>
      <c r="M134" s="8">
        <v>71.0</v>
      </c>
      <c r="N134" s="10">
        <v>5675.38</v>
      </c>
      <c r="O134" s="11">
        <f t="shared" si="4"/>
        <v>0.705278986</v>
      </c>
    </row>
    <row r="135" ht="15.75" customHeight="1">
      <c r="A135" s="12">
        <v>45809.0</v>
      </c>
      <c r="B135" s="4" t="s">
        <v>321</v>
      </c>
      <c r="C135" s="4" t="s">
        <v>1033</v>
      </c>
      <c r="D135" s="4" t="s">
        <v>1036</v>
      </c>
      <c r="E135" s="8">
        <v>14317.0</v>
      </c>
      <c r="F135" s="8">
        <v>6379.0</v>
      </c>
      <c r="G135" s="8">
        <v>780.0</v>
      </c>
      <c r="H135" s="9">
        <f t="shared" si="1"/>
        <v>0.4455542362</v>
      </c>
      <c r="I135" s="9">
        <f t="shared" si="2"/>
        <v>0.05448068729</v>
      </c>
      <c r="J135" s="8">
        <v>155.0</v>
      </c>
      <c r="K135" s="8">
        <v>125.0</v>
      </c>
      <c r="L135" s="9">
        <f t="shared" si="3"/>
        <v>0.1935483871</v>
      </c>
      <c r="M135" s="8">
        <v>71.0</v>
      </c>
      <c r="N135" s="10">
        <v>4670.98</v>
      </c>
      <c r="O135" s="11">
        <f t="shared" si="4"/>
        <v>0.3262541035</v>
      </c>
    </row>
    <row r="136" ht="15.75" customHeight="1">
      <c r="A136" s="12">
        <v>45839.0</v>
      </c>
      <c r="B136" s="4" t="s">
        <v>321</v>
      </c>
      <c r="C136" s="4" t="s">
        <v>1033</v>
      </c>
      <c r="D136" s="4" t="s">
        <v>1036</v>
      </c>
      <c r="E136" s="8">
        <v>17345.0</v>
      </c>
      <c r="F136" s="8">
        <v>6853.0</v>
      </c>
      <c r="G136" s="8">
        <v>519.0</v>
      </c>
      <c r="H136" s="9">
        <f t="shared" si="1"/>
        <v>0.3950994523</v>
      </c>
      <c r="I136" s="9">
        <f t="shared" si="2"/>
        <v>0.02992216777</v>
      </c>
      <c r="J136" s="8">
        <v>48.0</v>
      </c>
      <c r="K136" s="8">
        <v>40.0</v>
      </c>
      <c r="L136" s="9">
        <f t="shared" si="3"/>
        <v>0.1666666667</v>
      </c>
      <c r="M136" s="8">
        <v>190.0</v>
      </c>
      <c r="N136" s="10">
        <v>12219.6</v>
      </c>
      <c r="O136" s="11">
        <f t="shared" si="4"/>
        <v>0.7045027385</v>
      </c>
    </row>
    <row r="137" ht="15.75" customHeight="1">
      <c r="A137" s="12">
        <v>45870.0</v>
      </c>
      <c r="B137" s="4" t="s">
        <v>321</v>
      </c>
      <c r="C137" s="4" t="s">
        <v>1033</v>
      </c>
      <c r="D137" s="4" t="s">
        <v>1036</v>
      </c>
      <c r="E137" s="8">
        <v>22825.0</v>
      </c>
      <c r="F137" s="8">
        <v>9133.0</v>
      </c>
      <c r="G137" s="8">
        <v>1106.0</v>
      </c>
      <c r="H137" s="9">
        <f t="shared" si="1"/>
        <v>0.4001314348</v>
      </c>
      <c r="I137" s="9">
        <f t="shared" si="2"/>
        <v>0.04845564074</v>
      </c>
      <c r="J137" s="8">
        <v>135.0</v>
      </c>
      <c r="K137" s="8">
        <v>118.0</v>
      </c>
      <c r="L137" s="9">
        <f t="shared" si="3"/>
        <v>0.1259259259</v>
      </c>
      <c r="M137" s="8">
        <v>163.0</v>
      </c>
      <c r="N137" s="10">
        <v>15231.87</v>
      </c>
      <c r="O137" s="11">
        <f t="shared" si="4"/>
        <v>0.6673327492</v>
      </c>
    </row>
    <row r="138" ht="15.75" customHeight="1">
      <c r="A138" s="12">
        <v>45901.0</v>
      </c>
      <c r="B138" s="4" t="s">
        <v>321</v>
      </c>
      <c r="C138" s="4" t="s">
        <v>1033</v>
      </c>
      <c r="D138" s="4" t="s">
        <v>1036</v>
      </c>
      <c r="E138" s="8">
        <v>41875.0</v>
      </c>
      <c r="F138" s="8">
        <v>19490.0</v>
      </c>
      <c r="G138" s="8">
        <v>2569.0</v>
      </c>
      <c r="H138" s="9">
        <f t="shared" si="1"/>
        <v>0.4654328358</v>
      </c>
      <c r="I138" s="9">
        <f t="shared" si="2"/>
        <v>0.06134925373</v>
      </c>
      <c r="J138" s="8">
        <v>478.0</v>
      </c>
      <c r="K138" s="8">
        <v>381.0</v>
      </c>
      <c r="L138" s="9">
        <f t="shared" si="3"/>
        <v>0.2029288703</v>
      </c>
      <c r="M138" s="8">
        <v>284.0</v>
      </c>
      <c r="N138" s="10">
        <v>27738.88</v>
      </c>
      <c r="O138" s="11">
        <f t="shared" si="4"/>
        <v>0.6624210149</v>
      </c>
    </row>
    <row r="139" ht="15.75" customHeight="1">
      <c r="A139" s="12">
        <v>45931.0</v>
      </c>
      <c r="B139" s="4" t="s">
        <v>321</v>
      </c>
      <c r="C139" s="4" t="s">
        <v>1033</v>
      </c>
      <c r="D139" s="4" t="s">
        <v>1036</v>
      </c>
      <c r="E139" s="8">
        <v>45969.0</v>
      </c>
      <c r="F139" s="8">
        <v>22859.0</v>
      </c>
      <c r="G139" s="8">
        <v>2961.0</v>
      </c>
      <c r="H139" s="9">
        <f t="shared" si="1"/>
        <v>0.4972698993</v>
      </c>
      <c r="I139" s="9">
        <f t="shared" si="2"/>
        <v>0.06441297396</v>
      </c>
      <c r="J139" s="8">
        <v>546.0</v>
      </c>
      <c r="K139" s="8">
        <v>487.0</v>
      </c>
      <c r="L139" s="9">
        <f t="shared" si="3"/>
        <v>0.1080586081</v>
      </c>
      <c r="M139" s="8">
        <v>399.0</v>
      </c>
      <c r="N139" s="10">
        <v>42155.02</v>
      </c>
      <c r="O139" s="11">
        <f t="shared" si="4"/>
        <v>0.9170314777</v>
      </c>
    </row>
    <row r="140" ht="15.75" customHeight="1">
      <c r="A140" s="12">
        <v>45962.0</v>
      </c>
      <c r="B140" s="4" t="s">
        <v>321</v>
      </c>
      <c r="C140" s="4" t="s">
        <v>1033</v>
      </c>
      <c r="D140" s="4" t="s">
        <v>1036</v>
      </c>
      <c r="E140" s="8">
        <v>19938.0</v>
      </c>
      <c r="F140" s="8">
        <v>7035.0</v>
      </c>
      <c r="G140" s="8">
        <v>804.0</v>
      </c>
      <c r="H140" s="9">
        <f t="shared" si="1"/>
        <v>0.3528438158</v>
      </c>
      <c r="I140" s="9">
        <f t="shared" si="2"/>
        <v>0.04032500752</v>
      </c>
      <c r="J140" s="8">
        <v>158.0</v>
      </c>
      <c r="K140" s="8">
        <v>128.0</v>
      </c>
      <c r="L140" s="9">
        <f t="shared" si="3"/>
        <v>0.1898734177</v>
      </c>
      <c r="M140" s="8">
        <v>131.0</v>
      </c>
      <c r="N140" s="10">
        <v>7690.06</v>
      </c>
      <c r="O140" s="11">
        <f t="shared" si="4"/>
        <v>0.3856986659</v>
      </c>
    </row>
    <row r="141" ht="15.75" customHeight="1">
      <c r="A141" s="12">
        <v>45992.0</v>
      </c>
      <c r="B141" s="4" t="s">
        <v>321</v>
      </c>
      <c r="C141" s="4" t="s">
        <v>1033</v>
      </c>
      <c r="D141" s="4" t="s">
        <v>1036</v>
      </c>
      <c r="E141" s="8">
        <v>39508.0</v>
      </c>
      <c r="F141" s="8">
        <v>17650.0</v>
      </c>
      <c r="G141" s="8">
        <v>1660.0</v>
      </c>
      <c r="H141" s="9">
        <f t="shared" si="1"/>
        <v>0.446744963</v>
      </c>
      <c r="I141" s="9">
        <f t="shared" si="2"/>
        <v>0.04201680672</v>
      </c>
      <c r="J141" s="8">
        <v>278.0</v>
      </c>
      <c r="K141" s="8">
        <v>248.0</v>
      </c>
      <c r="L141" s="9">
        <f t="shared" si="3"/>
        <v>0.1079136691</v>
      </c>
      <c r="M141" s="8">
        <v>323.0</v>
      </c>
      <c r="N141" s="10">
        <v>27495.78</v>
      </c>
      <c r="O141" s="11">
        <f t="shared" si="4"/>
        <v>0.6959547433</v>
      </c>
    </row>
    <row r="142" ht="15.75" customHeight="1">
      <c r="A142" s="12">
        <v>46023.0</v>
      </c>
      <c r="B142" s="4" t="s">
        <v>321</v>
      </c>
      <c r="C142" s="4" t="s">
        <v>1033</v>
      </c>
      <c r="D142" s="4" t="s">
        <v>1036</v>
      </c>
      <c r="E142" s="8">
        <v>22079.0</v>
      </c>
      <c r="F142" s="8">
        <v>9728.0</v>
      </c>
      <c r="G142" s="8">
        <v>859.0</v>
      </c>
      <c r="H142" s="9">
        <f t="shared" si="1"/>
        <v>0.4405996648</v>
      </c>
      <c r="I142" s="9">
        <f t="shared" si="2"/>
        <v>0.03890574754</v>
      </c>
      <c r="J142" s="8">
        <v>121.0</v>
      </c>
      <c r="K142" s="8">
        <v>106.0</v>
      </c>
      <c r="L142" s="9">
        <f t="shared" si="3"/>
        <v>0.1239669421</v>
      </c>
      <c r="M142" s="8">
        <v>196.0</v>
      </c>
      <c r="N142" s="10">
        <v>17418.41</v>
      </c>
      <c r="O142" s="11">
        <f t="shared" si="4"/>
        <v>0.7889129942</v>
      </c>
    </row>
    <row r="143" ht="15.75" customHeight="1">
      <c r="A143" s="12">
        <v>46054.0</v>
      </c>
      <c r="B143" s="4" t="s">
        <v>321</v>
      </c>
      <c r="C143" s="4" t="s">
        <v>1033</v>
      </c>
      <c r="D143" s="4" t="s">
        <v>1036</v>
      </c>
      <c r="E143" s="8">
        <v>30108.0</v>
      </c>
      <c r="F143" s="8">
        <v>12568.0</v>
      </c>
      <c r="G143" s="8">
        <v>1664.0</v>
      </c>
      <c r="H143" s="9">
        <f t="shared" si="1"/>
        <v>0.4174305832</v>
      </c>
      <c r="I143" s="9">
        <f t="shared" si="2"/>
        <v>0.05526770294</v>
      </c>
      <c r="J143" s="8">
        <v>192.0</v>
      </c>
      <c r="K143" s="8">
        <v>171.0</v>
      </c>
      <c r="L143" s="9">
        <f t="shared" si="3"/>
        <v>0.109375</v>
      </c>
      <c r="M143" s="8">
        <v>222.0</v>
      </c>
      <c r="N143" s="10">
        <v>20187.36</v>
      </c>
      <c r="O143" s="11">
        <f t="shared" si="4"/>
        <v>0.6704982065</v>
      </c>
    </row>
    <row r="144" ht="15.75" customHeight="1">
      <c r="A144" s="12">
        <v>46082.0</v>
      </c>
      <c r="B144" s="4" t="s">
        <v>321</v>
      </c>
      <c r="C144" s="4" t="s">
        <v>1033</v>
      </c>
      <c r="D144" s="4" t="s">
        <v>1036</v>
      </c>
      <c r="E144" s="8">
        <v>14324.0</v>
      </c>
      <c r="F144" s="8">
        <v>6927.0</v>
      </c>
      <c r="G144" s="8">
        <v>650.0</v>
      </c>
      <c r="H144" s="9">
        <f t="shared" si="1"/>
        <v>0.4835939682</v>
      </c>
      <c r="I144" s="9">
        <f t="shared" si="2"/>
        <v>0.04537838593</v>
      </c>
      <c r="J144" s="8">
        <v>99.0</v>
      </c>
      <c r="K144" s="8">
        <v>78.0</v>
      </c>
      <c r="L144" s="9">
        <f t="shared" si="3"/>
        <v>0.2121212121</v>
      </c>
      <c r="M144" s="8">
        <v>90.0</v>
      </c>
      <c r="N144" s="10">
        <v>8688.38</v>
      </c>
      <c r="O144" s="11">
        <f t="shared" si="4"/>
        <v>0.6065610165</v>
      </c>
    </row>
    <row r="145" ht="15.75" customHeight="1">
      <c r="A145" s="12">
        <v>46113.0</v>
      </c>
      <c r="B145" s="4" t="s">
        <v>321</v>
      </c>
      <c r="C145" s="4" t="s">
        <v>1033</v>
      </c>
      <c r="D145" s="4" t="s">
        <v>1036</v>
      </c>
      <c r="E145" s="8">
        <v>43606.0</v>
      </c>
      <c r="F145" s="8">
        <v>16362.0</v>
      </c>
      <c r="G145" s="8">
        <v>1405.0</v>
      </c>
      <c r="H145" s="9">
        <f t="shared" si="1"/>
        <v>0.3752235931</v>
      </c>
      <c r="I145" s="9">
        <f t="shared" si="2"/>
        <v>0.03222033665</v>
      </c>
      <c r="J145" s="8">
        <v>202.0</v>
      </c>
      <c r="K145" s="8">
        <v>160.0</v>
      </c>
      <c r="L145" s="9">
        <f t="shared" si="3"/>
        <v>0.2079207921</v>
      </c>
      <c r="M145" s="8">
        <v>346.0</v>
      </c>
      <c r="N145" s="10">
        <v>26207.01</v>
      </c>
      <c r="O145" s="11">
        <f t="shared" si="4"/>
        <v>0.6009955052</v>
      </c>
    </row>
    <row r="146" ht="15.75" customHeight="1">
      <c r="A146" s="12">
        <v>45778.0</v>
      </c>
      <c r="B146" s="4" t="s">
        <v>1037</v>
      </c>
      <c r="C146" s="4" t="s">
        <v>1038</v>
      </c>
      <c r="D146" s="4" t="s">
        <v>1039</v>
      </c>
      <c r="E146" s="8">
        <v>30781.0</v>
      </c>
      <c r="F146" s="8">
        <v>12663.0</v>
      </c>
      <c r="G146" s="8">
        <v>1273.0</v>
      </c>
      <c r="H146" s="9">
        <f t="shared" si="1"/>
        <v>0.4113901433</v>
      </c>
      <c r="I146" s="9">
        <f t="shared" si="2"/>
        <v>0.04135668107</v>
      </c>
      <c r="J146" s="8">
        <v>277.0</v>
      </c>
      <c r="K146" s="8">
        <v>219.0</v>
      </c>
      <c r="L146" s="9">
        <f t="shared" si="3"/>
        <v>0.2093862816</v>
      </c>
      <c r="M146" s="8">
        <v>332.0</v>
      </c>
      <c r="N146" s="10">
        <v>29310.1</v>
      </c>
      <c r="O146" s="11">
        <f t="shared" si="4"/>
        <v>0.9522140281</v>
      </c>
    </row>
    <row r="147" ht="15.75" customHeight="1">
      <c r="A147" s="12">
        <v>45809.0</v>
      </c>
      <c r="B147" s="4" t="s">
        <v>1037</v>
      </c>
      <c r="C147" s="4" t="s">
        <v>1038</v>
      </c>
      <c r="D147" s="4" t="s">
        <v>1039</v>
      </c>
      <c r="E147" s="8">
        <v>34054.0</v>
      </c>
      <c r="F147" s="8">
        <v>17503.0</v>
      </c>
      <c r="G147" s="8">
        <v>2310.0</v>
      </c>
      <c r="H147" s="9">
        <f t="shared" si="1"/>
        <v>0.5139778</v>
      </c>
      <c r="I147" s="9">
        <f t="shared" si="2"/>
        <v>0.06783344101</v>
      </c>
      <c r="J147" s="8">
        <v>350.0</v>
      </c>
      <c r="K147" s="8">
        <v>279.0</v>
      </c>
      <c r="L147" s="9">
        <f t="shared" si="3"/>
        <v>0.2028571429</v>
      </c>
      <c r="M147" s="8">
        <v>310.0</v>
      </c>
      <c r="N147" s="10">
        <v>32411.95</v>
      </c>
      <c r="O147" s="11">
        <f t="shared" si="4"/>
        <v>0.9517809949</v>
      </c>
    </row>
    <row r="148" ht="15.75" customHeight="1">
      <c r="A148" s="12">
        <v>45839.0</v>
      </c>
      <c r="B148" s="4" t="s">
        <v>1037</v>
      </c>
      <c r="C148" s="4" t="s">
        <v>1038</v>
      </c>
      <c r="D148" s="4" t="s">
        <v>1039</v>
      </c>
      <c r="E148" s="8">
        <v>21020.0</v>
      </c>
      <c r="F148" s="8">
        <v>10440.0</v>
      </c>
      <c r="G148" s="8">
        <v>989.0</v>
      </c>
      <c r="H148" s="9">
        <f t="shared" si="1"/>
        <v>0.4966698382</v>
      </c>
      <c r="I148" s="9">
        <f t="shared" si="2"/>
        <v>0.04705042816</v>
      </c>
      <c r="J148" s="8">
        <v>162.0</v>
      </c>
      <c r="K148" s="8">
        <v>129.0</v>
      </c>
      <c r="L148" s="9">
        <f t="shared" si="3"/>
        <v>0.2037037037</v>
      </c>
      <c r="M148" s="8">
        <v>225.0</v>
      </c>
      <c r="N148" s="10">
        <v>20138.11</v>
      </c>
      <c r="O148" s="11">
        <f t="shared" si="4"/>
        <v>0.9580451951</v>
      </c>
    </row>
    <row r="149" ht="15.75" customHeight="1">
      <c r="A149" s="12">
        <v>45870.0</v>
      </c>
      <c r="B149" s="4" t="s">
        <v>1037</v>
      </c>
      <c r="C149" s="4" t="s">
        <v>1038</v>
      </c>
      <c r="D149" s="4" t="s">
        <v>1039</v>
      </c>
      <c r="E149" s="8">
        <v>42940.0</v>
      </c>
      <c r="F149" s="8">
        <v>18143.0</v>
      </c>
      <c r="G149" s="8">
        <v>1562.0</v>
      </c>
      <c r="H149" s="9">
        <f t="shared" si="1"/>
        <v>0.4225197951</v>
      </c>
      <c r="I149" s="9">
        <f t="shared" si="2"/>
        <v>0.03637633908</v>
      </c>
      <c r="J149" s="8">
        <v>332.0</v>
      </c>
      <c r="K149" s="8">
        <v>283.0</v>
      </c>
      <c r="L149" s="9">
        <f t="shared" si="3"/>
        <v>0.1475903614</v>
      </c>
      <c r="M149" s="8">
        <v>273.0</v>
      </c>
      <c r="N149" s="10">
        <v>17474.26</v>
      </c>
      <c r="O149" s="11">
        <f t="shared" si="4"/>
        <v>0.4069459711</v>
      </c>
    </row>
    <row r="150" ht="15.75" customHeight="1">
      <c r="A150" s="12">
        <v>45901.0</v>
      </c>
      <c r="B150" s="4" t="s">
        <v>1037</v>
      </c>
      <c r="C150" s="4" t="s">
        <v>1038</v>
      </c>
      <c r="D150" s="4" t="s">
        <v>1039</v>
      </c>
      <c r="E150" s="8">
        <v>18855.0</v>
      </c>
      <c r="F150" s="8">
        <v>8993.0</v>
      </c>
      <c r="G150" s="8">
        <v>1170.0</v>
      </c>
      <c r="H150" s="9">
        <f t="shared" si="1"/>
        <v>0.4769557147</v>
      </c>
      <c r="I150" s="9">
        <f t="shared" si="2"/>
        <v>0.06205250597</v>
      </c>
      <c r="J150" s="8">
        <v>130.0</v>
      </c>
      <c r="K150" s="8">
        <v>118.0</v>
      </c>
      <c r="L150" s="9">
        <f t="shared" si="3"/>
        <v>0.09230769231</v>
      </c>
      <c r="M150" s="8">
        <v>178.0</v>
      </c>
      <c r="N150" s="10">
        <v>16099.97</v>
      </c>
      <c r="O150" s="11">
        <f t="shared" si="4"/>
        <v>0.8538833201</v>
      </c>
    </row>
    <row r="151" ht="15.75" customHeight="1">
      <c r="A151" s="12">
        <v>45931.0</v>
      </c>
      <c r="B151" s="4" t="s">
        <v>1037</v>
      </c>
      <c r="C151" s="4" t="s">
        <v>1038</v>
      </c>
      <c r="D151" s="4" t="s">
        <v>1039</v>
      </c>
      <c r="E151" s="8">
        <v>47955.0</v>
      </c>
      <c r="F151" s="8">
        <v>20850.0</v>
      </c>
      <c r="G151" s="8">
        <v>1754.0</v>
      </c>
      <c r="H151" s="9">
        <f t="shared" si="1"/>
        <v>0.4347826087</v>
      </c>
      <c r="I151" s="9">
        <f t="shared" si="2"/>
        <v>0.03657595663</v>
      </c>
      <c r="J151" s="8">
        <v>152.0</v>
      </c>
      <c r="K151" s="8">
        <v>139.0</v>
      </c>
      <c r="L151" s="9">
        <f t="shared" si="3"/>
        <v>0.08552631579</v>
      </c>
      <c r="M151" s="8">
        <v>316.0</v>
      </c>
      <c r="N151" s="10">
        <v>25718.08</v>
      </c>
      <c r="O151" s="11">
        <f t="shared" si="4"/>
        <v>0.5362961109</v>
      </c>
    </row>
    <row r="152" ht="15.75" customHeight="1">
      <c r="A152" s="12">
        <v>45962.0</v>
      </c>
      <c r="B152" s="4" t="s">
        <v>1037</v>
      </c>
      <c r="C152" s="4" t="s">
        <v>1038</v>
      </c>
      <c r="D152" s="4" t="s">
        <v>1039</v>
      </c>
      <c r="E152" s="8">
        <v>42193.0</v>
      </c>
      <c r="F152" s="8">
        <v>22969.0</v>
      </c>
      <c r="G152" s="8">
        <v>3044.0</v>
      </c>
      <c r="H152" s="9">
        <f t="shared" si="1"/>
        <v>0.5443793994</v>
      </c>
      <c r="I152" s="9">
        <f t="shared" si="2"/>
        <v>0.07214466855</v>
      </c>
      <c r="J152" s="8">
        <v>442.0</v>
      </c>
      <c r="K152" s="8">
        <v>353.0</v>
      </c>
      <c r="L152" s="9">
        <f t="shared" si="3"/>
        <v>0.2013574661</v>
      </c>
      <c r="M152" s="8">
        <v>482.0</v>
      </c>
      <c r="N152" s="10">
        <v>27966.23</v>
      </c>
      <c r="O152" s="11">
        <f t="shared" si="4"/>
        <v>0.662816818</v>
      </c>
    </row>
    <row r="153" ht="15.75" customHeight="1">
      <c r="A153" s="12">
        <v>45992.0</v>
      </c>
      <c r="B153" s="4" t="s">
        <v>1037</v>
      </c>
      <c r="C153" s="4" t="s">
        <v>1038</v>
      </c>
      <c r="D153" s="4" t="s">
        <v>1039</v>
      </c>
      <c r="E153" s="8">
        <v>24471.0</v>
      </c>
      <c r="F153" s="8">
        <v>12031.0</v>
      </c>
      <c r="G153" s="8">
        <v>1404.0</v>
      </c>
      <c r="H153" s="9">
        <f t="shared" si="1"/>
        <v>0.4916431695</v>
      </c>
      <c r="I153" s="9">
        <f t="shared" si="2"/>
        <v>0.05737403457</v>
      </c>
      <c r="J153" s="8">
        <v>153.0</v>
      </c>
      <c r="K153" s="8">
        <v>135.0</v>
      </c>
      <c r="L153" s="9">
        <f t="shared" si="3"/>
        <v>0.1176470588</v>
      </c>
      <c r="M153" s="8">
        <v>204.0</v>
      </c>
      <c r="N153" s="10">
        <v>12649.81</v>
      </c>
      <c r="O153" s="11">
        <f t="shared" si="4"/>
        <v>0.5169306526</v>
      </c>
    </row>
    <row r="154" ht="15.75" customHeight="1">
      <c r="A154" s="12">
        <v>46023.0</v>
      </c>
      <c r="B154" s="4" t="s">
        <v>1037</v>
      </c>
      <c r="C154" s="4" t="s">
        <v>1038</v>
      </c>
      <c r="D154" s="4" t="s">
        <v>1039</v>
      </c>
      <c r="E154" s="8">
        <v>34894.0</v>
      </c>
      <c r="F154" s="8">
        <v>13192.0</v>
      </c>
      <c r="G154" s="8">
        <v>1367.0</v>
      </c>
      <c r="H154" s="9">
        <f t="shared" si="1"/>
        <v>0.3780592652</v>
      </c>
      <c r="I154" s="9">
        <f t="shared" si="2"/>
        <v>0.03917578953</v>
      </c>
      <c r="J154" s="8">
        <v>140.0</v>
      </c>
      <c r="K154" s="8">
        <v>128.0</v>
      </c>
      <c r="L154" s="9">
        <f t="shared" si="3"/>
        <v>0.08571428571</v>
      </c>
      <c r="M154" s="8">
        <v>411.0</v>
      </c>
      <c r="N154" s="10">
        <v>47964.03</v>
      </c>
      <c r="O154" s="11">
        <f t="shared" si="4"/>
        <v>1.374563822</v>
      </c>
    </row>
    <row r="155" ht="15.75" customHeight="1">
      <c r="A155" s="12">
        <v>46054.0</v>
      </c>
      <c r="B155" s="4" t="s">
        <v>1037</v>
      </c>
      <c r="C155" s="4" t="s">
        <v>1038</v>
      </c>
      <c r="D155" s="4" t="s">
        <v>1039</v>
      </c>
      <c r="E155" s="8">
        <v>33640.0</v>
      </c>
      <c r="F155" s="8">
        <v>17064.0</v>
      </c>
      <c r="G155" s="8">
        <v>1966.0</v>
      </c>
      <c r="H155" s="9">
        <f t="shared" si="1"/>
        <v>0.5072532699</v>
      </c>
      <c r="I155" s="9">
        <f t="shared" si="2"/>
        <v>0.05844233056</v>
      </c>
      <c r="J155" s="8">
        <v>264.0</v>
      </c>
      <c r="K155" s="8">
        <v>213.0</v>
      </c>
      <c r="L155" s="9">
        <f t="shared" si="3"/>
        <v>0.1931818182</v>
      </c>
      <c r="M155" s="8">
        <v>353.0</v>
      </c>
      <c r="N155" s="10">
        <v>21967.86</v>
      </c>
      <c r="O155" s="11">
        <f t="shared" si="4"/>
        <v>0.6530279429</v>
      </c>
    </row>
    <row r="156" ht="15.75" customHeight="1">
      <c r="A156" s="12">
        <v>46082.0</v>
      </c>
      <c r="B156" s="4" t="s">
        <v>1037</v>
      </c>
      <c r="C156" s="4" t="s">
        <v>1038</v>
      </c>
      <c r="D156" s="4" t="s">
        <v>1039</v>
      </c>
      <c r="E156" s="8">
        <v>26102.0</v>
      </c>
      <c r="F156" s="8">
        <v>9868.0</v>
      </c>
      <c r="G156" s="8">
        <v>968.0</v>
      </c>
      <c r="H156" s="9">
        <f t="shared" si="1"/>
        <v>0.3780553214</v>
      </c>
      <c r="I156" s="9">
        <f t="shared" si="2"/>
        <v>0.03708528082</v>
      </c>
      <c r="J156" s="8">
        <v>175.0</v>
      </c>
      <c r="K156" s="8">
        <v>150.0</v>
      </c>
      <c r="L156" s="9">
        <f t="shared" si="3"/>
        <v>0.1428571429</v>
      </c>
      <c r="M156" s="8">
        <v>236.0</v>
      </c>
      <c r="N156" s="10">
        <v>16602.57</v>
      </c>
      <c r="O156" s="11">
        <f t="shared" si="4"/>
        <v>0.6360650525</v>
      </c>
    </row>
    <row r="157" ht="15.75" customHeight="1">
      <c r="A157" s="12">
        <v>46113.0</v>
      </c>
      <c r="B157" s="4" t="s">
        <v>1037</v>
      </c>
      <c r="C157" s="4" t="s">
        <v>1038</v>
      </c>
      <c r="D157" s="4" t="s">
        <v>1039</v>
      </c>
      <c r="E157" s="8">
        <v>17332.0</v>
      </c>
      <c r="F157" s="8">
        <v>8396.0</v>
      </c>
      <c r="G157" s="8">
        <v>1034.0</v>
      </c>
      <c r="H157" s="9">
        <f t="shared" si="1"/>
        <v>0.4844218786</v>
      </c>
      <c r="I157" s="9">
        <f t="shared" si="2"/>
        <v>0.05965843526</v>
      </c>
      <c r="J157" s="8">
        <v>84.0</v>
      </c>
      <c r="K157" s="8">
        <v>66.0</v>
      </c>
      <c r="L157" s="9">
        <f t="shared" si="3"/>
        <v>0.2142857143</v>
      </c>
      <c r="M157" s="8">
        <v>100.0</v>
      </c>
      <c r="N157" s="10">
        <v>6415.67</v>
      </c>
      <c r="O157" s="11">
        <f t="shared" si="4"/>
        <v>0.3701632818</v>
      </c>
    </row>
    <row r="158" ht="15.75" customHeight="1">
      <c r="A158" s="12">
        <v>45778.0</v>
      </c>
      <c r="B158" s="4" t="s">
        <v>1040</v>
      </c>
      <c r="C158" s="4" t="s">
        <v>1038</v>
      </c>
      <c r="D158" s="4" t="s">
        <v>1039</v>
      </c>
      <c r="E158" s="8">
        <v>47219.0</v>
      </c>
      <c r="F158" s="8">
        <v>20975.0</v>
      </c>
      <c r="G158" s="8">
        <v>2437.0</v>
      </c>
      <c r="H158" s="9">
        <f t="shared" si="1"/>
        <v>0.4442067812</v>
      </c>
      <c r="I158" s="9">
        <f t="shared" si="2"/>
        <v>0.05161058049</v>
      </c>
      <c r="J158" s="8">
        <v>296.0</v>
      </c>
      <c r="K158" s="8">
        <v>236.0</v>
      </c>
      <c r="L158" s="9">
        <f t="shared" si="3"/>
        <v>0.2027027027</v>
      </c>
      <c r="M158" s="8">
        <v>457.0</v>
      </c>
      <c r="N158" s="10">
        <v>38964.75</v>
      </c>
      <c r="O158" s="11">
        <f t="shared" si="4"/>
        <v>0.8251921896</v>
      </c>
    </row>
    <row r="159" ht="15.75" customHeight="1">
      <c r="A159" s="12">
        <v>45809.0</v>
      </c>
      <c r="B159" s="4" t="s">
        <v>1040</v>
      </c>
      <c r="C159" s="4" t="s">
        <v>1038</v>
      </c>
      <c r="D159" s="4" t="s">
        <v>1039</v>
      </c>
      <c r="E159" s="8">
        <v>12613.0</v>
      </c>
      <c r="F159" s="8">
        <v>6635.0</v>
      </c>
      <c r="G159" s="8">
        <v>814.0</v>
      </c>
      <c r="H159" s="9">
        <f t="shared" si="1"/>
        <v>0.5260445572</v>
      </c>
      <c r="I159" s="9">
        <f t="shared" si="2"/>
        <v>0.06453658923</v>
      </c>
      <c r="J159" s="8">
        <v>147.0</v>
      </c>
      <c r="K159" s="8">
        <v>132.0</v>
      </c>
      <c r="L159" s="9">
        <f t="shared" si="3"/>
        <v>0.1020408163</v>
      </c>
      <c r="M159" s="8">
        <v>145.0</v>
      </c>
      <c r="N159" s="10">
        <v>8766.45</v>
      </c>
      <c r="O159" s="11">
        <f t="shared" si="4"/>
        <v>0.6950329026</v>
      </c>
    </row>
    <row r="160" ht="15.75" customHeight="1">
      <c r="A160" s="12">
        <v>45839.0</v>
      </c>
      <c r="B160" s="4" t="s">
        <v>1040</v>
      </c>
      <c r="C160" s="4" t="s">
        <v>1038</v>
      </c>
      <c r="D160" s="4" t="s">
        <v>1039</v>
      </c>
      <c r="E160" s="8">
        <v>24741.0</v>
      </c>
      <c r="F160" s="8">
        <v>9217.0</v>
      </c>
      <c r="G160" s="8">
        <v>946.0</v>
      </c>
      <c r="H160" s="9">
        <f t="shared" si="1"/>
        <v>0.3725395093</v>
      </c>
      <c r="I160" s="9">
        <f t="shared" si="2"/>
        <v>0.03823612627</v>
      </c>
      <c r="J160" s="8">
        <v>153.0</v>
      </c>
      <c r="K160" s="8">
        <v>138.0</v>
      </c>
      <c r="L160" s="9">
        <f t="shared" si="3"/>
        <v>0.09803921569</v>
      </c>
      <c r="M160" s="8">
        <v>228.0</v>
      </c>
      <c r="N160" s="10">
        <v>24092.15</v>
      </c>
      <c r="O160" s="11">
        <f t="shared" si="4"/>
        <v>0.9737743018</v>
      </c>
    </row>
    <row r="161" ht="15.75" customHeight="1">
      <c r="A161" s="12">
        <v>45870.0</v>
      </c>
      <c r="B161" s="4" t="s">
        <v>1040</v>
      </c>
      <c r="C161" s="4" t="s">
        <v>1038</v>
      </c>
      <c r="D161" s="4" t="s">
        <v>1039</v>
      </c>
      <c r="E161" s="8">
        <v>27077.0</v>
      </c>
      <c r="F161" s="8">
        <v>10693.0</v>
      </c>
      <c r="G161" s="8">
        <v>825.0</v>
      </c>
      <c r="H161" s="9">
        <f t="shared" si="1"/>
        <v>0.3949108099</v>
      </c>
      <c r="I161" s="9">
        <f t="shared" si="2"/>
        <v>0.03046866344</v>
      </c>
      <c r="J161" s="8">
        <v>181.0</v>
      </c>
      <c r="K161" s="8">
        <v>156.0</v>
      </c>
      <c r="L161" s="9">
        <f t="shared" si="3"/>
        <v>0.138121547</v>
      </c>
      <c r="M161" s="8">
        <v>227.0</v>
      </c>
      <c r="N161" s="10">
        <v>18103.92</v>
      </c>
      <c r="O161" s="11">
        <f t="shared" si="4"/>
        <v>0.6686087824</v>
      </c>
    </row>
    <row r="162" ht="15.75" customHeight="1">
      <c r="A162" s="12">
        <v>45901.0</v>
      </c>
      <c r="B162" s="4" t="s">
        <v>1040</v>
      </c>
      <c r="C162" s="4" t="s">
        <v>1038</v>
      </c>
      <c r="D162" s="4" t="s">
        <v>1039</v>
      </c>
      <c r="E162" s="8">
        <v>40409.0</v>
      </c>
      <c r="F162" s="8">
        <v>20905.0</v>
      </c>
      <c r="G162" s="8">
        <v>2872.0</v>
      </c>
      <c r="H162" s="9">
        <f t="shared" si="1"/>
        <v>0.5173352471</v>
      </c>
      <c r="I162" s="9">
        <f t="shared" si="2"/>
        <v>0.07107327576</v>
      </c>
      <c r="J162" s="8">
        <v>399.0</v>
      </c>
      <c r="K162" s="8">
        <v>346.0</v>
      </c>
      <c r="L162" s="9">
        <f t="shared" si="3"/>
        <v>0.1328320802</v>
      </c>
      <c r="M162" s="8">
        <v>435.0</v>
      </c>
      <c r="N162" s="10">
        <v>32543.31</v>
      </c>
      <c r="O162" s="11">
        <f t="shared" si="4"/>
        <v>0.805348066</v>
      </c>
    </row>
    <row r="163" ht="15.75" customHeight="1">
      <c r="A163" s="12">
        <v>45931.0</v>
      </c>
      <c r="B163" s="4" t="s">
        <v>1040</v>
      </c>
      <c r="C163" s="4" t="s">
        <v>1038</v>
      </c>
      <c r="D163" s="4" t="s">
        <v>1039</v>
      </c>
      <c r="E163" s="8">
        <v>26079.0</v>
      </c>
      <c r="F163" s="8">
        <v>13846.0</v>
      </c>
      <c r="G163" s="8">
        <v>1589.0</v>
      </c>
      <c r="H163" s="9">
        <f t="shared" si="1"/>
        <v>0.5309252655</v>
      </c>
      <c r="I163" s="9">
        <f t="shared" si="2"/>
        <v>0.06093025039</v>
      </c>
      <c r="J163" s="8">
        <v>200.0</v>
      </c>
      <c r="K163" s="8">
        <v>174.0</v>
      </c>
      <c r="L163" s="9">
        <f t="shared" si="3"/>
        <v>0.13</v>
      </c>
      <c r="M163" s="8">
        <v>137.0</v>
      </c>
      <c r="N163" s="10">
        <v>10877.76</v>
      </c>
      <c r="O163" s="11">
        <f t="shared" si="4"/>
        <v>0.4171080179</v>
      </c>
    </row>
    <row r="164" ht="15.75" customHeight="1">
      <c r="A164" s="12">
        <v>45962.0</v>
      </c>
      <c r="B164" s="4" t="s">
        <v>1040</v>
      </c>
      <c r="C164" s="4" t="s">
        <v>1038</v>
      </c>
      <c r="D164" s="4" t="s">
        <v>1039</v>
      </c>
      <c r="E164" s="8">
        <v>8847.0</v>
      </c>
      <c r="F164" s="8">
        <v>3275.0</v>
      </c>
      <c r="G164" s="8">
        <v>414.0</v>
      </c>
      <c r="H164" s="9">
        <f t="shared" si="1"/>
        <v>0.3701819826</v>
      </c>
      <c r="I164" s="9">
        <f t="shared" si="2"/>
        <v>0.04679552391</v>
      </c>
      <c r="J164" s="8">
        <v>47.0</v>
      </c>
      <c r="K164" s="8">
        <v>39.0</v>
      </c>
      <c r="L164" s="9">
        <f t="shared" si="3"/>
        <v>0.170212766</v>
      </c>
      <c r="M164" s="8">
        <v>73.0</v>
      </c>
      <c r="N164" s="10">
        <v>7149.45</v>
      </c>
      <c r="O164" s="11">
        <f t="shared" si="4"/>
        <v>0.8081213971</v>
      </c>
    </row>
    <row r="165" ht="15.75" customHeight="1">
      <c r="A165" s="12">
        <v>45992.0</v>
      </c>
      <c r="B165" s="4" t="s">
        <v>1040</v>
      </c>
      <c r="C165" s="4" t="s">
        <v>1038</v>
      </c>
      <c r="D165" s="4" t="s">
        <v>1039</v>
      </c>
      <c r="E165" s="8">
        <v>14813.0</v>
      </c>
      <c r="F165" s="8">
        <v>8139.0</v>
      </c>
      <c r="G165" s="8">
        <v>1040.0</v>
      </c>
      <c r="H165" s="9">
        <f t="shared" si="1"/>
        <v>0.5494498076</v>
      </c>
      <c r="I165" s="9">
        <f t="shared" si="2"/>
        <v>0.07020860055</v>
      </c>
      <c r="J165" s="8">
        <v>154.0</v>
      </c>
      <c r="K165" s="8">
        <v>133.0</v>
      </c>
      <c r="L165" s="9">
        <f t="shared" si="3"/>
        <v>0.1363636364</v>
      </c>
      <c r="M165" s="8">
        <v>119.0</v>
      </c>
      <c r="N165" s="10">
        <v>11233.32</v>
      </c>
      <c r="O165" s="11">
        <f t="shared" si="4"/>
        <v>0.7583419969</v>
      </c>
    </row>
    <row r="166" ht="15.75" customHeight="1">
      <c r="A166" s="12">
        <v>46023.0</v>
      </c>
      <c r="B166" s="4" t="s">
        <v>1040</v>
      </c>
      <c r="C166" s="4" t="s">
        <v>1038</v>
      </c>
      <c r="D166" s="4" t="s">
        <v>1039</v>
      </c>
      <c r="E166" s="8">
        <v>33073.0</v>
      </c>
      <c r="F166" s="8">
        <v>11854.0</v>
      </c>
      <c r="G166" s="8">
        <v>919.0</v>
      </c>
      <c r="H166" s="9">
        <f t="shared" si="1"/>
        <v>0.3584192544</v>
      </c>
      <c r="I166" s="9">
        <f t="shared" si="2"/>
        <v>0.0277870166</v>
      </c>
      <c r="J166" s="8">
        <v>181.0</v>
      </c>
      <c r="K166" s="8">
        <v>157.0</v>
      </c>
      <c r="L166" s="9">
        <f t="shared" si="3"/>
        <v>0.1325966851</v>
      </c>
      <c r="M166" s="8">
        <v>128.0</v>
      </c>
      <c r="N166" s="10">
        <v>8152.94</v>
      </c>
      <c r="O166" s="11">
        <f t="shared" si="4"/>
        <v>0.2465134702</v>
      </c>
    </row>
    <row r="167" ht="15.75" customHeight="1">
      <c r="A167" s="12">
        <v>46054.0</v>
      </c>
      <c r="B167" s="4" t="s">
        <v>1040</v>
      </c>
      <c r="C167" s="4" t="s">
        <v>1038</v>
      </c>
      <c r="D167" s="4" t="s">
        <v>1039</v>
      </c>
      <c r="E167" s="8">
        <v>23637.0</v>
      </c>
      <c r="F167" s="8">
        <v>9978.0</v>
      </c>
      <c r="G167" s="8">
        <v>1168.0</v>
      </c>
      <c r="H167" s="9">
        <f t="shared" si="1"/>
        <v>0.4221347887</v>
      </c>
      <c r="I167" s="9">
        <f t="shared" si="2"/>
        <v>0.04941405424</v>
      </c>
      <c r="J167" s="8">
        <v>241.0</v>
      </c>
      <c r="K167" s="8">
        <v>202.0</v>
      </c>
      <c r="L167" s="9">
        <f t="shared" si="3"/>
        <v>0.1618257261</v>
      </c>
      <c r="M167" s="8">
        <v>154.0</v>
      </c>
      <c r="N167" s="10">
        <v>15809.42</v>
      </c>
      <c r="O167" s="11">
        <f t="shared" si="4"/>
        <v>0.6688420696</v>
      </c>
    </row>
    <row r="168" ht="15.75" customHeight="1">
      <c r="A168" s="12">
        <v>46082.0</v>
      </c>
      <c r="B168" s="4" t="s">
        <v>1040</v>
      </c>
      <c r="C168" s="4" t="s">
        <v>1038</v>
      </c>
      <c r="D168" s="4" t="s">
        <v>1039</v>
      </c>
      <c r="E168" s="8">
        <v>30760.0</v>
      </c>
      <c r="F168" s="8">
        <v>14746.0</v>
      </c>
      <c r="G168" s="8">
        <v>1486.0</v>
      </c>
      <c r="H168" s="9">
        <f t="shared" si="1"/>
        <v>0.4793888166</v>
      </c>
      <c r="I168" s="9">
        <f t="shared" si="2"/>
        <v>0.04830949285</v>
      </c>
      <c r="J168" s="8">
        <v>214.0</v>
      </c>
      <c r="K168" s="8">
        <v>192.0</v>
      </c>
      <c r="L168" s="9">
        <f t="shared" si="3"/>
        <v>0.1028037383</v>
      </c>
      <c r="M168" s="8">
        <v>102.0</v>
      </c>
      <c r="N168" s="10">
        <v>8356.0</v>
      </c>
      <c r="O168" s="11">
        <f t="shared" si="4"/>
        <v>0.2716514954</v>
      </c>
    </row>
    <row r="169" ht="15.75" customHeight="1">
      <c r="A169" s="12">
        <v>46113.0</v>
      </c>
      <c r="B169" s="4" t="s">
        <v>1040</v>
      </c>
      <c r="C169" s="4" t="s">
        <v>1038</v>
      </c>
      <c r="D169" s="4" t="s">
        <v>1039</v>
      </c>
      <c r="E169" s="8">
        <v>36298.0</v>
      </c>
      <c r="F169" s="8">
        <v>17561.0</v>
      </c>
      <c r="G169" s="8">
        <v>1260.0</v>
      </c>
      <c r="H169" s="9">
        <f t="shared" si="1"/>
        <v>0.4838007604</v>
      </c>
      <c r="I169" s="9">
        <f t="shared" si="2"/>
        <v>0.03471265634</v>
      </c>
      <c r="J169" s="8">
        <v>200.0</v>
      </c>
      <c r="K169" s="8">
        <v>156.0</v>
      </c>
      <c r="L169" s="9">
        <f t="shared" si="3"/>
        <v>0.22</v>
      </c>
      <c r="M169" s="8">
        <v>417.0</v>
      </c>
      <c r="N169" s="10">
        <v>26658.08</v>
      </c>
      <c r="O169" s="11">
        <f t="shared" si="4"/>
        <v>0.7344228332</v>
      </c>
    </row>
    <row r="170" ht="15.75" customHeight="1">
      <c r="A170" s="12">
        <v>45778.0</v>
      </c>
      <c r="B170" s="4" t="s">
        <v>151</v>
      </c>
      <c r="C170" s="4" t="s">
        <v>1041</v>
      </c>
      <c r="D170" s="4" t="s">
        <v>1042</v>
      </c>
      <c r="E170" s="8">
        <v>35010.0</v>
      </c>
      <c r="F170" s="8">
        <v>17868.0</v>
      </c>
      <c r="G170" s="8">
        <v>2162.0</v>
      </c>
      <c r="H170" s="9">
        <f t="shared" si="1"/>
        <v>0.5103684662</v>
      </c>
      <c r="I170" s="9">
        <f t="shared" si="2"/>
        <v>0.06175378463</v>
      </c>
      <c r="J170" s="8">
        <v>430.0</v>
      </c>
      <c r="K170" s="8">
        <v>350.0</v>
      </c>
      <c r="L170" s="9">
        <f t="shared" si="3"/>
        <v>0.1860465116</v>
      </c>
      <c r="M170" s="8">
        <v>362.0</v>
      </c>
      <c r="N170" s="10">
        <v>28468.76</v>
      </c>
      <c r="O170" s="11">
        <f t="shared" si="4"/>
        <v>0.8131608112</v>
      </c>
    </row>
    <row r="171" ht="15.75" customHeight="1">
      <c r="A171" s="12">
        <v>45809.0</v>
      </c>
      <c r="B171" s="4" t="s">
        <v>151</v>
      </c>
      <c r="C171" s="4" t="s">
        <v>1041</v>
      </c>
      <c r="D171" s="4" t="s">
        <v>1042</v>
      </c>
      <c r="E171" s="8">
        <v>24298.0</v>
      </c>
      <c r="F171" s="8">
        <v>9848.0</v>
      </c>
      <c r="G171" s="8">
        <v>1229.0</v>
      </c>
      <c r="H171" s="9">
        <f t="shared" si="1"/>
        <v>0.4053008478</v>
      </c>
      <c r="I171" s="9">
        <f t="shared" si="2"/>
        <v>0.05058029467</v>
      </c>
      <c r="J171" s="8">
        <v>154.0</v>
      </c>
      <c r="K171" s="8">
        <v>135.0</v>
      </c>
      <c r="L171" s="9">
        <f t="shared" si="3"/>
        <v>0.1233766234</v>
      </c>
      <c r="M171" s="8">
        <v>211.0</v>
      </c>
      <c r="N171" s="10">
        <v>21968.62</v>
      </c>
      <c r="O171" s="11">
        <f t="shared" si="4"/>
        <v>0.9041328504</v>
      </c>
    </row>
    <row r="172" ht="15.75" customHeight="1">
      <c r="A172" s="12">
        <v>45839.0</v>
      </c>
      <c r="B172" s="4" t="s">
        <v>151</v>
      </c>
      <c r="C172" s="4" t="s">
        <v>1041</v>
      </c>
      <c r="D172" s="4" t="s">
        <v>1042</v>
      </c>
      <c r="E172" s="8">
        <v>18524.0</v>
      </c>
      <c r="F172" s="8">
        <v>7259.0</v>
      </c>
      <c r="G172" s="8">
        <v>899.0</v>
      </c>
      <c r="H172" s="9">
        <f t="shared" si="1"/>
        <v>0.3918700065</v>
      </c>
      <c r="I172" s="9">
        <f t="shared" si="2"/>
        <v>0.04853163464</v>
      </c>
      <c r="J172" s="8">
        <v>140.0</v>
      </c>
      <c r="K172" s="8">
        <v>115.0</v>
      </c>
      <c r="L172" s="9">
        <f t="shared" si="3"/>
        <v>0.1785714286</v>
      </c>
      <c r="M172" s="8">
        <v>122.0</v>
      </c>
      <c r="N172" s="10">
        <v>9627.31</v>
      </c>
      <c r="O172" s="11">
        <f t="shared" si="4"/>
        <v>0.5197209026</v>
      </c>
    </row>
    <row r="173" ht="15.75" customHeight="1">
      <c r="A173" s="12">
        <v>45870.0</v>
      </c>
      <c r="B173" s="4" t="s">
        <v>151</v>
      </c>
      <c r="C173" s="4" t="s">
        <v>1041</v>
      </c>
      <c r="D173" s="4" t="s">
        <v>1042</v>
      </c>
      <c r="E173" s="8">
        <v>19275.0</v>
      </c>
      <c r="F173" s="8">
        <v>10002.0</v>
      </c>
      <c r="G173" s="8">
        <v>1299.0</v>
      </c>
      <c r="H173" s="9">
        <f t="shared" si="1"/>
        <v>0.5189105058</v>
      </c>
      <c r="I173" s="9">
        <f t="shared" si="2"/>
        <v>0.06739299611</v>
      </c>
      <c r="J173" s="8">
        <v>164.0</v>
      </c>
      <c r="K173" s="8">
        <v>142.0</v>
      </c>
      <c r="L173" s="9">
        <f t="shared" si="3"/>
        <v>0.1341463415</v>
      </c>
      <c r="M173" s="8">
        <v>186.0</v>
      </c>
      <c r="N173" s="10">
        <v>20120.39</v>
      </c>
      <c r="O173" s="11">
        <f t="shared" si="4"/>
        <v>1.043859403</v>
      </c>
    </row>
    <row r="174" ht="15.75" customHeight="1">
      <c r="A174" s="12">
        <v>45901.0</v>
      </c>
      <c r="B174" s="4" t="s">
        <v>151</v>
      </c>
      <c r="C174" s="4" t="s">
        <v>1041</v>
      </c>
      <c r="D174" s="4" t="s">
        <v>1042</v>
      </c>
      <c r="E174" s="8">
        <v>22914.0</v>
      </c>
      <c r="F174" s="8">
        <v>9470.0</v>
      </c>
      <c r="G174" s="8">
        <v>865.0</v>
      </c>
      <c r="H174" s="9">
        <f t="shared" si="1"/>
        <v>0.4132844549</v>
      </c>
      <c r="I174" s="9">
        <f t="shared" si="2"/>
        <v>0.03774984725</v>
      </c>
      <c r="J174" s="8">
        <v>179.0</v>
      </c>
      <c r="K174" s="8">
        <v>141.0</v>
      </c>
      <c r="L174" s="9">
        <f t="shared" si="3"/>
        <v>0.2122905028</v>
      </c>
      <c r="M174" s="8">
        <v>152.0</v>
      </c>
      <c r="N174" s="10">
        <v>14486.81</v>
      </c>
      <c r="O174" s="11">
        <f t="shared" si="4"/>
        <v>0.6322252771</v>
      </c>
    </row>
    <row r="175" ht="15.75" customHeight="1">
      <c r="A175" s="12">
        <v>45931.0</v>
      </c>
      <c r="B175" s="4" t="s">
        <v>151</v>
      </c>
      <c r="C175" s="4" t="s">
        <v>1041</v>
      </c>
      <c r="D175" s="4" t="s">
        <v>1042</v>
      </c>
      <c r="E175" s="8">
        <v>20202.0</v>
      </c>
      <c r="F175" s="8">
        <v>10127.0</v>
      </c>
      <c r="G175" s="8">
        <v>852.0</v>
      </c>
      <c r="H175" s="9">
        <f t="shared" si="1"/>
        <v>0.5012870013</v>
      </c>
      <c r="I175" s="9">
        <f t="shared" si="2"/>
        <v>0.04217404217</v>
      </c>
      <c r="J175" s="8">
        <v>170.0</v>
      </c>
      <c r="K175" s="8">
        <v>144.0</v>
      </c>
      <c r="L175" s="9">
        <f t="shared" si="3"/>
        <v>0.1529411765</v>
      </c>
      <c r="M175" s="8">
        <v>121.0</v>
      </c>
      <c r="N175" s="10">
        <v>10196.2</v>
      </c>
      <c r="O175" s="11">
        <f t="shared" si="4"/>
        <v>0.5047124047</v>
      </c>
    </row>
    <row r="176" ht="15.75" customHeight="1">
      <c r="A176" s="12">
        <v>45962.0</v>
      </c>
      <c r="B176" s="4" t="s">
        <v>151</v>
      </c>
      <c r="C176" s="4" t="s">
        <v>1041</v>
      </c>
      <c r="D176" s="4" t="s">
        <v>1042</v>
      </c>
      <c r="E176" s="8">
        <v>31688.0</v>
      </c>
      <c r="F176" s="8">
        <v>15874.0</v>
      </c>
      <c r="G176" s="8">
        <v>2177.0</v>
      </c>
      <c r="H176" s="9">
        <f t="shared" si="1"/>
        <v>0.5009467306</v>
      </c>
      <c r="I176" s="9">
        <f t="shared" si="2"/>
        <v>0.06870108558</v>
      </c>
      <c r="J176" s="8">
        <v>272.0</v>
      </c>
      <c r="K176" s="8">
        <v>216.0</v>
      </c>
      <c r="L176" s="9">
        <f t="shared" si="3"/>
        <v>0.2058823529</v>
      </c>
      <c r="M176" s="8">
        <v>261.0</v>
      </c>
      <c r="N176" s="10">
        <v>29370.28</v>
      </c>
      <c r="O176" s="11">
        <f t="shared" si="4"/>
        <v>0.9268581166</v>
      </c>
    </row>
    <row r="177" ht="15.75" customHeight="1">
      <c r="A177" s="12">
        <v>45992.0</v>
      </c>
      <c r="B177" s="4" t="s">
        <v>151</v>
      </c>
      <c r="C177" s="4" t="s">
        <v>1041</v>
      </c>
      <c r="D177" s="4" t="s">
        <v>1042</v>
      </c>
      <c r="E177" s="8">
        <v>44731.0</v>
      </c>
      <c r="F177" s="8">
        <v>18305.0</v>
      </c>
      <c r="G177" s="8">
        <v>1998.0</v>
      </c>
      <c r="H177" s="9">
        <f t="shared" si="1"/>
        <v>0.4092240281</v>
      </c>
      <c r="I177" s="9">
        <f t="shared" si="2"/>
        <v>0.04466700946</v>
      </c>
      <c r="J177" s="8">
        <v>209.0</v>
      </c>
      <c r="K177" s="8">
        <v>181.0</v>
      </c>
      <c r="L177" s="9">
        <f t="shared" si="3"/>
        <v>0.1339712919</v>
      </c>
      <c r="M177" s="8">
        <v>164.0</v>
      </c>
      <c r="N177" s="10">
        <v>10430.7</v>
      </c>
      <c r="O177" s="11">
        <f t="shared" si="4"/>
        <v>0.233187275</v>
      </c>
    </row>
    <row r="178" ht="15.75" customHeight="1">
      <c r="A178" s="12">
        <v>46023.0</v>
      </c>
      <c r="B178" s="4" t="s">
        <v>151</v>
      </c>
      <c r="C178" s="4" t="s">
        <v>1041</v>
      </c>
      <c r="D178" s="4" t="s">
        <v>1042</v>
      </c>
      <c r="E178" s="8">
        <v>47188.0</v>
      </c>
      <c r="F178" s="8">
        <v>25148.0</v>
      </c>
      <c r="G178" s="8">
        <v>2927.0</v>
      </c>
      <c r="H178" s="9">
        <f t="shared" si="1"/>
        <v>0.5329321014</v>
      </c>
      <c r="I178" s="9">
        <f t="shared" si="2"/>
        <v>0.06202848182</v>
      </c>
      <c r="J178" s="8">
        <v>583.0</v>
      </c>
      <c r="K178" s="8">
        <v>466.0</v>
      </c>
      <c r="L178" s="9">
        <f t="shared" si="3"/>
        <v>0.2006861063</v>
      </c>
      <c r="M178" s="8">
        <v>286.0</v>
      </c>
      <c r="N178" s="10">
        <v>22659.2</v>
      </c>
      <c r="O178" s="11">
        <f t="shared" si="4"/>
        <v>0.4801898788</v>
      </c>
    </row>
    <row r="179" ht="15.75" customHeight="1">
      <c r="A179" s="12">
        <v>46054.0</v>
      </c>
      <c r="B179" s="4" t="s">
        <v>151</v>
      </c>
      <c r="C179" s="4" t="s">
        <v>1041</v>
      </c>
      <c r="D179" s="4" t="s">
        <v>1042</v>
      </c>
      <c r="E179" s="8">
        <v>16718.0</v>
      </c>
      <c r="F179" s="8">
        <v>8931.0</v>
      </c>
      <c r="G179" s="8">
        <v>689.0</v>
      </c>
      <c r="H179" s="9">
        <f t="shared" si="1"/>
        <v>0.534214619</v>
      </c>
      <c r="I179" s="9">
        <f t="shared" si="2"/>
        <v>0.04121306376</v>
      </c>
      <c r="J179" s="8">
        <v>147.0</v>
      </c>
      <c r="K179" s="8">
        <v>131.0</v>
      </c>
      <c r="L179" s="9">
        <f t="shared" si="3"/>
        <v>0.1088435374</v>
      </c>
      <c r="M179" s="8">
        <v>183.0</v>
      </c>
      <c r="N179" s="10">
        <v>13841.16</v>
      </c>
      <c r="O179" s="11">
        <f t="shared" si="4"/>
        <v>0.8279196076</v>
      </c>
    </row>
    <row r="180" ht="15.75" customHeight="1">
      <c r="A180" s="12">
        <v>46082.0</v>
      </c>
      <c r="B180" s="4" t="s">
        <v>151</v>
      </c>
      <c r="C180" s="4" t="s">
        <v>1041</v>
      </c>
      <c r="D180" s="4" t="s">
        <v>1042</v>
      </c>
      <c r="E180" s="8">
        <v>45362.0</v>
      </c>
      <c r="F180" s="8">
        <v>24683.0</v>
      </c>
      <c r="G180" s="8">
        <v>2287.0</v>
      </c>
      <c r="H180" s="9">
        <f t="shared" si="1"/>
        <v>0.5441338565</v>
      </c>
      <c r="I180" s="9">
        <f t="shared" si="2"/>
        <v>0.0504166483</v>
      </c>
      <c r="J180" s="8">
        <v>254.0</v>
      </c>
      <c r="K180" s="8">
        <v>227.0</v>
      </c>
      <c r="L180" s="9">
        <f t="shared" si="3"/>
        <v>0.1062992126</v>
      </c>
      <c r="M180" s="8">
        <v>236.0</v>
      </c>
      <c r="N180" s="10">
        <v>15882.97</v>
      </c>
      <c r="O180" s="11">
        <f t="shared" si="4"/>
        <v>0.3501382214</v>
      </c>
    </row>
    <row r="181" ht="15.75" customHeight="1">
      <c r="A181" s="12">
        <v>46113.0</v>
      </c>
      <c r="B181" s="4" t="s">
        <v>151</v>
      </c>
      <c r="C181" s="4" t="s">
        <v>1041</v>
      </c>
      <c r="D181" s="4" t="s">
        <v>1042</v>
      </c>
      <c r="E181" s="8">
        <v>25942.0</v>
      </c>
      <c r="F181" s="8">
        <v>9216.0</v>
      </c>
      <c r="G181" s="8">
        <v>789.0</v>
      </c>
      <c r="H181" s="9">
        <f t="shared" si="1"/>
        <v>0.3552540282</v>
      </c>
      <c r="I181" s="9">
        <f t="shared" si="2"/>
        <v>0.03041400046</v>
      </c>
      <c r="J181" s="8">
        <v>139.0</v>
      </c>
      <c r="K181" s="8">
        <v>112.0</v>
      </c>
      <c r="L181" s="9">
        <f t="shared" si="3"/>
        <v>0.1942446043</v>
      </c>
      <c r="M181" s="8">
        <v>282.0</v>
      </c>
      <c r="N181" s="10">
        <v>23806.82</v>
      </c>
      <c r="O181" s="11">
        <f t="shared" si="4"/>
        <v>0.9176940868</v>
      </c>
    </row>
    <row r="182" ht="15.75" customHeight="1">
      <c r="A182" s="12">
        <v>45778.0</v>
      </c>
      <c r="B182" s="4" t="s">
        <v>1043</v>
      </c>
      <c r="C182" s="4" t="s">
        <v>1041</v>
      </c>
      <c r="D182" s="4" t="s">
        <v>1042</v>
      </c>
      <c r="E182" s="8">
        <v>22153.0</v>
      </c>
      <c r="F182" s="8">
        <v>8397.0</v>
      </c>
      <c r="G182" s="8">
        <v>762.0</v>
      </c>
      <c r="H182" s="9">
        <f t="shared" si="1"/>
        <v>0.3790457274</v>
      </c>
      <c r="I182" s="9">
        <f t="shared" si="2"/>
        <v>0.03439714711</v>
      </c>
      <c r="J182" s="8">
        <v>163.0</v>
      </c>
      <c r="K182" s="8">
        <v>146.0</v>
      </c>
      <c r="L182" s="9">
        <f t="shared" si="3"/>
        <v>0.1042944785</v>
      </c>
      <c r="M182" s="8">
        <v>162.0</v>
      </c>
      <c r="N182" s="10">
        <v>13662.59</v>
      </c>
      <c r="O182" s="11">
        <f t="shared" si="4"/>
        <v>0.6167376879</v>
      </c>
    </row>
    <row r="183" ht="15.75" customHeight="1">
      <c r="A183" s="12">
        <v>45809.0</v>
      </c>
      <c r="B183" s="4" t="s">
        <v>1043</v>
      </c>
      <c r="C183" s="4" t="s">
        <v>1041</v>
      </c>
      <c r="D183" s="4" t="s">
        <v>1042</v>
      </c>
      <c r="E183" s="8">
        <v>44459.0</v>
      </c>
      <c r="F183" s="8">
        <v>20462.0</v>
      </c>
      <c r="G183" s="8">
        <v>2246.0</v>
      </c>
      <c r="H183" s="9">
        <f t="shared" si="1"/>
        <v>0.46024427</v>
      </c>
      <c r="I183" s="9">
        <f t="shared" si="2"/>
        <v>0.05051845521</v>
      </c>
      <c r="J183" s="8">
        <v>309.0</v>
      </c>
      <c r="K183" s="8">
        <v>277.0</v>
      </c>
      <c r="L183" s="9">
        <f t="shared" si="3"/>
        <v>0.1035598706</v>
      </c>
      <c r="M183" s="8">
        <v>365.0</v>
      </c>
      <c r="N183" s="10">
        <v>34906.89</v>
      </c>
      <c r="O183" s="11">
        <f t="shared" si="4"/>
        <v>0.7851478891</v>
      </c>
    </row>
    <row r="184" ht="15.75" customHeight="1">
      <c r="A184" s="12">
        <v>45839.0</v>
      </c>
      <c r="B184" s="4" t="s">
        <v>1043</v>
      </c>
      <c r="C184" s="4" t="s">
        <v>1041</v>
      </c>
      <c r="D184" s="4" t="s">
        <v>1042</v>
      </c>
      <c r="E184" s="8">
        <v>33369.0</v>
      </c>
      <c r="F184" s="8">
        <v>16663.0</v>
      </c>
      <c r="G184" s="8">
        <v>1990.0</v>
      </c>
      <c r="H184" s="9">
        <f t="shared" si="1"/>
        <v>0.4993556894</v>
      </c>
      <c r="I184" s="9">
        <f t="shared" si="2"/>
        <v>0.05963618928</v>
      </c>
      <c r="J184" s="8">
        <v>432.0</v>
      </c>
      <c r="K184" s="8">
        <v>385.0</v>
      </c>
      <c r="L184" s="9">
        <f t="shared" si="3"/>
        <v>0.1087962963</v>
      </c>
      <c r="M184" s="8">
        <v>179.0</v>
      </c>
      <c r="N184" s="10">
        <v>14358.25</v>
      </c>
      <c r="O184" s="11">
        <f t="shared" si="4"/>
        <v>0.4302870928</v>
      </c>
    </row>
    <row r="185" ht="15.75" customHeight="1">
      <c r="A185" s="12">
        <v>45870.0</v>
      </c>
      <c r="B185" s="4" t="s">
        <v>1043</v>
      </c>
      <c r="C185" s="4" t="s">
        <v>1041</v>
      </c>
      <c r="D185" s="4" t="s">
        <v>1042</v>
      </c>
      <c r="E185" s="8">
        <v>23381.0</v>
      </c>
      <c r="F185" s="8">
        <v>9680.0</v>
      </c>
      <c r="G185" s="8">
        <v>919.0</v>
      </c>
      <c r="H185" s="9">
        <f t="shared" si="1"/>
        <v>0.4140113768</v>
      </c>
      <c r="I185" s="9">
        <f t="shared" si="2"/>
        <v>0.03930541893</v>
      </c>
      <c r="J185" s="8">
        <v>196.0</v>
      </c>
      <c r="K185" s="8">
        <v>156.0</v>
      </c>
      <c r="L185" s="9">
        <f t="shared" si="3"/>
        <v>0.2040816327</v>
      </c>
      <c r="M185" s="8">
        <v>251.0</v>
      </c>
      <c r="N185" s="10">
        <v>29411.01</v>
      </c>
      <c r="O185" s="11">
        <f t="shared" si="4"/>
        <v>1.257902143</v>
      </c>
    </row>
    <row r="186" ht="15.75" customHeight="1">
      <c r="A186" s="12">
        <v>45901.0</v>
      </c>
      <c r="B186" s="4" t="s">
        <v>1043</v>
      </c>
      <c r="C186" s="4" t="s">
        <v>1041</v>
      </c>
      <c r="D186" s="4" t="s">
        <v>1042</v>
      </c>
      <c r="E186" s="8">
        <v>24180.0</v>
      </c>
      <c r="F186" s="8">
        <v>12310.0</v>
      </c>
      <c r="G186" s="8">
        <v>1360.0</v>
      </c>
      <c r="H186" s="9">
        <f t="shared" si="1"/>
        <v>0.5090984285</v>
      </c>
      <c r="I186" s="9">
        <f t="shared" si="2"/>
        <v>0.05624483044</v>
      </c>
      <c r="J186" s="8">
        <v>127.0</v>
      </c>
      <c r="K186" s="8">
        <v>115.0</v>
      </c>
      <c r="L186" s="9">
        <f t="shared" si="3"/>
        <v>0.09448818898</v>
      </c>
      <c r="M186" s="8">
        <v>287.0</v>
      </c>
      <c r="N186" s="10">
        <v>28843.85</v>
      </c>
      <c r="O186" s="11">
        <f t="shared" si="4"/>
        <v>1.19288048</v>
      </c>
    </row>
    <row r="187" ht="15.75" customHeight="1">
      <c r="A187" s="12">
        <v>45931.0</v>
      </c>
      <c r="B187" s="4" t="s">
        <v>1043</v>
      </c>
      <c r="C187" s="4" t="s">
        <v>1041</v>
      </c>
      <c r="D187" s="4" t="s">
        <v>1042</v>
      </c>
      <c r="E187" s="8">
        <v>43085.0</v>
      </c>
      <c r="F187" s="8">
        <v>17781.0</v>
      </c>
      <c r="G187" s="8">
        <v>2249.0</v>
      </c>
      <c r="H187" s="9">
        <f t="shared" si="1"/>
        <v>0.4126958338</v>
      </c>
      <c r="I187" s="9">
        <f t="shared" si="2"/>
        <v>0.05219914123</v>
      </c>
      <c r="J187" s="8">
        <v>370.0</v>
      </c>
      <c r="K187" s="8">
        <v>325.0</v>
      </c>
      <c r="L187" s="9">
        <f t="shared" si="3"/>
        <v>0.1216216216</v>
      </c>
      <c r="M187" s="8">
        <v>407.0</v>
      </c>
      <c r="N187" s="10">
        <v>39356.07</v>
      </c>
      <c r="O187" s="11">
        <f t="shared" si="4"/>
        <v>0.9134517814</v>
      </c>
    </row>
    <row r="188" ht="15.75" customHeight="1">
      <c r="A188" s="12">
        <v>45962.0</v>
      </c>
      <c r="B188" s="4" t="s">
        <v>1043</v>
      </c>
      <c r="C188" s="4" t="s">
        <v>1041</v>
      </c>
      <c r="D188" s="4" t="s">
        <v>1042</v>
      </c>
      <c r="E188" s="8">
        <v>44311.0</v>
      </c>
      <c r="F188" s="8">
        <v>22785.0</v>
      </c>
      <c r="G188" s="8">
        <v>1952.0</v>
      </c>
      <c r="H188" s="9">
        <f t="shared" si="1"/>
        <v>0.5142064047</v>
      </c>
      <c r="I188" s="9">
        <f t="shared" si="2"/>
        <v>0.04405226693</v>
      </c>
      <c r="J188" s="8">
        <v>229.0</v>
      </c>
      <c r="K188" s="8">
        <v>205.0</v>
      </c>
      <c r="L188" s="9">
        <f t="shared" si="3"/>
        <v>0.1048034934</v>
      </c>
      <c r="M188" s="8">
        <v>316.0</v>
      </c>
      <c r="N188" s="10">
        <v>26630.03</v>
      </c>
      <c r="O188" s="11">
        <f t="shared" si="4"/>
        <v>0.6009801178</v>
      </c>
    </row>
    <row r="189" ht="15.75" customHeight="1">
      <c r="A189" s="12">
        <v>45992.0</v>
      </c>
      <c r="B189" s="4" t="s">
        <v>1043</v>
      </c>
      <c r="C189" s="4" t="s">
        <v>1041</v>
      </c>
      <c r="D189" s="4" t="s">
        <v>1042</v>
      </c>
      <c r="E189" s="8">
        <v>46735.0</v>
      </c>
      <c r="F189" s="8">
        <v>20434.0</v>
      </c>
      <c r="G189" s="8">
        <v>2793.0</v>
      </c>
      <c r="H189" s="9">
        <f t="shared" si="1"/>
        <v>0.4372311972</v>
      </c>
      <c r="I189" s="9">
        <f t="shared" si="2"/>
        <v>0.05976249064</v>
      </c>
      <c r="J189" s="8">
        <v>290.0</v>
      </c>
      <c r="K189" s="8">
        <v>248.0</v>
      </c>
      <c r="L189" s="9">
        <f t="shared" si="3"/>
        <v>0.1448275862</v>
      </c>
      <c r="M189" s="8">
        <v>375.0</v>
      </c>
      <c r="N189" s="10">
        <v>23044.78</v>
      </c>
      <c r="O189" s="11">
        <f t="shared" si="4"/>
        <v>0.4930946828</v>
      </c>
    </row>
    <row r="190" ht="15.75" customHeight="1">
      <c r="A190" s="12">
        <v>46023.0</v>
      </c>
      <c r="B190" s="4" t="s">
        <v>1043</v>
      </c>
      <c r="C190" s="4" t="s">
        <v>1041</v>
      </c>
      <c r="D190" s="4" t="s">
        <v>1042</v>
      </c>
      <c r="E190" s="8">
        <v>30780.0</v>
      </c>
      <c r="F190" s="8">
        <v>13707.0</v>
      </c>
      <c r="G190" s="8">
        <v>1637.0</v>
      </c>
      <c r="H190" s="9">
        <f t="shared" si="1"/>
        <v>0.4453216374</v>
      </c>
      <c r="I190" s="9">
        <f t="shared" si="2"/>
        <v>0.05318388564</v>
      </c>
      <c r="J190" s="8">
        <v>145.0</v>
      </c>
      <c r="K190" s="8">
        <v>120.0</v>
      </c>
      <c r="L190" s="9">
        <f t="shared" si="3"/>
        <v>0.1724137931</v>
      </c>
      <c r="M190" s="8">
        <v>356.0</v>
      </c>
      <c r="N190" s="10">
        <v>26545.29</v>
      </c>
      <c r="O190" s="11">
        <f t="shared" si="4"/>
        <v>0.862420078</v>
      </c>
    </row>
    <row r="191" ht="15.75" customHeight="1">
      <c r="A191" s="12">
        <v>46054.0</v>
      </c>
      <c r="B191" s="4" t="s">
        <v>1043</v>
      </c>
      <c r="C191" s="4" t="s">
        <v>1041</v>
      </c>
      <c r="D191" s="4" t="s">
        <v>1042</v>
      </c>
      <c r="E191" s="8">
        <v>24515.0</v>
      </c>
      <c r="F191" s="8">
        <v>13225.0</v>
      </c>
      <c r="G191" s="8">
        <v>1599.0</v>
      </c>
      <c r="H191" s="9">
        <f t="shared" si="1"/>
        <v>0.5394656333</v>
      </c>
      <c r="I191" s="9">
        <f t="shared" si="2"/>
        <v>0.06522537222</v>
      </c>
      <c r="J191" s="8">
        <v>287.0</v>
      </c>
      <c r="K191" s="8">
        <v>243.0</v>
      </c>
      <c r="L191" s="9">
        <f t="shared" si="3"/>
        <v>0.1533101045</v>
      </c>
      <c r="M191" s="8">
        <v>228.0</v>
      </c>
      <c r="N191" s="10">
        <v>26120.79</v>
      </c>
      <c r="O191" s="11">
        <f t="shared" si="4"/>
        <v>1.065502346</v>
      </c>
    </row>
    <row r="192" ht="15.75" customHeight="1">
      <c r="A192" s="12">
        <v>46082.0</v>
      </c>
      <c r="B192" s="4" t="s">
        <v>1043</v>
      </c>
      <c r="C192" s="4" t="s">
        <v>1041</v>
      </c>
      <c r="D192" s="4" t="s">
        <v>1042</v>
      </c>
      <c r="E192" s="8">
        <v>33968.0</v>
      </c>
      <c r="F192" s="8">
        <v>13350.0</v>
      </c>
      <c r="G192" s="8">
        <v>1356.0</v>
      </c>
      <c r="H192" s="9">
        <f t="shared" si="1"/>
        <v>0.3930169571</v>
      </c>
      <c r="I192" s="9">
        <f t="shared" si="2"/>
        <v>0.03991992463</v>
      </c>
      <c r="J192" s="8">
        <v>210.0</v>
      </c>
      <c r="K192" s="8">
        <v>183.0</v>
      </c>
      <c r="L192" s="9">
        <f t="shared" si="3"/>
        <v>0.1285714286</v>
      </c>
      <c r="M192" s="8">
        <v>202.0</v>
      </c>
      <c r="N192" s="10">
        <v>18622.67</v>
      </c>
      <c r="O192" s="11">
        <f t="shared" si="4"/>
        <v>0.5482415803</v>
      </c>
    </row>
    <row r="193" ht="15.75" customHeight="1">
      <c r="A193" s="12">
        <v>46113.0</v>
      </c>
      <c r="B193" s="4" t="s">
        <v>1043</v>
      </c>
      <c r="C193" s="4" t="s">
        <v>1041</v>
      </c>
      <c r="D193" s="4" t="s">
        <v>1042</v>
      </c>
      <c r="E193" s="8">
        <v>41289.0</v>
      </c>
      <c r="F193" s="8">
        <v>22265.0</v>
      </c>
      <c r="G193" s="8">
        <v>1783.0</v>
      </c>
      <c r="H193" s="9">
        <f t="shared" si="1"/>
        <v>0.5392477415</v>
      </c>
      <c r="I193" s="9">
        <f t="shared" si="2"/>
        <v>0.04318341447</v>
      </c>
      <c r="J193" s="8">
        <v>277.0</v>
      </c>
      <c r="K193" s="8">
        <v>242.0</v>
      </c>
      <c r="L193" s="9">
        <f t="shared" si="3"/>
        <v>0.1263537906</v>
      </c>
      <c r="M193" s="8">
        <v>240.0</v>
      </c>
      <c r="N193" s="10">
        <v>14017.56</v>
      </c>
      <c r="O193" s="11">
        <f t="shared" si="4"/>
        <v>0.3394986558</v>
      </c>
    </row>
    <row r="194" ht="15.75" customHeight="1">
      <c r="A194" s="12">
        <v>45778.0</v>
      </c>
      <c r="B194" s="4" t="s">
        <v>1044</v>
      </c>
      <c r="C194" s="4" t="s">
        <v>1045</v>
      </c>
      <c r="D194" s="4" t="s">
        <v>1046</v>
      </c>
      <c r="E194" s="8">
        <v>47950.0</v>
      </c>
      <c r="F194" s="8">
        <v>17290.0</v>
      </c>
      <c r="G194" s="8">
        <v>2123.0</v>
      </c>
      <c r="H194" s="9">
        <f t="shared" si="1"/>
        <v>0.3605839416</v>
      </c>
      <c r="I194" s="9">
        <f t="shared" si="2"/>
        <v>0.04427528676</v>
      </c>
      <c r="J194" s="8">
        <v>344.0</v>
      </c>
      <c r="K194" s="8">
        <v>305.0</v>
      </c>
      <c r="L194" s="9">
        <f t="shared" si="3"/>
        <v>0.113372093</v>
      </c>
      <c r="M194" s="8">
        <v>174.0</v>
      </c>
      <c r="N194" s="10">
        <v>10756.28</v>
      </c>
      <c r="O194" s="11">
        <f t="shared" si="4"/>
        <v>0.2243228363</v>
      </c>
    </row>
    <row r="195" ht="15.75" customHeight="1">
      <c r="A195" s="12">
        <v>45809.0</v>
      </c>
      <c r="B195" s="4" t="s">
        <v>1044</v>
      </c>
      <c r="C195" s="4" t="s">
        <v>1045</v>
      </c>
      <c r="D195" s="4" t="s">
        <v>1046</v>
      </c>
      <c r="E195" s="8">
        <v>35112.0</v>
      </c>
      <c r="F195" s="8">
        <v>17418.0</v>
      </c>
      <c r="G195" s="8">
        <v>2112.0</v>
      </c>
      <c r="H195" s="9">
        <f t="shared" si="1"/>
        <v>0.4960697198</v>
      </c>
      <c r="I195" s="9">
        <f t="shared" si="2"/>
        <v>0.06015037594</v>
      </c>
      <c r="J195" s="8">
        <v>242.0</v>
      </c>
      <c r="K195" s="8">
        <v>209.0</v>
      </c>
      <c r="L195" s="9">
        <f t="shared" si="3"/>
        <v>0.1363636364</v>
      </c>
      <c r="M195" s="8">
        <v>345.0</v>
      </c>
      <c r="N195" s="10">
        <v>23722.35</v>
      </c>
      <c r="O195" s="11">
        <f t="shared" si="4"/>
        <v>0.6756194463</v>
      </c>
    </row>
    <row r="196" ht="15.75" customHeight="1">
      <c r="A196" s="12">
        <v>45839.0</v>
      </c>
      <c r="B196" s="4" t="s">
        <v>1044</v>
      </c>
      <c r="C196" s="4" t="s">
        <v>1045</v>
      </c>
      <c r="D196" s="4" t="s">
        <v>1046</v>
      </c>
      <c r="E196" s="8">
        <v>19877.0</v>
      </c>
      <c r="F196" s="8">
        <v>7074.0</v>
      </c>
      <c r="G196" s="8">
        <v>955.0</v>
      </c>
      <c r="H196" s="9">
        <f t="shared" si="1"/>
        <v>0.3558887156</v>
      </c>
      <c r="I196" s="9">
        <f t="shared" si="2"/>
        <v>0.0480454797</v>
      </c>
      <c r="J196" s="8">
        <v>173.0</v>
      </c>
      <c r="K196" s="8">
        <v>142.0</v>
      </c>
      <c r="L196" s="9">
        <f t="shared" si="3"/>
        <v>0.1791907514</v>
      </c>
      <c r="M196" s="8">
        <v>76.0</v>
      </c>
      <c r="N196" s="10">
        <v>6248.21</v>
      </c>
      <c r="O196" s="11">
        <f t="shared" si="4"/>
        <v>0.3143437138</v>
      </c>
    </row>
    <row r="197" ht="15.75" customHeight="1">
      <c r="A197" s="12">
        <v>45870.0</v>
      </c>
      <c r="B197" s="4" t="s">
        <v>1044</v>
      </c>
      <c r="C197" s="4" t="s">
        <v>1045</v>
      </c>
      <c r="D197" s="4" t="s">
        <v>1046</v>
      </c>
      <c r="E197" s="8">
        <v>33391.0</v>
      </c>
      <c r="F197" s="8">
        <v>17062.0</v>
      </c>
      <c r="G197" s="8">
        <v>1649.0</v>
      </c>
      <c r="H197" s="9">
        <f t="shared" si="1"/>
        <v>0.5109760115</v>
      </c>
      <c r="I197" s="9">
        <f t="shared" si="2"/>
        <v>0.0493845647</v>
      </c>
      <c r="J197" s="8">
        <v>241.0</v>
      </c>
      <c r="K197" s="8">
        <v>216.0</v>
      </c>
      <c r="L197" s="9">
        <f t="shared" si="3"/>
        <v>0.1037344398</v>
      </c>
      <c r="M197" s="8">
        <v>155.0</v>
      </c>
      <c r="N197" s="10">
        <v>11884.12</v>
      </c>
      <c r="O197" s="11">
        <f t="shared" si="4"/>
        <v>0.3559078794</v>
      </c>
    </row>
    <row r="198" ht="15.75" customHeight="1">
      <c r="A198" s="12">
        <v>45901.0</v>
      </c>
      <c r="B198" s="4" t="s">
        <v>1044</v>
      </c>
      <c r="C198" s="4" t="s">
        <v>1045</v>
      </c>
      <c r="D198" s="4" t="s">
        <v>1046</v>
      </c>
      <c r="E198" s="8">
        <v>19626.0</v>
      </c>
      <c r="F198" s="8">
        <v>9645.0</v>
      </c>
      <c r="G198" s="8">
        <v>1268.0</v>
      </c>
      <c r="H198" s="9">
        <f t="shared" si="1"/>
        <v>0.4914399266</v>
      </c>
      <c r="I198" s="9">
        <f t="shared" si="2"/>
        <v>0.06460817283</v>
      </c>
      <c r="J198" s="8">
        <v>190.0</v>
      </c>
      <c r="K198" s="8">
        <v>153.0</v>
      </c>
      <c r="L198" s="9">
        <f t="shared" si="3"/>
        <v>0.1947368421</v>
      </c>
      <c r="M198" s="8">
        <v>129.0</v>
      </c>
      <c r="N198" s="10">
        <v>9236.2</v>
      </c>
      <c r="O198" s="11">
        <f t="shared" si="4"/>
        <v>0.4706104148</v>
      </c>
    </row>
    <row r="199" ht="15.75" customHeight="1">
      <c r="A199" s="12">
        <v>45931.0</v>
      </c>
      <c r="B199" s="4" t="s">
        <v>1044</v>
      </c>
      <c r="C199" s="4" t="s">
        <v>1045</v>
      </c>
      <c r="D199" s="4" t="s">
        <v>1046</v>
      </c>
      <c r="E199" s="8">
        <v>13345.0</v>
      </c>
      <c r="F199" s="8">
        <v>5577.0</v>
      </c>
      <c r="G199" s="8">
        <v>683.0</v>
      </c>
      <c r="H199" s="9">
        <f t="shared" si="1"/>
        <v>0.4179093293</v>
      </c>
      <c r="I199" s="9">
        <f t="shared" si="2"/>
        <v>0.05118021731</v>
      </c>
      <c r="J199" s="8">
        <v>104.0</v>
      </c>
      <c r="K199" s="8">
        <v>81.0</v>
      </c>
      <c r="L199" s="9">
        <f t="shared" si="3"/>
        <v>0.2211538462</v>
      </c>
      <c r="M199" s="8">
        <v>112.0</v>
      </c>
      <c r="N199" s="10">
        <v>13095.11</v>
      </c>
      <c r="O199" s="11">
        <f t="shared" si="4"/>
        <v>0.9812746347</v>
      </c>
    </row>
    <row r="200" ht="15.75" customHeight="1">
      <c r="A200" s="12">
        <v>45962.0</v>
      </c>
      <c r="B200" s="4" t="s">
        <v>1044</v>
      </c>
      <c r="C200" s="4" t="s">
        <v>1045</v>
      </c>
      <c r="D200" s="4" t="s">
        <v>1046</v>
      </c>
      <c r="E200" s="8">
        <v>11876.0</v>
      </c>
      <c r="F200" s="8">
        <v>5778.0</v>
      </c>
      <c r="G200" s="8">
        <v>443.0</v>
      </c>
      <c r="H200" s="9">
        <f t="shared" si="1"/>
        <v>0.4865274503</v>
      </c>
      <c r="I200" s="9">
        <f t="shared" si="2"/>
        <v>0.03730212193</v>
      </c>
      <c r="J200" s="8">
        <v>35.0</v>
      </c>
      <c r="K200" s="8">
        <v>32.0</v>
      </c>
      <c r="L200" s="9">
        <f t="shared" si="3"/>
        <v>0.08571428571</v>
      </c>
      <c r="M200" s="8">
        <v>36.0</v>
      </c>
      <c r="N200" s="10">
        <v>2794.02</v>
      </c>
      <c r="O200" s="11">
        <f t="shared" si="4"/>
        <v>0.2352660829</v>
      </c>
    </row>
    <row r="201" ht="15.75" customHeight="1">
      <c r="A201" s="12">
        <v>45992.0</v>
      </c>
      <c r="B201" s="4" t="s">
        <v>1044</v>
      </c>
      <c r="C201" s="4" t="s">
        <v>1045</v>
      </c>
      <c r="D201" s="4" t="s">
        <v>1046</v>
      </c>
      <c r="E201" s="8">
        <v>28071.0</v>
      </c>
      <c r="F201" s="8">
        <v>9980.0</v>
      </c>
      <c r="G201" s="8">
        <v>1330.0</v>
      </c>
      <c r="H201" s="9">
        <f t="shared" si="1"/>
        <v>0.3555270564</v>
      </c>
      <c r="I201" s="9">
        <f t="shared" si="2"/>
        <v>0.04737985822</v>
      </c>
      <c r="J201" s="8">
        <v>211.0</v>
      </c>
      <c r="K201" s="8">
        <v>189.0</v>
      </c>
      <c r="L201" s="9">
        <f t="shared" si="3"/>
        <v>0.1042654028</v>
      </c>
      <c r="M201" s="8">
        <v>325.0</v>
      </c>
      <c r="N201" s="10">
        <v>22525.4</v>
      </c>
      <c r="O201" s="11">
        <f t="shared" si="4"/>
        <v>0.8024438032</v>
      </c>
    </row>
    <row r="202" ht="15.75" customHeight="1">
      <c r="A202" s="12">
        <v>46023.0</v>
      </c>
      <c r="B202" s="4" t="s">
        <v>1044</v>
      </c>
      <c r="C202" s="4" t="s">
        <v>1045</v>
      </c>
      <c r="D202" s="4" t="s">
        <v>1046</v>
      </c>
      <c r="E202" s="8">
        <v>40650.0</v>
      </c>
      <c r="F202" s="8">
        <v>15705.0</v>
      </c>
      <c r="G202" s="8">
        <v>1339.0</v>
      </c>
      <c r="H202" s="9">
        <f t="shared" si="1"/>
        <v>0.3863468635</v>
      </c>
      <c r="I202" s="9">
        <f t="shared" si="2"/>
        <v>0.0329397294</v>
      </c>
      <c r="J202" s="8">
        <v>171.0</v>
      </c>
      <c r="K202" s="8">
        <v>154.0</v>
      </c>
      <c r="L202" s="9">
        <f t="shared" si="3"/>
        <v>0.09941520468</v>
      </c>
      <c r="M202" s="8">
        <v>455.0</v>
      </c>
      <c r="N202" s="10">
        <v>42762.31</v>
      </c>
      <c r="O202" s="11">
        <f t="shared" si="4"/>
        <v>1.051963346</v>
      </c>
    </row>
    <row r="203" ht="15.75" customHeight="1">
      <c r="A203" s="12">
        <v>46054.0</v>
      </c>
      <c r="B203" s="4" t="s">
        <v>1044</v>
      </c>
      <c r="C203" s="4" t="s">
        <v>1045</v>
      </c>
      <c r="D203" s="4" t="s">
        <v>1046</v>
      </c>
      <c r="E203" s="8">
        <v>45616.0</v>
      </c>
      <c r="F203" s="8">
        <v>17579.0</v>
      </c>
      <c r="G203" s="8">
        <v>1772.0</v>
      </c>
      <c r="H203" s="9">
        <f t="shared" si="1"/>
        <v>0.3853691687</v>
      </c>
      <c r="I203" s="9">
        <f t="shared" si="2"/>
        <v>0.03884601894</v>
      </c>
      <c r="J203" s="8">
        <v>351.0</v>
      </c>
      <c r="K203" s="8">
        <v>311.0</v>
      </c>
      <c r="L203" s="9">
        <f t="shared" si="3"/>
        <v>0.113960114</v>
      </c>
      <c r="M203" s="8">
        <v>345.0</v>
      </c>
      <c r="N203" s="10">
        <v>36867.28</v>
      </c>
      <c r="O203" s="11">
        <f t="shared" si="4"/>
        <v>0.8082094002</v>
      </c>
    </row>
    <row r="204" ht="15.75" customHeight="1">
      <c r="A204" s="12">
        <v>46082.0</v>
      </c>
      <c r="B204" s="4" t="s">
        <v>1044</v>
      </c>
      <c r="C204" s="4" t="s">
        <v>1045</v>
      </c>
      <c r="D204" s="4" t="s">
        <v>1046</v>
      </c>
      <c r="E204" s="8">
        <v>37170.0</v>
      </c>
      <c r="F204" s="8">
        <v>13235.0</v>
      </c>
      <c r="G204" s="8">
        <v>962.0</v>
      </c>
      <c r="H204" s="9">
        <f t="shared" si="1"/>
        <v>0.3560667205</v>
      </c>
      <c r="I204" s="9">
        <f t="shared" si="2"/>
        <v>0.0258810869</v>
      </c>
      <c r="J204" s="8">
        <v>149.0</v>
      </c>
      <c r="K204" s="8">
        <v>136.0</v>
      </c>
      <c r="L204" s="9">
        <f t="shared" si="3"/>
        <v>0.08724832215</v>
      </c>
      <c r="M204" s="8">
        <v>426.0</v>
      </c>
      <c r="N204" s="10">
        <v>45340.16</v>
      </c>
      <c r="O204" s="11">
        <f t="shared" si="4"/>
        <v>1.219805219</v>
      </c>
    </row>
    <row r="205" ht="15.75" customHeight="1">
      <c r="A205" s="12">
        <v>46113.0</v>
      </c>
      <c r="B205" s="4" t="s">
        <v>1044</v>
      </c>
      <c r="C205" s="4" t="s">
        <v>1045</v>
      </c>
      <c r="D205" s="4" t="s">
        <v>1046</v>
      </c>
      <c r="E205" s="8">
        <v>28425.0</v>
      </c>
      <c r="F205" s="8">
        <v>15264.0</v>
      </c>
      <c r="G205" s="8">
        <v>1183.0</v>
      </c>
      <c r="H205" s="9">
        <f t="shared" si="1"/>
        <v>0.5369920844</v>
      </c>
      <c r="I205" s="9">
        <f t="shared" si="2"/>
        <v>0.04161829376</v>
      </c>
      <c r="J205" s="8">
        <v>207.0</v>
      </c>
      <c r="K205" s="8">
        <v>178.0</v>
      </c>
      <c r="L205" s="9">
        <f t="shared" si="3"/>
        <v>0.1400966184</v>
      </c>
      <c r="M205" s="8">
        <v>128.0</v>
      </c>
      <c r="N205" s="10">
        <v>8189.86</v>
      </c>
      <c r="O205" s="11">
        <f t="shared" si="4"/>
        <v>0.2881217238</v>
      </c>
    </row>
    <row r="206" ht="15.75" customHeight="1">
      <c r="A206" s="12">
        <v>45778.0</v>
      </c>
      <c r="B206" s="4" t="s">
        <v>1047</v>
      </c>
      <c r="C206" s="4" t="s">
        <v>1045</v>
      </c>
      <c r="D206" s="4" t="s">
        <v>1048</v>
      </c>
      <c r="E206" s="8">
        <v>20658.0</v>
      </c>
      <c r="F206" s="8">
        <v>9723.0</v>
      </c>
      <c r="G206" s="8">
        <v>1359.0</v>
      </c>
      <c r="H206" s="9">
        <f t="shared" si="1"/>
        <v>0.4706651176</v>
      </c>
      <c r="I206" s="9">
        <f t="shared" si="2"/>
        <v>0.06578565205</v>
      </c>
      <c r="J206" s="8">
        <v>283.0</v>
      </c>
      <c r="K206" s="8">
        <v>257.0</v>
      </c>
      <c r="L206" s="9">
        <f t="shared" si="3"/>
        <v>0.09187279152</v>
      </c>
      <c r="M206" s="8">
        <v>234.0</v>
      </c>
      <c r="N206" s="10">
        <v>21265.65</v>
      </c>
      <c r="O206" s="11">
        <f t="shared" si="4"/>
        <v>1.029414755</v>
      </c>
    </row>
    <row r="207" ht="15.75" customHeight="1">
      <c r="A207" s="12">
        <v>45809.0</v>
      </c>
      <c r="B207" s="4" t="s">
        <v>1047</v>
      </c>
      <c r="C207" s="4" t="s">
        <v>1045</v>
      </c>
      <c r="D207" s="4" t="s">
        <v>1048</v>
      </c>
      <c r="E207" s="8">
        <v>33483.0</v>
      </c>
      <c r="F207" s="8">
        <v>16969.0</v>
      </c>
      <c r="G207" s="8">
        <v>2309.0</v>
      </c>
      <c r="H207" s="9">
        <f t="shared" si="1"/>
        <v>0.5067944927</v>
      </c>
      <c r="I207" s="9">
        <f t="shared" si="2"/>
        <v>0.06896036795</v>
      </c>
      <c r="J207" s="8">
        <v>400.0</v>
      </c>
      <c r="K207" s="8">
        <v>315.0</v>
      </c>
      <c r="L207" s="9">
        <f t="shared" si="3"/>
        <v>0.2125</v>
      </c>
      <c r="M207" s="8">
        <v>174.0</v>
      </c>
      <c r="N207" s="10">
        <v>11568.02</v>
      </c>
      <c r="O207" s="11">
        <f t="shared" si="4"/>
        <v>0.3454893528</v>
      </c>
    </row>
    <row r="208" ht="15.75" customHeight="1">
      <c r="A208" s="12">
        <v>45839.0</v>
      </c>
      <c r="B208" s="4" t="s">
        <v>1047</v>
      </c>
      <c r="C208" s="4" t="s">
        <v>1045</v>
      </c>
      <c r="D208" s="4" t="s">
        <v>1048</v>
      </c>
      <c r="E208" s="8">
        <v>40162.0</v>
      </c>
      <c r="F208" s="8">
        <v>15569.0</v>
      </c>
      <c r="G208" s="8">
        <v>1530.0</v>
      </c>
      <c r="H208" s="9">
        <f t="shared" si="1"/>
        <v>0.3876549973</v>
      </c>
      <c r="I208" s="9">
        <f t="shared" si="2"/>
        <v>0.03809571236</v>
      </c>
      <c r="J208" s="8">
        <v>199.0</v>
      </c>
      <c r="K208" s="8">
        <v>180.0</v>
      </c>
      <c r="L208" s="9">
        <f t="shared" si="3"/>
        <v>0.09547738693</v>
      </c>
      <c r="M208" s="8">
        <v>453.0</v>
      </c>
      <c r="N208" s="10">
        <v>48314.46</v>
      </c>
      <c r="O208" s="11">
        <f t="shared" si="4"/>
        <v>1.202989393</v>
      </c>
    </row>
    <row r="209" ht="15.75" customHeight="1">
      <c r="A209" s="12">
        <v>45870.0</v>
      </c>
      <c r="B209" s="4" t="s">
        <v>1047</v>
      </c>
      <c r="C209" s="4" t="s">
        <v>1045</v>
      </c>
      <c r="D209" s="4" t="s">
        <v>1048</v>
      </c>
      <c r="E209" s="8">
        <v>46740.0</v>
      </c>
      <c r="F209" s="8">
        <v>17282.0</v>
      </c>
      <c r="G209" s="8">
        <v>1838.0</v>
      </c>
      <c r="H209" s="9">
        <f t="shared" si="1"/>
        <v>0.3697475396</v>
      </c>
      <c r="I209" s="9">
        <f t="shared" si="2"/>
        <v>0.03932391955</v>
      </c>
      <c r="J209" s="8">
        <v>317.0</v>
      </c>
      <c r="K209" s="8">
        <v>261.0</v>
      </c>
      <c r="L209" s="9">
        <f t="shared" si="3"/>
        <v>0.1766561514</v>
      </c>
      <c r="M209" s="8">
        <v>362.0</v>
      </c>
      <c r="N209" s="10">
        <v>33486.89</v>
      </c>
      <c r="O209" s="11">
        <f t="shared" si="4"/>
        <v>0.7164503637</v>
      </c>
    </row>
    <row r="210" ht="15.75" customHeight="1">
      <c r="A210" s="12">
        <v>45901.0</v>
      </c>
      <c r="B210" s="4" t="s">
        <v>1047</v>
      </c>
      <c r="C210" s="4" t="s">
        <v>1045</v>
      </c>
      <c r="D210" s="4" t="s">
        <v>1048</v>
      </c>
      <c r="E210" s="8">
        <v>42860.0</v>
      </c>
      <c r="F210" s="8">
        <v>19472.0</v>
      </c>
      <c r="G210" s="8">
        <v>2394.0</v>
      </c>
      <c r="H210" s="9">
        <f t="shared" si="1"/>
        <v>0.4543163789</v>
      </c>
      <c r="I210" s="9">
        <f t="shared" si="2"/>
        <v>0.05585627625</v>
      </c>
      <c r="J210" s="8">
        <v>407.0</v>
      </c>
      <c r="K210" s="8">
        <v>333.0</v>
      </c>
      <c r="L210" s="9">
        <f t="shared" si="3"/>
        <v>0.1818181818</v>
      </c>
      <c r="M210" s="8">
        <v>180.0</v>
      </c>
      <c r="N210" s="10">
        <v>18686.04</v>
      </c>
      <c r="O210" s="11">
        <f t="shared" si="4"/>
        <v>0.4359785348</v>
      </c>
    </row>
    <row r="211" ht="15.75" customHeight="1">
      <c r="A211" s="12">
        <v>45931.0</v>
      </c>
      <c r="B211" s="4" t="s">
        <v>1047</v>
      </c>
      <c r="C211" s="4" t="s">
        <v>1045</v>
      </c>
      <c r="D211" s="4" t="s">
        <v>1048</v>
      </c>
      <c r="E211" s="8">
        <v>27199.0</v>
      </c>
      <c r="F211" s="8">
        <v>14656.0</v>
      </c>
      <c r="G211" s="8">
        <v>1463.0</v>
      </c>
      <c r="H211" s="9">
        <f t="shared" si="1"/>
        <v>0.5388433398</v>
      </c>
      <c r="I211" s="9">
        <f t="shared" si="2"/>
        <v>0.05378874223</v>
      </c>
      <c r="J211" s="8">
        <v>206.0</v>
      </c>
      <c r="K211" s="8">
        <v>163.0</v>
      </c>
      <c r="L211" s="9">
        <f t="shared" si="3"/>
        <v>0.2087378641</v>
      </c>
      <c r="M211" s="8">
        <v>87.0</v>
      </c>
      <c r="N211" s="10">
        <v>5590.54</v>
      </c>
      <c r="O211" s="11">
        <f t="shared" si="4"/>
        <v>0.2055421155</v>
      </c>
    </row>
    <row r="212" ht="15.75" customHeight="1">
      <c r="A212" s="12">
        <v>45962.0</v>
      </c>
      <c r="B212" s="4" t="s">
        <v>1047</v>
      </c>
      <c r="C212" s="4" t="s">
        <v>1045</v>
      </c>
      <c r="D212" s="4" t="s">
        <v>1048</v>
      </c>
      <c r="E212" s="8">
        <v>44782.0</v>
      </c>
      <c r="F212" s="8">
        <v>20009.0</v>
      </c>
      <c r="G212" s="8">
        <v>1945.0</v>
      </c>
      <c r="H212" s="9">
        <f t="shared" si="1"/>
        <v>0.4468089858</v>
      </c>
      <c r="I212" s="9">
        <f t="shared" si="2"/>
        <v>0.04343262918</v>
      </c>
      <c r="J212" s="8">
        <v>291.0</v>
      </c>
      <c r="K212" s="8">
        <v>259.0</v>
      </c>
      <c r="L212" s="9">
        <f t="shared" si="3"/>
        <v>0.1099656357</v>
      </c>
      <c r="M212" s="8">
        <v>250.0</v>
      </c>
      <c r="N212" s="10">
        <v>24760.79</v>
      </c>
      <c r="O212" s="11">
        <f t="shared" si="4"/>
        <v>0.5529183601</v>
      </c>
    </row>
    <row r="213" ht="15.75" customHeight="1">
      <c r="A213" s="12">
        <v>45992.0</v>
      </c>
      <c r="B213" s="4" t="s">
        <v>1047</v>
      </c>
      <c r="C213" s="4" t="s">
        <v>1045</v>
      </c>
      <c r="D213" s="4" t="s">
        <v>1048</v>
      </c>
      <c r="E213" s="8">
        <v>11612.0</v>
      </c>
      <c r="F213" s="8">
        <v>5289.0</v>
      </c>
      <c r="G213" s="8">
        <v>385.0</v>
      </c>
      <c r="H213" s="9">
        <f t="shared" si="1"/>
        <v>0.4554770927</v>
      </c>
      <c r="I213" s="9">
        <f t="shared" si="2"/>
        <v>0.03315535653</v>
      </c>
      <c r="J213" s="8">
        <v>81.0</v>
      </c>
      <c r="K213" s="8">
        <v>66.0</v>
      </c>
      <c r="L213" s="9">
        <f t="shared" si="3"/>
        <v>0.1851851852</v>
      </c>
      <c r="M213" s="8">
        <v>96.0</v>
      </c>
      <c r="N213" s="10">
        <v>10753.59</v>
      </c>
      <c r="O213" s="11">
        <f t="shared" si="4"/>
        <v>0.9260756114</v>
      </c>
    </row>
    <row r="214" ht="15.75" customHeight="1">
      <c r="A214" s="12">
        <v>46023.0</v>
      </c>
      <c r="B214" s="4" t="s">
        <v>1047</v>
      </c>
      <c r="C214" s="4" t="s">
        <v>1045</v>
      </c>
      <c r="D214" s="4" t="s">
        <v>1048</v>
      </c>
      <c r="E214" s="8">
        <v>43572.0</v>
      </c>
      <c r="F214" s="8">
        <v>16760.0</v>
      </c>
      <c r="G214" s="8">
        <v>1541.0</v>
      </c>
      <c r="H214" s="9">
        <f t="shared" si="1"/>
        <v>0.3846506931</v>
      </c>
      <c r="I214" s="9">
        <f t="shared" si="2"/>
        <v>0.03536674929</v>
      </c>
      <c r="J214" s="8">
        <v>133.0</v>
      </c>
      <c r="K214" s="8">
        <v>104.0</v>
      </c>
      <c r="L214" s="9">
        <f t="shared" si="3"/>
        <v>0.2180451128</v>
      </c>
      <c r="M214" s="8">
        <v>509.0</v>
      </c>
      <c r="N214" s="10">
        <v>41276.89</v>
      </c>
      <c r="O214" s="11">
        <f t="shared" si="4"/>
        <v>0.9473260351</v>
      </c>
    </row>
    <row r="215" ht="15.75" customHeight="1">
      <c r="A215" s="12">
        <v>46054.0</v>
      </c>
      <c r="B215" s="4" t="s">
        <v>1047</v>
      </c>
      <c r="C215" s="4" t="s">
        <v>1045</v>
      </c>
      <c r="D215" s="4" t="s">
        <v>1048</v>
      </c>
      <c r="E215" s="8">
        <v>31053.0</v>
      </c>
      <c r="F215" s="8">
        <v>16856.0</v>
      </c>
      <c r="G215" s="8">
        <v>1241.0</v>
      </c>
      <c r="H215" s="9">
        <f t="shared" si="1"/>
        <v>0.5428138988</v>
      </c>
      <c r="I215" s="9">
        <f t="shared" si="2"/>
        <v>0.03996393263</v>
      </c>
      <c r="J215" s="8">
        <v>242.0</v>
      </c>
      <c r="K215" s="8">
        <v>218.0</v>
      </c>
      <c r="L215" s="9">
        <f t="shared" si="3"/>
        <v>0.09917355372</v>
      </c>
      <c r="M215" s="8">
        <v>299.0</v>
      </c>
      <c r="N215" s="10">
        <v>26742.28</v>
      </c>
      <c r="O215" s="11">
        <f t="shared" si="4"/>
        <v>0.8611818504</v>
      </c>
    </row>
    <row r="216" ht="15.75" customHeight="1">
      <c r="A216" s="12">
        <v>46082.0</v>
      </c>
      <c r="B216" s="4" t="s">
        <v>1047</v>
      </c>
      <c r="C216" s="4" t="s">
        <v>1045</v>
      </c>
      <c r="D216" s="4" t="s">
        <v>1048</v>
      </c>
      <c r="E216" s="8">
        <v>19684.0</v>
      </c>
      <c r="F216" s="8">
        <v>8892.0</v>
      </c>
      <c r="G216" s="8">
        <v>1046.0</v>
      </c>
      <c r="H216" s="9">
        <f t="shared" si="1"/>
        <v>0.4517374517</v>
      </c>
      <c r="I216" s="9">
        <f t="shared" si="2"/>
        <v>0.05313960577</v>
      </c>
      <c r="J216" s="8">
        <v>90.0</v>
      </c>
      <c r="K216" s="8">
        <v>72.0</v>
      </c>
      <c r="L216" s="9">
        <f t="shared" si="3"/>
        <v>0.2</v>
      </c>
      <c r="M216" s="8">
        <v>140.0</v>
      </c>
      <c r="N216" s="10">
        <v>9679.93</v>
      </c>
      <c r="O216" s="11">
        <f t="shared" si="4"/>
        <v>0.4917664093</v>
      </c>
    </row>
    <row r="217" ht="15.75" customHeight="1">
      <c r="A217" s="12">
        <v>46113.0</v>
      </c>
      <c r="B217" s="4" t="s">
        <v>1047</v>
      </c>
      <c r="C217" s="4" t="s">
        <v>1045</v>
      </c>
      <c r="D217" s="4" t="s">
        <v>1048</v>
      </c>
      <c r="E217" s="8">
        <v>22520.0</v>
      </c>
      <c r="F217" s="8">
        <v>11090.0</v>
      </c>
      <c r="G217" s="8">
        <v>832.0</v>
      </c>
      <c r="H217" s="9">
        <f t="shared" si="1"/>
        <v>0.4924511545</v>
      </c>
      <c r="I217" s="9">
        <f t="shared" si="2"/>
        <v>0.03694493783</v>
      </c>
      <c r="J217" s="8">
        <v>90.0</v>
      </c>
      <c r="K217" s="8">
        <v>72.0</v>
      </c>
      <c r="L217" s="9">
        <f t="shared" si="3"/>
        <v>0.2</v>
      </c>
      <c r="M217" s="8">
        <v>197.0</v>
      </c>
      <c r="N217" s="10">
        <v>11610.31</v>
      </c>
      <c r="O217" s="11">
        <f t="shared" si="4"/>
        <v>0.5155555062</v>
      </c>
    </row>
    <row r="218" ht="15.75" customHeight="1">
      <c r="A218" s="12">
        <v>45778.0</v>
      </c>
      <c r="B218" s="4" t="s">
        <v>85</v>
      </c>
      <c r="C218" s="4" t="s">
        <v>1049</v>
      </c>
      <c r="D218" s="4" t="s">
        <v>587</v>
      </c>
      <c r="E218" s="8">
        <v>33001.0</v>
      </c>
      <c r="F218" s="8">
        <v>12910.0</v>
      </c>
      <c r="G218" s="8">
        <v>1526.0</v>
      </c>
      <c r="H218" s="9">
        <f t="shared" si="1"/>
        <v>0.3912002667</v>
      </c>
      <c r="I218" s="9">
        <f t="shared" si="2"/>
        <v>0.046241023</v>
      </c>
      <c r="J218" s="8">
        <v>319.0</v>
      </c>
      <c r="K218" s="8">
        <v>249.0</v>
      </c>
      <c r="L218" s="9">
        <f t="shared" si="3"/>
        <v>0.2194357367</v>
      </c>
      <c r="M218" s="8">
        <v>170.0</v>
      </c>
      <c r="N218" s="10">
        <v>18159.11</v>
      </c>
      <c r="O218" s="11">
        <f t="shared" si="4"/>
        <v>0.5502593861</v>
      </c>
    </row>
    <row r="219" ht="15.75" customHeight="1">
      <c r="A219" s="12">
        <v>45809.0</v>
      </c>
      <c r="B219" s="4" t="s">
        <v>85</v>
      </c>
      <c r="C219" s="4" t="s">
        <v>1049</v>
      </c>
      <c r="D219" s="4" t="s">
        <v>587</v>
      </c>
      <c r="E219" s="8">
        <v>29676.0</v>
      </c>
      <c r="F219" s="8">
        <v>16229.0</v>
      </c>
      <c r="G219" s="8">
        <v>2257.0</v>
      </c>
      <c r="H219" s="9">
        <f t="shared" si="1"/>
        <v>0.5468728939</v>
      </c>
      <c r="I219" s="9">
        <f t="shared" si="2"/>
        <v>0.07605472436</v>
      </c>
      <c r="J219" s="8">
        <v>441.0</v>
      </c>
      <c r="K219" s="8">
        <v>366.0</v>
      </c>
      <c r="L219" s="9">
        <f t="shared" si="3"/>
        <v>0.1700680272</v>
      </c>
      <c r="M219" s="8">
        <v>312.0</v>
      </c>
      <c r="N219" s="10">
        <v>18933.85</v>
      </c>
      <c r="O219" s="11">
        <f t="shared" si="4"/>
        <v>0.6380189379</v>
      </c>
    </row>
    <row r="220" ht="15.75" customHeight="1">
      <c r="A220" s="12">
        <v>45839.0</v>
      </c>
      <c r="B220" s="4" t="s">
        <v>85</v>
      </c>
      <c r="C220" s="4" t="s">
        <v>1049</v>
      </c>
      <c r="D220" s="4" t="s">
        <v>587</v>
      </c>
      <c r="E220" s="8">
        <v>17284.0</v>
      </c>
      <c r="F220" s="8">
        <v>8119.0</v>
      </c>
      <c r="G220" s="8">
        <v>921.0</v>
      </c>
      <c r="H220" s="9">
        <f t="shared" si="1"/>
        <v>0.4697408007</v>
      </c>
      <c r="I220" s="9">
        <f t="shared" si="2"/>
        <v>0.05328627632</v>
      </c>
      <c r="J220" s="8">
        <v>106.0</v>
      </c>
      <c r="K220" s="8">
        <v>96.0</v>
      </c>
      <c r="L220" s="9">
        <f t="shared" si="3"/>
        <v>0.09433962264</v>
      </c>
      <c r="M220" s="8">
        <v>157.0</v>
      </c>
      <c r="N220" s="10">
        <v>15795.82</v>
      </c>
      <c r="O220" s="11">
        <f t="shared" si="4"/>
        <v>0.9138984031</v>
      </c>
    </row>
    <row r="221" ht="15.75" customHeight="1">
      <c r="A221" s="12">
        <v>45870.0</v>
      </c>
      <c r="B221" s="4" t="s">
        <v>85</v>
      </c>
      <c r="C221" s="4" t="s">
        <v>1049</v>
      </c>
      <c r="D221" s="4" t="s">
        <v>587</v>
      </c>
      <c r="E221" s="8">
        <v>28299.0</v>
      </c>
      <c r="F221" s="8">
        <v>11064.0</v>
      </c>
      <c r="G221" s="8">
        <v>1455.0</v>
      </c>
      <c r="H221" s="9">
        <f t="shared" si="1"/>
        <v>0.3909678787</v>
      </c>
      <c r="I221" s="9">
        <f t="shared" si="2"/>
        <v>0.05141524435</v>
      </c>
      <c r="J221" s="8">
        <v>266.0</v>
      </c>
      <c r="K221" s="8">
        <v>217.0</v>
      </c>
      <c r="L221" s="9">
        <f t="shared" si="3"/>
        <v>0.1842105263</v>
      </c>
      <c r="M221" s="8">
        <v>260.0</v>
      </c>
      <c r="N221" s="10">
        <v>21567.84</v>
      </c>
      <c r="O221" s="11">
        <f t="shared" si="4"/>
        <v>0.7621414184</v>
      </c>
    </row>
    <row r="222" ht="15.75" customHeight="1">
      <c r="A222" s="12">
        <v>45901.0</v>
      </c>
      <c r="B222" s="4" t="s">
        <v>85</v>
      </c>
      <c r="C222" s="4" t="s">
        <v>1049</v>
      </c>
      <c r="D222" s="4" t="s">
        <v>587</v>
      </c>
      <c r="E222" s="8">
        <v>35108.0</v>
      </c>
      <c r="F222" s="8">
        <v>14935.0</v>
      </c>
      <c r="G222" s="8">
        <v>1926.0</v>
      </c>
      <c r="H222" s="9">
        <f t="shared" si="1"/>
        <v>0.4254016179</v>
      </c>
      <c r="I222" s="9">
        <f t="shared" si="2"/>
        <v>0.05485929133</v>
      </c>
      <c r="J222" s="8">
        <v>205.0</v>
      </c>
      <c r="K222" s="8">
        <v>182.0</v>
      </c>
      <c r="L222" s="9">
        <f t="shared" si="3"/>
        <v>0.112195122</v>
      </c>
      <c r="M222" s="8">
        <v>185.0</v>
      </c>
      <c r="N222" s="10">
        <v>10845.77</v>
      </c>
      <c r="O222" s="11">
        <f t="shared" si="4"/>
        <v>0.3089258858</v>
      </c>
    </row>
    <row r="223" ht="15.75" customHeight="1">
      <c r="A223" s="12">
        <v>45931.0</v>
      </c>
      <c r="B223" s="4" t="s">
        <v>85</v>
      </c>
      <c r="C223" s="4" t="s">
        <v>1049</v>
      </c>
      <c r="D223" s="4" t="s">
        <v>587</v>
      </c>
      <c r="E223" s="8">
        <v>33917.0</v>
      </c>
      <c r="F223" s="8">
        <v>12154.0</v>
      </c>
      <c r="G223" s="8">
        <v>1503.0</v>
      </c>
      <c r="H223" s="9">
        <f t="shared" si="1"/>
        <v>0.3583453725</v>
      </c>
      <c r="I223" s="9">
        <f t="shared" si="2"/>
        <v>0.0443140608</v>
      </c>
      <c r="J223" s="8">
        <v>147.0</v>
      </c>
      <c r="K223" s="8">
        <v>128.0</v>
      </c>
      <c r="L223" s="9">
        <f t="shared" si="3"/>
        <v>0.1292517007</v>
      </c>
      <c r="M223" s="8">
        <v>123.0</v>
      </c>
      <c r="N223" s="10">
        <v>7978.13</v>
      </c>
      <c r="O223" s="11">
        <f t="shared" si="4"/>
        <v>0.2352251084</v>
      </c>
    </row>
    <row r="224" ht="15.75" customHeight="1">
      <c r="A224" s="12">
        <v>45962.0</v>
      </c>
      <c r="B224" s="4" t="s">
        <v>85</v>
      </c>
      <c r="C224" s="4" t="s">
        <v>1049</v>
      </c>
      <c r="D224" s="4" t="s">
        <v>587</v>
      </c>
      <c r="E224" s="8">
        <v>18415.0</v>
      </c>
      <c r="F224" s="8">
        <v>9768.0</v>
      </c>
      <c r="G224" s="8">
        <v>1017.0</v>
      </c>
      <c r="H224" s="9">
        <f t="shared" si="1"/>
        <v>0.5304371436</v>
      </c>
      <c r="I224" s="9">
        <f t="shared" si="2"/>
        <v>0.05522671735</v>
      </c>
      <c r="J224" s="8">
        <v>107.0</v>
      </c>
      <c r="K224" s="8">
        <v>88.0</v>
      </c>
      <c r="L224" s="9">
        <f t="shared" si="3"/>
        <v>0.1775700935</v>
      </c>
      <c r="M224" s="8">
        <v>211.0</v>
      </c>
      <c r="N224" s="10">
        <v>15485.28</v>
      </c>
      <c r="O224" s="11">
        <f t="shared" si="4"/>
        <v>0.8409057833</v>
      </c>
    </row>
    <row r="225" ht="15.75" customHeight="1">
      <c r="A225" s="12">
        <v>45992.0</v>
      </c>
      <c r="B225" s="4" t="s">
        <v>85</v>
      </c>
      <c r="C225" s="4" t="s">
        <v>1049</v>
      </c>
      <c r="D225" s="4" t="s">
        <v>587</v>
      </c>
      <c r="E225" s="8">
        <v>34096.0</v>
      </c>
      <c r="F225" s="8">
        <v>13875.0</v>
      </c>
      <c r="G225" s="8">
        <v>1249.0</v>
      </c>
      <c r="H225" s="9">
        <f t="shared" si="1"/>
        <v>0.4069392304</v>
      </c>
      <c r="I225" s="9">
        <f t="shared" si="2"/>
        <v>0.03663186298</v>
      </c>
      <c r="J225" s="8">
        <v>249.0</v>
      </c>
      <c r="K225" s="8">
        <v>203.0</v>
      </c>
      <c r="L225" s="9">
        <f t="shared" si="3"/>
        <v>0.1847389558</v>
      </c>
      <c r="M225" s="8">
        <v>335.0</v>
      </c>
      <c r="N225" s="10">
        <v>27367.62</v>
      </c>
      <c r="O225" s="11">
        <f t="shared" si="4"/>
        <v>0.8026636556</v>
      </c>
    </row>
    <row r="226" ht="15.75" customHeight="1">
      <c r="A226" s="12">
        <v>46023.0</v>
      </c>
      <c r="B226" s="4" t="s">
        <v>85</v>
      </c>
      <c r="C226" s="4" t="s">
        <v>1049</v>
      </c>
      <c r="D226" s="4" t="s">
        <v>587</v>
      </c>
      <c r="E226" s="8">
        <v>21246.0</v>
      </c>
      <c r="F226" s="8">
        <v>11473.0</v>
      </c>
      <c r="G226" s="8">
        <v>1248.0</v>
      </c>
      <c r="H226" s="9">
        <f t="shared" si="1"/>
        <v>0.5400075308</v>
      </c>
      <c r="I226" s="9">
        <f t="shared" si="2"/>
        <v>0.05874046879</v>
      </c>
      <c r="J226" s="8">
        <v>186.0</v>
      </c>
      <c r="K226" s="8">
        <v>148.0</v>
      </c>
      <c r="L226" s="9">
        <f t="shared" si="3"/>
        <v>0.2043010753</v>
      </c>
      <c r="M226" s="8">
        <v>254.0</v>
      </c>
      <c r="N226" s="10">
        <v>21878.9</v>
      </c>
      <c r="O226" s="11">
        <f t="shared" si="4"/>
        <v>1.029789137</v>
      </c>
    </row>
    <row r="227" ht="15.75" customHeight="1">
      <c r="A227" s="12">
        <v>46054.0</v>
      </c>
      <c r="B227" s="4" t="s">
        <v>85</v>
      </c>
      <c r="C227" s="4" t="s">
        <v>1049</v>
      </c>
      <c r="D227" s="4" t="s">
        <v>587</v>
      </c>
      <c r="E227" s="8">
        <v>15165.0</v>
      </c>
      <c r="F227" s="8">
        <v>5645.0</v>
      </c>
      <c r="G227" s="8">
        <v>410.0</v>
      </c>
      <c r="H227" s="9">
        <f t="shared" si="1"/>
        <v>0.3722387076</v>
      </c>
      <c r="I227" s="9">
        <f t="shared" si="2"/>
        <v>0.02703593802</v>
      </c>
      <c r="J227" s="8">
        <v>55.0</v>
      </c>
      <c r="K227" s="8">
        <v>43.0</v>
      </c>
      <c r="L227" s="9">
        <f t="shared" si="3"/>
        <v>0.2181818182</v>
      </c>
      <c r="M227" s="8">
        <v>140.0</v>
      </c>
      <c r="N227" s="10">
        <v>8686.16</v>
      </c>
      <c r="O227" s="11">
        <f t="shared" si="4"/>
        <v>0.5727767887</v>
      </c>
    </row>
    <row r="228" ht="15.75" customHeight="1">
      <c r="A228" s="12">
        <v>46082.0</v>
      </c>
      <c r="B228" s="4" t="s">
        <v>85</v>
      </c>
      <c r="C228" s="4" t="s">
        <v>1049</v>
      </c>
      <c r="D228" s="4" t="s">
        <v>587</v>
      </c>
      <c r="E228" s="8">
        <v>36570.0</v>
      </c>
      <c r="F228" s="8">
        <v>17299.0</v>
      </c>
      <c r="G228" s="8">
        <v>1741.0</v>
      </c>
      <c r="H228" s="9">
        <f t="shared" si="1"/>
        <v>0.4730380093</v>
      </c>
      <c r="I228" s="9">
        <f t="shared" si="2"/>
        <v>0.04760732841</v>
      </c>
      <c r="J228" s="8">
        <v>174.0</v>
      </c>
      <c r="K228" s="8">
        <v>150.0</v>
      </c>
      <c r="L228" s="9">
        <f t="shared" si="3"/>
        <v>0.1379310345</v>
      </c>
      <c r="M228" s="8">
        <v>123.0</v>
      </c>
      <c r="N228" s="10">
        <v>14024.08</v>
      </c>
      <c r="O228" s="11">
        <f t="shared" si="4"/>
        <v>0.3834859174</v>
      </c>
    </row>
    <row r="229" ht="15.75" customHeight="1">
      <c r="A229" s="12">
        <v>46113.0</v>
      </c>
      <c r="B229" s="4" t="s">
        <v>85</v>
      </c>
      <c r="C229" s="4" t="s">
        <v>1049</v>
      </c>
      <c r="D229" s="4" t="s">
        <v>587</v>
      </c>
      <c r="E229" s="8">
        <v>20384.0</v>
      </c>
      <c r="F229" s="8">
        <v>10267.0</v>
      </c>
      <c r="G229" s="8">
        <v>1239.0</v>
      </c>
      <c r="H229" s="9">
        <f t="shared" si="1"/>
        <v>0.5036793564</v>
      </c>
      <c r="I229" s="9">
        <f t="shared" si="2"/>
        <v>0.06078296703</v>
      </c>
      <c r="J229" s="8">
        <v>106.0</v>
      </c>
      <c r="K229" s="8">
        <v>82.0</v>
      </c>
      <c r="L229" s="9">
        <f t="shared" si="3"/>
        <v>0.2264150943</v>
      </c>
      <c r="M229" s="8">
        <v>89.0</v>
      </c>
      <c r="N229" s="10">
        <v>9751.66</v>
      </c>
      <c r="O229" s="11">
        <f t="shared" si="4"/>
        <v>0.478397763</v>
      </c>
    </row>
    <row r="230" ht="15.75" customHeight="1">
      <c r="A230" s="12">
        <v>45778.0</v>
      </c>
      <c r="B230" s="4" t="s">
        <v>283</v>
      </c>
      <c r="C230" s="4" t="s">
        <v>1049</v>
      </c>
      <c r="D230" s="4" t="s">
        <v>1050</v>
      </c>
      <c r="E230" s="8">
        <v>24436.0</v>
      </c>
      <c r="F230" s="8">
        <v>13057.0</v>
      </c>
      <c r="G230" s="8">
        <v>1233.0</v>
      </c>
      <c r="H230" s="9">
        <f t="shared" si="1"/>
        <v>0.5343345883</v>
      </c>
      <c r="I230" s="9">
        <f t="shared" si="2"/>
        <v>0.05045834015</v>
      </c>
      <c r="J230" s="8">
        <v>133.0</v>
      </c>
      <c r="K230" s="8">
        <v>115.0</v>
      </c>
      <c r="L230" s="9">
        <f t="shared" si="3"/>
        <v>0.1353383459</v>
      </c>
      <c r="M230" s="8">
        <v>159.0</v>
      </c>
      <c r="N230" s="10">
        <v>10682.55</v>
      </c>
      <c r="O230" s="11">
        <f t="shared" si="4"/>
        <v>0.4371644295</v>
      </c>
    </row>
    <row r="231" ht="15.75" customHeight="1">
      <c r="A231" s="12">
        <v>45809.0</v>
      </c>
      <c r="B231" s="4" t="s">
        <v>283</v>
      </c>
      <c r="C231" s="4" t="s">
        <v>1049</v>
      </c>
      <c r="D231" s="4" t="s">
        <v>1050</v>
      </c>
      <c r="E231" s="8">
        <v>27123.0</v>
      </c>
      <c r="F231" s="8">
        <v>12235.0</v>
      </c>
      <c r="G231" s="8">
        <v>1049.0</v>
      </c>
      <c r="H231" s="9">
        <f t="shared" si="1"/>
        <v>0.4510931682</v>
      </c>
      <c r="I231" s="9">
        <f t="shared" si="2"/>
        <v>0.03867566272</v>
      </c>
      <c r="J231" s="8">
        <v>176.0</v>
      </c>
      <c r="K231" s="8">
        <v>145.0</v>
      </c>
      <c r="L231" s="9">
        <f t="shared" si="3"/>
        <v>0.1761363636</v>
      </c>
      <c r="M231" s="8">
        <v>257.0</v>
      </c>
      <c r="N231" s="10">
        <v>15296.28</v>
      </c>
      <c r="O231" s="11">
        <f t="shared" si="4"/>
        <v>0.563959739</v>
      </c>
    </row>
    <row r="232" ht="15.75" customHeight="1">
      <c r="A232" s="12">
        <v>45839.0</v>
      </c>
      <c r="B232" s="4" t="s">
        <v>283</v>
      </c>
      <c r="C232" s="4" t="s">
        <v>1049</v>
      </c>
      <c r="D232" s="4" t="s">
        <v>1050</v>
      </c>
      <c r="E232" s="8">
        <v>36870.0</v>
      </c>
      <c r="F232" s="8">
        <v>13416.0</v>
      </c>
      <c r="G232" s="8">
        <v>1169.0</v>
      </c>
      <c r="H232" s="9">
        <f t="shared" si="1"/>
        <v>0.3638730675</v>
      </c>
      <c r="I232" s="9">
        <f t="shared" si="2"/>
        <v>0.03170599403</v>
      </c>
      <c r="J232" s="8">
        <v>180.0</v>
      </c>
      <c r="K232" s="8">
        <v>154.0</v>
      </c>
      <c r="L232" s="9">
        <f t="shared" si="3"/>
        <v>0.1444444444</v>
      </c>
      <c r="M232" s="8">
        <v>158.0</v>
      </c>
      <c r="N232" s="10">
        <v>18304.39</v>
      </c>
      <c r="O232" s="11">
        <f t="shared" si="4"/>
        <v>0.4964575536</v>
      </c>
    </row>
    <row r="233" ht="15.75" customHeight="1">
      <c r="A233" s="12">
        <v>45870.0</v>
      </c>
      <c r="B233" s="4" t="s">
        <v>283</v>
      </c>
      <c r="C233" s="4" t="s">
        <v>1049</v>
      </c>
      <c r="D233" s="4" t="s">
        <v>1050</v>
      </c>
      <c r="E233" s="8">
        <v>11716.0</v>
      </c>
      <c r="F233" s="8">
        <v>4361.0</v>
      </c>
      <c r="G233" s="8">
        <v>325.0</v>
      </c>
      <c r="H233" s="9">
        <f t="shared" si="1"/>
        <v>0.3722260157</v>
      </c>
      <c r="I233" s="9">
        <f t="shared" si="2"/>
        <v>0.02773984295</v>
      </c>
      <c r="J233" s="8">
        <v>49.0</v>
      </c>
      <c r="K233" s="8">
        <v>38.0</v>
      </c>
      <c r="L233" s="9">
        <f t="shared" si="3"/>
        <v>0.2244897959</v>
      </c>
      <c r="M233" s="8">
        <v>111.0</v>
      </c>
      <c r="N233" s="10">
        <v>11260.37</v>
      </c>
      <c r="O233" s="11">
        <f t="shared" si="4"/>
        <v>0.9611104473</v>
      </c>
    </row>
    <row r="234" ht="15.75" customHeight="1">
      <c r="A234" s="12">
        <v>45901.0</v>
      </c>
      <c r="B234" s="4" t="s">
        <v>283</v>
      </c>
      <c r="C234" s="4" t="s">
        <v>1049</v>
      </c>
      <c r="D234" s="4" t="s">
        <v>1050</v>
      </c>
      <c r="E234" s="8">
        <v>29080.0</v>
      </c>
      <c r="F234" s="8">
        <v>12332.0</v>
      </c>
      <c r="G234" s="8">
        <v>987.0</v>
      </c>
      <c r="H234" s="9">
        <f t="shared" si="1"/>
        <v>0.4240715268</v>
      </c>
      <c r="I234" s="9">
        <f t="shared" si="2"/>
        <v>0.03394085282</v>
      </c>
      <c r="J234" s="8">
        <v>93.0</v>
      </c>
      <c r="K234" s="8">
        <v>75.0</v>
      </c>
      <c r="L234" s="9">
        <f t="shared" si="3"/>
        <v>0.1935483871</v>
      </c>
      <c r="M234" s="8">
        <v>187.0</v>
      </c>
      <c r="N234" s="10">
        <v>17159.62</v>
      </c>
      <c r="O234" s="11">
        <f t="shared" si="4"/>
        <v>0.5900832187</v>
      </c>
    </row>
    <row r="235" ht="15.75" customHeight="1">
      <c r="A235" s="12">
        <v>45931.0</v>
      </c>
      <c r="B235" s="4" t="s">
        <v>283</v>
      </c>
      <c r="C235" s="4" t="s">
        <v>1049</v>
      </c>
      <c r="D235" s="4" t="s">
        <v>1050</v>
      </c>
      <c r="E235" s="8">
        <v>33396.0</v>
      </c>
      <c r="F235" s="8">
        <v>16822.0</v>
      </c>
      <c r="G235" s="8">
        <v>1318.0</v>
      </c>
      <c r="H235" s="9">
        <f t="shared" si="1"/>
        <v>0.5037130195</v>
      </c>
      <c r="I235" s="9">
        <f t="shared" si="2"/>
        <v>0.03946580429</v>
      </c>
      <c r="J235" s="8">
        <v>146.0</v>
      </c>
      <c r="K235" s="8">
        <v>126.0</v>
      </c>
      <c r="L235" s="9">
        <f t="shared" si="3"/>
        <v>0.1369863014</v>
      </c>
      <c r="M235" s="8">
        <v>269.0</v>
      </c>
      <c r="N235" s="10">
        <v>16795.13</v>
      </c>
      <c r="O235" s="11">
        <f t="shared" si="4"/>
        <v>0.5029084321</v>
      </c>
    </row>
    <row r="236" ht="15.75" customHeight="1">
      <c r="A236" s="12">
        <v>45962.0</v>
      </c>
      <c r="B236" s="4" t="s">
        <v>283</v>
      </c>
      <c r="C236" s="4" t="s">
        <v>1049</v>
      </c>
      <c r="D236" s="4" t="s">
        <v>1050</v>
      </c>
      <c r="E236" s="8">
        <v>39223.0</v>
      </c>
      <c r="F236" s="8">
        <v>21080.0</v>
      </c>
      <c r="G236" s="8">
        <v>2427.0</v>
      </c>
      <c r="H236" s="9">
        <f t="shared" si="1"/>
        <v>0.5374397675</v>
      </c>
      <c r="I236" s="9">
        <f t="shared" si="2"/>
        <v>0.06187695995</v>
      </c>
      <c r="J236" s="8">
        <v>290.0</v>
      </c>
      <c r="K236" s="8">
        <v>251.0</v>
      </c>
      <c r="L236" s="9">
        <f t="shared" si="3"/>
        <v>0.1344827586</v>
      </c>
      <c r="M236" s="8">
        <v>276.0</v>
      </c>
      <c r="N236" s="10">
        <v>28396.03</v>
      </c>
      <c r="O236" s="11">
        <f t="shared" si="4"/>
        <v>0.7239637458</v>
      </c>
    </row>
    <row r="237" ht="15.75" customHeight="1">
      <c r="A237" s="12">
        <v>45992.0</v>
      </c>
      <c r="B237" s="4" t="s">
        <v>283</v>
      </c>
      <c r="C237" s="4" t="s">
        <v>1049</v>
      </c>
      <c r="D237" s="4" t="s">
        <v>1050</v>
      </c>
      <c r="E237" s="8">
        <v>40149.0</v>
      </c>
      <c r="F237" s="8">
        <v>18971.0</v>
      </c>
      <c r="G237" s="8">
        <v>1786.0</v>
      </c>
      <c r="H237" s="9">
        <f t="shared" si="1"/>
        <v>0.4725148821</v>
      </c>
      <c r="I237" s="9">
        <f t="shared" si="2"/>
        <v>0.044484296</v>
      </c>
      <c r="J237" s="8">
        <v>389.0</v>
      </c>
      <c r="K237" s="8">
        <v>328.0</v>
      </c>
      <c r="L237" s="9">
        <f t="shared" si="3"/>
        <v>0.1568123393</v>
      </c>
      <c r="M237" s="8">
        <v>452.0</v>
      </c>
      <c r="N237" s="10">
        <v>30369.1</v>
      </c>
      <c r="O237" s="11">
        <f t="shared" si="4"/>
        <v>0.7564098732</v>
      </c>
    </row>
    <row r="238" ht="15.75" customHeight="1">
      <c r="A238" s="12">
        <v>46023.0</v>
      </c>
      <c r="B238" s="4" t="s">
        <v>283</v>
      </c>
      <c r="C238" s="4" t="s">
        <v>1049</v>
      </c>
      <c r="D238" s="4" t="s">
        <v>1050</v>
      </c>
      <c r="E238" s="8">
        <v>43157.0</v>
      </c>
      <c r="F238" s="8">
        <v>22695.0</v>
      </c>
      <c r="G238" s="8">
        <v>1944.0</v>
      </c>
      <c r="H238" s="9">
        <f t="shared" si="1"/>
        <v>0.5258706583</v>
      </c>
      <c r="I238" s="9">
        <f t="shared" si="2"/>
        <v>0.0450448363</v>
      </c>
      <c r="J238" s="8">
        <v>233.0</v>
      </c>
      <c r="K238" s="8">
        <v>205.0</v>
      </c>
      <c r="L238" s="9">
        <f t="shared" si="3"/>
        <v>0.1201716738</v>
      </c>
      <c r="M238" s="8">
        <v>503.0</v>
      </c>
      <c r="N238" s="10">
        <v>40897.47</v>
      </c>
      <c r="O238" s="11">
        <f t="shared" si="4"/>
        <v>0.9476439512</v>
      </c>
    </row>
    <row r="239" ht="15.75" customHeight="1">
      <c r="A239" s="12">
        <v>46054.0</v>
      </c>
      <c r="B239" s="4" t="s">
        <v>283</v>
      </c>
      <c r="C239" s="4" t="s">
        <v>1049</v>
      </c>
      <c r="D239" s="4" t="s">
        <v>1050</v>
      </c>
      <c r="E239" s="8">
        <v>24856.0</v>
      </c>
      <c r="F239" s="8">
        <v>13083.0</v>
      </c>
      <c r="G239" s="8">
        <v>1252.0</v>
      </c>
      <c r="H239" s="9">
        <f t="shared" si="1"/>
        <v>0.5263517863</v>
      </c>
      <c r="I239" s="9">
        <f t="shared" si="2"/>
        <v>0.05037013196</v>
      </c>
      <c r="J239" s="8">
        <v>103.0</v>
      </c>
      <c r="K239" s="8">
        <v>91.0</v>
      </c>
      <c r="L239" s="9">
        <f t="shared" si="3"/>
        <v>0.1165048544</v>
      </c>
      <c r="M239" s="8">
        <v>106.0</v>
      </c>
      <c r="N239" s="10">
        <v>9073.17</v>
      </c>
      <c r="O239" s="11">
        <f t="shared" si="4"/>
        <v>0.3650293692</v>
      </c>
    </row>
    <row r="240" ht="15.75" customHeight="1">
      <c r="A240" s="12">
        <v>46082.0</v>
      </c>
      <c r="B240" s="4" t="s">
        <v>283</v>
      </c>
      <c r="C240" s="4" t="s">
        <v>1049</v>
      </c>
      <c r="D240" s="4" t="s">
        <v>1050</v>
      </c>
      <c r="E240" s="8">
        <v>43487.0</v>
      </c>
      <c r="F240" s="8">
        <v>22627.0</v>
      </c>
      <c r="G240" s="8">
        <v>3147.0</v>
      </c>
      <c r="H240" s="9">
        <f t="shared" si="1"/>
        <v>0.5203164164</v>
      </c>
      <c r="I240" s="9">
        <f t="shared" si="2"/>
        <v>0.07236645434</v>
      </c>
      <c r="J240" s="8">
        <v>306.0</v>
      </c>
      <c r="K240" s="8">
        <v>265.0</v>
      </c>
      <c r="L240" s="9">
        <f t="shared" si="3"/>
        <v>0.1339869281</v>
      </c>
      <c r="M240" s="8">
        <v>211.0</v>
      </c>
      <c r="N240" s="10">
        <v>17375.33</v>
      </c>
      <c r="O240" s="11">
        <f t="shared" si="4"/>
        <v>0.39955228</v>
      </c>
    </row>
    <row r="241" ht="15.75" customHeight="1">
      <c r="A241" s="12">
        <v>46113.0</v>
      </c>
      <c r="B241" s="4" t="s">
        <v>283</v>
      </c>
      <c r="C241" s="4" t="s">
        <v>1049</v>
      </c>
      <c r="D241" s="4" t="s">
        <v>1050</v>
      </c>
      <c r="E241" s="8">
        <v>35376.0</v>
      </c>
      <c r="F241" s="8">
        <v>15640.0</v>
      </c>
      <c r="G241" s="8">
        <v>1589.0</v>
      </c>
      <c r="H241" s="9">
        <f t="shared" si="1"/>
        <v>0.4421076436</v>
      </c>
      <c r="I241" s="9">
        <f t="shared" si="2"/>
        <v>0.04491745816</v>
      </c>
      <c r="J241" s="8">
        <v>338.0</v>
      </c>
      <c r="K241" s="8">
        <v>285.0</v>
      </c>
      <c r="L241" s="9">
        <f t="shared" si="3"/>
        <v>0.1568047337</v>
      </c>
      <c r="M241" s="8">
        <v>213.0</v>
      </c>
      <c r="N241" s="10">
        <v>20857.47</v>
      </c>
      <c r="O241" s="11">
        <f t="shared" si="4"/>
        <v>0.5895937924</v>
      </c>
    </row>
    <row r="242" ht="15.75" customHeight="1">
      <c r="A242" s="12">
        <v>45778.0</v>
      </c>
      <c r="B242" s="4" t="s">
        <v>668</v>
      </c>
      <c r="C242" s="4" t="s">
        <v>1049</v>
      </c>
      <c r="D242" s="4" t="s">
        <v>427</v>
      </c>
      <c r="E242" s="8">
        <v>16723.0</v>
      </c>
      <c r="F242" s="8">
        <v>8272.0</v>
      </c>
      <c r="G242" s="8">
        <v>698.0</v>
      </c>
      <c r="H242" s="9">
        <f t="shared" si="1"/>
        <v>0.4946480895</v>
      </c>
      <c r="I242" s="9">
        <f t="shared" si="2"/>
        <v>0.04173892244</v>
      </c>
      <c r="J242" s="8">
        <v>77.0</v>
      </c>
      <c r="K242" s="8">
        <v>62.0</v>
      </c>
      <c r="L242" s="9">
        <f t="shared" si="3"/>
        <v>0.1948051948</v>
      </c>
      <c r="M242" s="8">
        <v>79.0</v>
      </c>
      <c r="N242" s="10">
        <v>8722.89</v>
      </c>
      <c r="O242" s="11">
        <f t="shared" si="4"/>
        <v>0.521610357</v>
      </c>
    </row>
    <row r="243" ht="15.75" customHeight="1">
      <c r="A243" s="12">
        <v>45809.0</v>
      </c>
      <c r="B243" s="4" t="s">
        <v>668</v>
      </c>
      <c r="C243" s="4" t="s">
        <v>1049</v>
      </c>
      <c r="D243" s="4" t="s">
        <v>427</v>
      </c>
      <c r="E243" s="8">
        <v>31816.0</v>
      </c>
      <c r="F243" s="8">
        <v>16864.0</v>
      </c>
      <c r="G243" s="8">
        <v>1827.0</v>
      </c>
      <c r="H243" s="9">
        <f t="shared" si="1"/>
        <v>0.5300477747</v>
      </c>
      <c r="I243" s="9">
        <f t="shared" si="2"/>
        <v>0.05742393764</v>
      </c>
      <c r="J243" s="8">
        <v>341.0</v>
      </c>
      <c r="K243" s="8">
        <v>285.0</v>
      </c>
      <c r="L243" s="9">
        <f t="shared" si="3"/>
        <v>0.1642228739</v>
      </c>
      <c r="M243" s="8">
        <v>279.0</v>
      </c>
      <c r="N243" s="10">
        <v>19756.22</v>
      </c>
      <c r="O243" s="11">
        <f t="shared" si="4"/>
        <v>0.620952351</v>
      </c>
    </row>
    <row r="244" ht="15.75" customHeight="1">
      <c r="A244" s="12">
        <v>45839.0</v>
      </c>
      <c r="B244" s="4" t="s">
        <v>668</v>
      </c>
      <c r="C244" s="4" t="s">
        <v>1049</v>
      </c>
      <c r="D244" s="4" t="s">
        <v>427</v>
      </c>
      <c r="E244" s="8">
        <v>17262.0</v>
      </c>
      <c r="F244" s="8">
        <v>7665.0</v>
      </c>
      <c r="G244" s="8">
        <v>827.0</v>
      </c>
      <c r="H244" s="9">
        <f t="shared" si="1"/>
        <v>0.4440389294</v>
      </c>
      <c r="I244" s="9">
        <f t="shared" si="2"/>
        <v>0.04790870119</v>
      </c>
      <c r="J244" s="8">
        <v>118.0</v>
      </c>
      <c r="K244" s="8">
        <v>106.0</v>
      </c>
      <c r="L244" s="9">
        <f t="shared" si="3"/>
        <v>0.1016949153</v>
      </c>
      <c r="M244" s="8">
        <v>200.0</v>
      </c>
      <c r="N244" s="10">
        <v>22041.33</v>
      </c>
      <c r="O244" s="11">
        <f t="shared" si="4"/>
        <v>1.276870003</v>
      </c>
    </row>
    <row r="245" ht="15.75" customHeight="1">
      <c r="A245" s="12">
        <v>45870.0</v>
      </c>
      <c r="B245" s="4" t="s">
        <v>668</v>
      </c>
      <c r="C245" s="4" t="s">
        <v>1049</v>
      </c>
      <c r="D245" s="4" t="s">
        <v>427</v>
      </c>
      <c r="E245" s="8">
        <v>35008.0</v>
      </c>
      <c r="F245" s="8">
        <v>12609.0</v>
      </c>
      <c r="G245" s="8">
        <v>1074.0</v>
      </c>
      <c r="H245" s="9">
        <f t="shared" si="1"/>
        <v>0.3601748172</v>
      </c>
      <c r="I245" s="9">
        <f t="shared" si="2"/>
        <v>0.03067870201</v>
      </c>
      <c r="J245" s="8">
        <v>168.0</v>
      </c>
      <c r="K245" s="8">
        <v>134.0</v>
      </c>
      <c r="L245" s="9">
        <f t="shared" si="3"/>
        <v>0.2023809524</v>
      </c>
      <c r="M245" s="8">
        <v>226.0</v>
      </c>
      <c r="N245" s="10">
        <v>20125.31</v>
      </c>
      <c r="O245" s="11">
        <f t="shared" si="4"/>
        <v>0.5748774566</v>
      </c>
    </row>
    <row r="246" ht="15.75" customHeight="1">
      <c r="A246" s="12">
        <v>45901.0</v>
      </c>
      <c r="B246" s="4" t="s">
        <v>668</v>
      </c>
      <c r="C246" s="4" t="s">
        <v>1049</v>
      </c>
      <c r="D246" s="4" t="s">
        <v>427</v>
      </c>
      <c r="E246" s="8">
        <v>19817.0</v>
      </c>
      <c r="F246" s="8">
        <v>10674.0</v>
      </c>
      <c r="G246" s="8">
        <v>764.0</v>
      </c>
      <c r="H246" s="9">
        <f t="shared" si="1"/>
        <v>0.5386284503</v>
      </c>
      <c r="I246" s="9">
        <f t="shared" si="2"/>
        <v>0.03855275773</v>
      </c>
      <c r="J246" s="8">
        <v>83.0</v>
      </c>
      <c r="K246" s="8">
        <v>71.0</v>
      </c>
      <c r="L246" s="9">
        <f t="shared" si="3"/>
        <v>0.1445783133</v>
      </c>
      <c r="M246" s="8">
        <v>90.0</v>
      </c>
      <c r="N246" s="10">
        <v>10531.62</v>
      </c>
      <c r="O246" s="11">
        <f t="shared" si="4"/>
        <v>0.5314437099</v>
      </c>
    </row>
    <row r="247" ht="15.75" customHeight="1">
      <c r="A247" s="12">
        <v>45931.0</v>
      </c>
      <c r="B247" s="4" t="s">
        <v>668</v>
      </c>
      <c r="C247" s="4" t="s">
        <v>1049</v>
      </c>
      <c r="D247" s="4" t="s">
        <v>427</v>
      </c>
      <c r="E247" s="8">
        <v>44920.0</v>
      </c>
      <c r="F247" s="8">
        <v>22632.0</v>
      </c>
      <c r="G247" s="8">
        <v>2600.0</v>
      </c>
      <c r="H247" s="9">
        <f t="shared" si="1"/>
        <v>0.5038290294</v>
      </c>
      <c r="I247" s="9">
        <f t="shared" si="2"/>
        <v>0.05788067676</v>
      </c>
      <c r="J247" s="8">
        <v>417.0</v>
      </c>
      <c r="K247" s="8">
        <v>372.0</v>
      </c>
      <c r="L247" s="9">
        <f t="shared" si="3"/>
        <v>0.1079136691</v>
      </c>
      <c r="M247" s="8">
        <v>195.0</v>
      </c>
      <c r="N247" s="10">
        <v>15012.94</v>
      </c>
      <c r="O247" s="11">
        <f t="shared" si="4"/>
        <v>0.334215049</v>
      </c>
    </row>
    <row r="248" ht="15.75" customHeight="1">
      <c r="A248" s="12">
        <v>45962.0</v>
      </c>
      <c r="B248" s="4" t="s">
        <v>668</v>
      </c>
      <c r="C248" s="4" t="s">
        <v>1049</v>
      </c>
      <c r="D248" s="4" t="s">
        <v>427</v>
      </c>
      <c r="E248" s="8">
        <v>24102.0</v>
      </c>
      <c r="F248" s="8">
        <v>12619.0</v>
      </c>
      <c r="G248" s="8">
        <v>998.0</v>
      </c>
      <c r="H248" s="9">
        <f t="shared" si="1"/>
        <v>0.523566509</v>
      </c>
      <c r="I248" s="9">
        <f t="shared" si="2"/>
        <v>0.04140735209</v>
      </c>
      <c r="J248" s="8">
        <v>209.0</v>
      </c>
      <c r="K248" s="8">
        <v>172.0</v>
      </c>
      <c r="L248" s="9">
        <f t="shared" si="3"/>
        <v>0.1770334928</v>
      </c>
      <c r="M248" s="8">
        <v>274.0</v>
      </c>
      <c r="N248" s="10">
        <v>25958.62</v>
      </c>
      <c r="O248" s="11">
        <f t="shared" si="4"/>
        <v>1.077031782</v>
      </c>
    </row>
    <row r="249" ht="15.75" customHeight="1">
      <c r="A249" s="12">
        <v>45992.0</v>
      </c>
      <c r="B249" s="4" t="s">
        <v>668</v>
      </c>
      <c r="C249" s="4" t="s">
        <v>1049</v>
      </c>
      <c r="D249" s="4" t="s">
        <v>427</v>
      </c>
      <c r="E249" s="8">
        <v>10313.0</v>
      </c>
      <c r="F249" s="8">
        <v>5004.0</v>
      </c>
      <c r="G249" s="8">
        <v>625.0</v>
      </c>
      <c r="H249" s="9">
        <f t="shared" si="1"/>
        <v>0.4852128382</v>
      </c>
      <c r="I249" s="9">
        <f t="shared" si="2"/>
        <v>0.06060312227</v>
      </c>
      <c r="J249" s="8">
        <v>57.0</v>
      </c>
      <c r="K249" s="8">
        <v>44.0</v>
      </c>
      <c r="L249" s="9">
        <f t="shared" si="3"/>
        <v>0.2280701754</v>
      </c>
      <c r="M249" s="8">
        <v>110.0</v>
      </c>
      <c r="N249" s="10">
        <v>6728.17</v>
      </c>
      <c r="O249" s="11">
        <f t="shared" si="4"/>
        <v>0.6523969747</v>
      </c>
    </row>
    <row r="250" ht="15.75" customHeight="1">
      <c r="A250" s="12">
        <v>46023.0</v>
      </c>
      <c r="B250" s="4" t="s">
        <v>668</v>
      </c>
      <c r="C250" s="4" t="s">
        <v>1049</v>
      </c>
      <c r="D250" s="4" t="s">
        <v>427</v>
      </c>
      <c r="E250" s="8">
        <v>13894.0</v>
      </c>
      <c r="F250" s="8">
        <v>5733.0</v>
      </c>
      <c r="G250" s="8">
        <v>763.0</v>
      </c>
      <c r="H250" s="9">
        <f t="shared" si="1"/>
        <v>0.4126241543</v>
      </c>
      <c r="I250" s="9">
        <f t="shared" si="2"/>
        <v>0.05491579099</v>
      </c>
      <c r="J250" s="8">
        <v>82.0</v>
      </c>
      <c r="K250" s="8">
        <v>65.0</v>
      </c>
      <c r="L250" s="9">
        <f t="shared" si="3"/>
        <v>0.2073170732</v>
      </c>
      <c r="M250" s="8">
        <v>68.0</v>
      </c>
      <c r="N250" s="10">
        <v>7373.97</v>
      </c>
      <c r="O250" s="11">
        <f t="shared" si="4"/>
        <v>0.5307305312</v>
      </c>
    </row>
    <row r="251" ht="15.75" customHeight="1">
      <c r="A251" s="12">
        <v>46054.0</v>
      </c>
      <c r="B251" s="4" t="s">
        <v>668</v>
      </c>
      <c r="C251" s="4" t="s">
        <v>1049</v>
      </c>
      <c r="D251" s="4" t="s">
        <v>427</v>
      </c>
      <c r="E251" s="8">
        <v>31785.0</v>
      </c>
      <c r="F251" s="8">
        <v>15086.0</v>
      </c>
      <c r="G251" s="8">
        <v>1389.0</v>
      </c>
      <c r="H251" s="9">
        <f t="shared" si="1"/>
        <v>0.4746263961</v>
      </c>
      <c r="I251" s="9">
        <f t="shared" si="2"/>
        <v>0.04369985842</v>
      </c>
      <c r="J251" s="8">
        <v>287.0</v>
      </c>
      <c r="K251" s="8">
        <v>241.0</v>
      </c>
      <c r="L251" s="9">
        <f t="shared" si="3"/>
        <v>0.1602787456</v>
      </c>
      <c r="M251" s="8">
        <v>192.0</v>
      </c>
      <c r="N251" s="10">
        <v>13154.51</v>
      </c>
      <c r="O251" s="11">
        <f t="shared" si="4"/>
        <v>0.413859053</v>
      </c>
    </row>
    <row r="252" ht="15.75" customHeight="1">
      <c r="A252" s="12">
        <v>46082.0</v>
      </c>
      <c r="B252" s="4" t="s">
        <v>668</v>
      </c>
      <c r="C252" s="4" t="s">
        <v>1049</v>
      </c>
      <c r="D252" s="4" t="s">
        <v>427</v>
      </c>
      <c r="E252" s="8">
        <v>27873.0</v>
      </c>
      <c r="F252" s="8">
        <v>10321.0</v>
      </c>
      <c r="G252" s="8">
        <v>1128.0</v>
      </c>
      <c r="H252" s="9">
        <f t="shared" si="1"/>
        <v>0.3702866573</v>
      </c>
      <c r="I252" s="9">
        <f t="shared" si="2"/>
        <v>0.04046927134</v>
      </c>
      <c r="J252" s="8">
        <v>232.0</v>
      </c>
      <c r="K252" s="8">
        <v>185.0</v>
      </c>
      <c r="L252" s="9">
        <f t="shared" si="3"/>
        <v>0.2025862069</v>
      </c>
      <c r="M252" s="8">
        <v>187.0</v>
      </c>
      <c r="N252" s="10">
        <v>16818.46</v>
      </c>
      <c r="O252" s="11">
        <f t="shared" si="4"/>
        <v>0.6033961181</v>
      </c>
    </row>
    <row r="253" ht="15.75" customHeight="1">
      <c r="A253" s="12">
        <v>46113.0</v>
      </c>
      <c r="B253" s="4" t="s">
        <v>668</v>
      </c>
      <c r="C253" s="4" t="s">
        <v>1049</v>
      </c>
      <c r="D253" s="4" t="s">
        <v>427</v>
      </c>
      <c r="E253" s="8">
        <v>34848.0</v>
      </c>
      <c r="F253" s="8">
        <v>13299.0</v>
      </c>
      <c r="G253" s="8">
        <v>1445.0</v>
      </c>
      <c r="H253" s="9">
        <f t="shared" si="1"/>
        <v>0.3816287879</v>
      </c>
      <c r="I253" s="9">
        <f t="shared" si="2"/>
        <v>0.04146579431</v>
      </c>
      <c r="J253" s="8">
        <v>210.0</v>
      </c>
      <c r="K253" s="8">
        <v>192.0</v>
      </c>
      <c r="L253" s="9">
        <f t="shared" si="3"/>
        <v>0.08571428571</v>
      </c>
      <c r="M253" s="8">
        <v>320.0</v>
      </c>
      <c r="N253" s="10">
        <v>35910.11</v>
      </c>
      <c r="O253" s="11">
        <f t="shared" si="4"/>
        <v>1.030478363</v>
      </c>
    </row>
    <row r="254" ht="15.75" customHeight="1">
      <c r="A254" s="12">
        <v>45778.0</v>
      </c>
      <c r="B254" s="4" t="s">
        <v>376</v>
      </c>
      <c r="C254" s="4" t="s">
        <v>1051</v>
      </c>
      <c r="D254" s="4" t="s">
        <v>1052</v>
      </c>
      <c r="E254" s="8">
        <v>15429.0</v>
      </c>
      <c r="F254" s="8">
        <v>7448.0</v>
      </c>
      <c r="G254" s="8">
        <v>597.0</v>
      </c>
      <c r="H254" s="9">
        <f t="shared" si="1"/>
        <v>0.4827273316</v>
      </c>
      <c r="I254" s="9">
        <f t="shared" si="2"/>
        <v>0.03869336963</v>
      </c>
      <c r="J254" s="8">
        <v>84.0</v>
      </c>
      <c r="K254" s="8">
        <v>74.0</v>
      </c>
      <c r="L254" s="9">
        <f t="shared" si="3"/>
        <v>0.119047619</v>
      </c>
      <c r="M254" s="8">
        <v>65.0</v>
      </c>
      <c r="N254" s="10">
        <v>5255.7</v>
      </c>
      <c r="O254" s="11">
        <f t="shared" si="4"/>
        <v>0.3406377601</v>
      </c>
    </row>
    <row r="255" ht="15.75" customHeight="1">
      <c r="A255" s="12">
        <v>45809.0</v>
      </c>
      <c r="B255" s="4" t="s">
        <v>376</v>
      </c>
      <c r="C255" s="4" t="s">
        <v>1051</v>
      </c>
      <c r="D255" s="4" t="s">
        <v>1052</v>
      </c>
      <c r="E255" s="8">
        <v>32862.0</v>
      </c>
      <c r="F255" s="8">
        <v>14635.0</v>
      </c>
      <c r="G255" s="8">
        <v>1810.0</v>
      </c>
      <c r="H255" s="9">
        <f t="shared" si="1"/>
        <v>0.4453472095</v>
      </c>
      <c r="I255" s="9">
        <f t="shared" si="2"/>
        <v>0.05507881444</v>
      </c>
      <c r="J255" s="8">
        <v>293.0</v>
      </c>
      <c r="K255" s="8">
        <v>269.0</v>
      </c>
      <c r="L255" s="9">
        <f t="shared" si="3"/>
        <v>0.0819112628</v>
      </c>
      <c r="M255" s="8">
        <v>205.0</v>
      </c>
      <c r="N255" s="10">
        <v>17313.52</v>
      </c>
      <c r="O255" s="11">
        <f t="shared" si="4"/>
        <v>0.5268553344</v>
      </c>
    </row>
    <row r="256" ht="15.75" customHeight="1">
      <c r="A256" s="12">
        <v>45839.0</v>
      </c>
      <c r="B256" s="4" t="s">
        <v>376</v>
      </c>
      <c r="C256" s="4" t="s">
        <v>1051</v>
      </c>
      <c r="D256" s="4" t="s">
        <v>1052</v>
      </c>
      <c r="E256" s="8">
        <v>45480.0</v>
      </c>
      <c r="F256" s="8">
        <v>17571.0</v>
      </c>
      <c r="G256" s="8">
        <v>2329.0</v>
      </c>
      <c r="H256" s="9">
        <f t="shared" si="1"/>
        <v>0.3863456464</v>
      </c>
      <c r="I256" s="9">
        <f t="shared" si="2"/>
        <v>0.05120932278</v>
      </c>
      <c r="J256" s="8">
        <v>502.0</v>
      </c>
      <c r="K256" s="8">
        <v>458.0</v>
      </c>
      <c r="L256" s="9">
        <f t="shared" si="3"/>
        <v>0.08764940239</v>
      </c>
      <c r="M256" s="8">
        <v>368.0</v>
      </c>
      <c r="N256" s="10">
        <v>40898.13</v>
      </c>
      <c r="O256" s="11">
        <f t="shared" si="4"/>
        <v>0.899255277</v>
      </c>
    </row>
    <row r="257" ht="15.75" customHeight="1">
      <c r="A257" s="12">
        <v>45870.0</v>
      </c>
      <c r="B257" s="4" t="s">
        <v>376</v>
      </c>
      <c r="C257" s="4" t="s">
        <v>1051</v>
      </c>
      <c r="D257" s="4" t="s">
        <v>1052</v>
      </c>
      <c r="E257" s="8">
        <v>13571.0</v>
      </c>
      <c r="F257" s="8">
        <v>7155.0</v>
      </c>
      <c r="G257" s="8">
        <v>535.0</v>
      </c>
      <c r="H257" s="9">
        <f t="shared" si="1"/>
        <v>0.5272271756</v>
      </c>
      <c r="I257" s="9">
        <f t="shared" si="2"/>
        <v>0.03942229755</v>
      </c>
      <c r="J257" s="8">
        <v>52.0</v>
      </c>
      <c r="K257" s="8">
        <v>42.0</v>
      </c>
      <c r="L257" s="9">
        <f t="shared" si="3"/>
        <v>0.1923076923</v>
      </c>
      <c r="M257" s="8">
        <v>88.0</v>
      </c>
      <c r="N257" s="10">
        <v>5893.29</v>
      </c>
      <c r="O257" s="11">
        <f t="shared" si="4"/>
        <v>0.4342561344</v>
      </c>
    </row>
    <row r="258" ht="15.75" customHeight="1">
      <c r="A258" s="12">
        <v>45901.0</v>
      </c>
      <c r="B258" s="4" t="s">
        <v>376</v>
      </c>
      <c r="C258" s="4" t="s">
        <v>1051</v>
      </c>
      <c r="D258" s="4" t="s">
        <v>1052</v>
      </c>
      <c r="E258" s="8">
        <v>20919.0</v>
      </c>
      <c r="F258" s="8">
        <v>11344.0</v>
      </c>
      <c r="G258" s="8">
        <v>1048.0</v>
      </c>
      <c r="H258" s="9">
        <f t="shared" si="1"/>
        <v>0.5422821359</v>
      </c>
      <c r="I258" s="9">
        <f t="shared" si="2"/>
        <v>0.05009799704</v>
      </c>
      <c r="J258" s="8">
        <v>188.0</v>
      </c>
      <c r="K258" s="8">
        <v>171.0</v>
      </c>
      <c r="L258" s="9">
        <f t="shared" si="3"/>
        <v>0.09042553191</v>
      </c>
      <c r="M258" s="8">
        <v>78.0</v>
      </c>
      <c r="N258" s="10">
        <v>7345.16</v>
      </c>
      <c r="O258" s="11">
        <f t="shared" si="4"/>
        <v>0.3511238587</v>
      </c>
    </row>
    <row r="259" ht="15.75" customHeight="1">
      <c r="A259" s="12">
        <v>45931.0</v>
      </c>
      <c r="B259" s="4" t="s">
        <v>376</v>
      </c>
      <c r="C259" s="4" t="s">
        <v>1051</v>
      </c>
      <c r="D259" s="4" t="s">
        <v>1052</v>
      </c>
      <c r="E259" s="8">
        <v>40423.0</v>
      </c>
      <c r="F259" s="8">
        <v>14277.0</v>
      </c>
      <c r="G259" s="8">
        <v>1889.0</v>
      </c>
      <c r="H259" s="9">
        <f t="shared" si="1"/>
        <v>0.3531900156</v>
      </c>
      <c r="I259" s="9">
        <f t="shared" si="2"/>
        <v>0.04673082156</v>
      </c>
      <c r="J259" s="8">
        <v>261.0</v>
      </c>
      <c r="K259" s="8">
        <v>209.0</v>
      </c>
      <c r="L259" s="9">
        <f t="shared" si="3"/>
        <v>0.1992337165</v>
      </c>
      <c r="M259" s="8">
        <v>430.0</v>
      </c>
      <c r="N259" s="10">
        <v>29894.2</v>
      </c>
      <c r="O259" s="11">
        <f t="shared" si="4"/>
        <v>0.7395344235</v>
      </c>
    </row>
    <row r="260" ht="15.75" customHeight="1">
      <c r="A260" s="12">
        <v>45962.0</v>
      </c>
      <c r="B260" s="4" t="s">
        <v>376</v>
      </c>
      <c r="C260" s="4" t="s">
        <v>1051</v>
      </c>
      <c r="D260" s="4" t="s">
        <v>1052</v>
      </c>
      <c r="E260" s="8">
        <v>26366.0</v>
      </c>
      <c r="F260" s="8">
        <v>14406.0</v>
      </c>
      <c r="G260" s="8">
        <v>1920.0</v>
      </c>
      <c r="H260" s="9">
        <f t="shared" si="1"/>
        <v>0.5463854965</v>
      </c>
      <c r="I260" s="9">
        <f t="shared" si="2"/>
        <v>0.07282105742</v>
      </c>
      <c r="J260" s="8">
        <v>159.0</v>
      </c>
      <c r="K260" s="8">
        <v>131.0</v>
      </c>
      <c r="L260" s="9">
        <f t="shared" si="3"/>
        <v>0.1761006289</v>
      </c>
      <c r="M260" s="8">
        <v>118.0</v>
      </c>
      <c r="N260" s="10">
        <v>11441.79</v>
      </c>
      <c r="O260" s="11">
        <f t="shared" si="4"/>
        <v>0.4339600243</v>
      </c>
    </row>
    <row r="261" ht="15.75" customHeight="1">
      <c r="A261" s="12">
        <v>45992.0</v>
      </c>
      <c r="B261" s="4" t="s">
        <v>376</v>
      </c>
      <c r="C261" s="4" t="s">
        <v>1051</v>
      </c>
      <c r="D261" s="4" t="s">
        <v>1052</v>
      </c>
      <c r="E261" s="8">
        <v>28095.0</v>
      </c>
      <c r="F261" s="8">
        <v>11311.0</v>
      </c>
      <c r="G261" s="8">
        <v>1580.0</v>
      </c>
      <c r="H261" s="9">
        <f t="shared" si="1"/>
        <v>0.4025983271</v>
      </c>
      <c r="I261" s="9">
        <f t="shared" si="2"/>
        <v>0.05623776473</v>
      </c>
      <c r="J261" s="8">
        <v>201.0</v>
      </c>
      <c r="K261" s="8">
        <v>164.0</v>
      </c>
      <c r="L261" s="9">
        <f t="shared" si="3"/>
        <v>0.184079602</v>
      </c>
      <c r="M261" s="8">
        <v>335.0</v>
      </c>
      <c r="N261" s="10">
        <v>32629.54</v>
      </c>
      <c r="O261" s="11">
        <f t="shared" si="4"/>
        <v>1.161400249</v>
      </c>
    </row>
    <row r="262" ht="15.75" customHeight="1">
      <c r="A262" s="12">
        <v>46023.0</v>
      </c>
      <c r="B262" s="4" t="s">
        <v>376</v>
      </c>
      <c r="C262" s="4" t="s">
        <v>1051</v>
      </c>
      <c r="D262" s="4" t="s">
        <v>1052</v>
      </c>
      <c r="E262" s="8">
        <v>13258.0</v>
      </c>
      <c r="F262" s="8">
        <v>5523.0</v>
      </c>
      <c r="G262" s="8">
        <v>398.0</v>
      </c>
      <c r="H262" s="9">
        <f t="shared" si="1"/>
        <v>0.4165786695</v>
      </c>
      <c r="I262" s="9">
        <f t="shared" si="2"/>
        <v>0.0300196108</v>
      </c>
      <c r="J262" s="8">
        <v>80.0</v>
      </c>
      <c r="K262" s="8">
        <v>72.0</v>
      </c>
      <c r="L262" s="9">
        <f t="shared" si="3"/>
        <v>0.1</v>
      </c>
      <c r="M262" s="8">
        <v>41.0</v>
      </c>
      <c r="N262" s="10">
        <v>3789.19</v>
      </c>
      <c r="O262" s="11">
        <f t="shared" si="4"/>
        <v>0.2858040428</v>
      </c>
    </row>
    <row r="263" ht="15.75" customHeight="1">
      <c r="A263" s="12">
        <v>46054.0</v>
      </c>
      <c r="B263" s="4" t="s">
        <v>376</v>
      </c>
      <c r="C263" s="4" t="s">
        <v>1051</v>
      </c>
      <c r="D263" s="4" t="s">
        <v>1052</v>
      </c>
      <c r="E263" s="8">
        <v>27838.0</v>
      </c>
      <c r="F263" s="8">
        <v>11862.0</v>
      </c>
      <c r="G263" s="8">
        <v>1581.0</v>
      </c>
      <c r="H263" s="9">
        <f t="shared" si="1"/>
        <v>0.4261081974</v>
      </c>
      <c r="I263" s="9">
        <f t="shared" si="2"/>
        <v>0.05679287305</v>
      </c>
      <c r="J263" s="8">
        <v>210.0</v>
      </c>
      <c r="K263" s="8">
        <v>164.0</v>
      </c>
      <c r="L263" s="9">
        <f t="shared" si="3"/>
        <v>0.219047619</v>
      </c>
      <c r="M263" s="8">
        <v>251.0</v>
      </c>
      <c r="N263" s="10">
        <v>25052.65</v>
      </c>
      <c r="O263" s="11">
        <f t="shared" si="4"/>
        <v>0.8999443207</v>
      </c>
    </row>
    <row r="264" ht="15.75" customHeight="1">
      <c r="A264" s="12">
        <v>46082.0</v>
      </c>
      <c r="B264" s="4" t="s">
        <v>376</v>
      </c>
      <c r="C264" s="4" t="s">
        <v>1051</v>
      </c>
      <c r="D264" s="4" t="s">
        <v>1052</v>
      </c>
      <c r="E264" s="8">
        <v>29996.0</v>
      </c>
      <c r="F264" s="8">
        <v>12699.0</v>
      </c>
      <c r="G264" s="8">
        <v>1344.0</v>
      </c>
      <c r="H264" s="9">
        <f t="shared" si="1"/>
        <v>0.4233564475</v>
      </c>
      <c r="I264" s="9">
        <f t="shared" si="2"/>
        <v>0.04480597413</v>
      </c>
      <c r="J264" s="8">
        <v>294.0</v>
      </c>
      <c r="K264" s="8">
        <v>246.0</v>
      </c>
      <c r="L264" s="9">
        <f t="shared" si="3"/>
        <v>0.1632653061</v>
      </c>
      <c r="M264" s="8">
        <v>280.0</v>
      </c>
      <c r="N264" s="10">
        <v>18463.31</v>
      </c>
      <c r="O264" s="11">
        <f t="shared" si="4"/>
        <v>0.6155257368</v>
      </c>
    </row>
    <row r="265" ht="15.75" customHeight="1">
      <c r="A265" s="12">
        <v>46113.0</v>
      </c>
      <c r="B265" s="4" t="s">
        <v>376</v>
      </c>
      <c r="C265" s="4" t="s">
        <v>1051</v>
      </c>
      <c r="D265" s="4" t="s">
        <v>1052</v>
      </c>
      <c r="E265" s="8">
        <v>30691.0</v>
      </c>
      <c r="F265" s="8">
        <v>15155.0</v>
      </c>
      <c r="G265" s="8">
        <v>1646.0</v>
      </c>
      <c r="H265" s="9">
        <f t="shared" si="1"/>
        <v>0.4937929686</v>
      </c>
      <c r="I265" s="9">
        <f t="shared" si="2"/>
        <v>0.05363135773</v>
      </c>
      <c r="J265" s="8">
        <v>244.0</v>
      </c>
      <c r="K265" s="8">
        <v>199.0</v>
      </c>
      <c r="L265" s="9">
        <f t="shared" si="3"/>
        <v>0.1844262295</v>
      </c>
      <c r="M265" s="8">
        <v>344.0</v>
      </c>
      <c r="N265" s="10">
        <v>38915.54</v>
      </c>
      <c r="O265" s="11">
        <f t="shared" si="4"/>
        <v>1.267978886</v>
      </c>
    </row>
    <row r="266" ht="15.75" customHeight="1">
      <c r="A266" s="12">
        <v>45778.0</v>
      </c>
      <c r="B266" s="4" t="s">
        <v>381</v>
      </c>
      <c r="C266" s="4" t="s">
        <v>1051</v>
      </c>
      <c r="D266" s="4" t="s">
        <v>1052</v>
      </c>
      <c r="E266" s="8">
        <v>13557.0</v>
      </c>
      <c r="F266" s="8">
        <v>6928.0</v>
      </c>
      <c r="G266" s="8">
        <v>927.0</v>
      </c>
      <c r="H266" s="9">
        <f t="shared" si="1"/>
        <v>0.5110275135</v>
      </c>
      <c r="I266" s="9">
        <f t="shared" si="2"/>
        <v>0.06837795973</v>
      </c>
      <c r="J266" s="8">
        <v>185.0</v>
      </c>
      <c r="K266" s="8">
        <v>167.0</v>
      </c>
      <c r="L266" s="9">
        <f t="shared" si="3"/>
        <v>0.0972972973</v>
      </c>
      <c r="M266" s="8">
        <v>43.0</v>
      </c>
      <c r="N266" s="10">
        <v>2825.6</v>
      </c>
      <c r="O266" s="11">
        <f t="shared" si="4"/>
        <v>0.2084236926</v>
      </c>
    </row>
    <row r="267" ht="15.75" customHeight="1">
      <c r="A267" s="12">
        <v>45809.0</v>
      </c>
      <c r="B267" s="4" t="s">
        <v>381</v>
      </c>
      <c r="C267" s="4" t="s">
        <v>1051</v>
      </c>
      <c r="D267" s="4" t="s">
        <v>1052</v>
      </c>
      <c r="E267" s="8">
        <v>15015.0</v>
      </c>
      <c r="F267" s="8">
        <v>5984.0</v>
      </c>
      <c r="G267" s="8">
        <v>493.0</v>
      </c>
      <c r="H267" s="9">
        <f t="shared" si="1"/>
        <v>0.3985347985</v>
      </c>
      <c r="I267" s="9">
        <f t="shared" si="2"/>
        <v>0.03283383283</v>
      </c>
      <c r="J267" s="8">
        <v>43.0</v>
      </c>
      <c r="K267" s="8">
        <v>36.0</v>
      </c>
      <c r="L267" s="9">
        <f t="shared" si="3"/>
        <v>0.1627906977</v>
      </c>
      <c r="M267" s="8">
        <v>77.0</v>
      </c>
      <c r="N267" s="10">
        <v>4869.73</v>
      </c>
      <c r="O267" s="11">
        <f t="shared" si="4"/>
        <v>0.3243243423</v>
      </c>
    </row>
    <row r="268" ht="15.75" customHeight="1">
      <c r="A268" s="12">
        <v>45839.0</v>
      </c>
      <c r="B268" s="4" t="s">
        <v>381</v>
      </c>
      <c r="C268" s="4" t="s">
        <v>1051</v>
      </c>
      <c r="D268" s="4" t="s">
        <v>1052</v>
      </c>
      <c r="E268" s="8">
        <v>12942.0</v>
      </c>
      <c r="F268" s="8">
        <v>4554.0</v>
      </c>
      <c r="G268" s="8">
        <v>323.0</v>
      </c>
      <c r="H268" s="9">
        <f t="shared" si="1"/>
        <v>0.3518776078</v>
      </c>
      <c r="I268" s="9">
        <f t="shared" si="2"/>
        <v>0.0249575027</v>
      </c>
      <c r="J268" s="8">
        <v>62.0</v>
      </c>
      <c r="K268" s="8">
        <v>55.0</v>
      </c>
      <c r="L268" s="9">
        <f t="shared" si="3"/>
        <v>0.1129032258</v>
      </c>
      <c r="M268" s="8">
        <v>110.0</v>
      </c>
      <c r="N268" s="10">
        <v>7411.21</v>
      </c>
      <c r="O268" s="11">
        <f t="shared" si="4"/>
        <v>0.5726479679</v>
      </c>
    </row>
    <row r="269" ht="15.75" customHeight="1">
      <c r="A269" s="12">
        <v>45870.0</v>
      </c>
      <c r="B269" s="4" t="s">
        <v>381</v>
      </c>
      <c r="C269" s="4" t="s">
        <v>1051</v>
      </c>
      <c r="D269" s="4" t="s">
        <v>1052</v>
      </c>
      <c r="E269" s="8">
        <v>38196.0</v>
      </c>
      <c r="F269" s="8">
        <v>18188.0</v>
      </c>
      <c r="G269" s="8">
        <v>1694.0</v>
      </c>
      <c r="H269" s="9">
        <f t="shared" si="1"/>
        <v>0.4761755158</v>
      </c>
      <c r="I269" s="9">
        <f t="shared" si="2"/>
        <v>0.04435019374</v>
      </c>
      <c r="J269" s="8">
        <v>293.0</v>
      </c>
      <c r="K269" s="8">
        <v>253.0</v>
      </c>
      <c r="L269" s="9">
        <f t="shared" si="3"/>
        <v>0.1365187713</v>
      </c>
      <c r="M269" s="8">
        <v>133.0</v>
      </c>
      <c r="N269" s="10">
        <v>8820.95</v>
      </c>
      <c r="O269" s="11">
        <f t="shared" si="4"/>
        <v>0.2309391036</v>
      </c>
    </row>
    <row r="270" ht="15.75" customHeight="1">
      <c r="A270" s="12">
        <v>45901.0</v>
      </c>
      <c r="B270" s="4" t="s">
        <v>381</v>
      </c>
      <c r="C270" s="4" t="s">
        <v>1051</v>
      </c>
      <c r="D270" s="4" t="s">
        <v>1052</v>
      </c>
      <c r="E270" s="8">
        <v>13318.0</v>
      </c>
      <c r="F270" s="8">
        <v>5155.0</v>
      </c>
      <c r="G270" s="8">
        <v>620.0</v>
      </c>
      <c r="H270" s="9">
        <f t="shared" si="1"/>
        <v>0.3870701307</v>
      </c>
      <c r="I270" s="9">
        <f t="shared" si="2"/>
        <v>0.04655353657</v>
      </c>
      <c r="J270" s="8">
        <v>57.0</v>
      </c>
      <c r="K270" s="8">
        <v>47.0</v>
      </c>
      <c r="L270" s="9">
        <f t="shared" si="3"/>
        <v>0.1754385965</v>
      </c>
      <c r="M270" s="8">
        <v>122.0</v>
      </c>
      <c r="N270" s="10">
        <v>8614.8</v>
      </c>
      <c r="O270" s="11">
        <f t="shared" si="4"/>
        <v>0.646853882</v>
      </c>
    </row>
    <row r="271" ht="15.75" customHeight="1">
      <c r="A271" s="12">
        <v>45931.0</v>
      </c>
      <c r="B271" s="4" t="s">
        <v>381</v>
      </c>
      <c r="C271" s="4" t="s">
        <v>1051</v>
      </c>
      <c r="D271" s="4" t="s">
        <v>1052</v>
      </c>
      <c r="E271" s="8">
        <v>13204.0</v>
      </c>
      <c r="F271" s="8">
        <v>5643.0</v>
      </c>
      <c r="G271" s="8">
        <v>642.0</v>
      </c>
      <c r="H271" s="9">
        <f t="shared" si="1"/>
        <v>0.4273704938</v>
      </c>
      <c r="I271" s="9">
        <f t="shared" si="2"/>
        <v>0.04862162981</v>
      </c>
      <c r="J271" s="8">
        <v>68.0</v>
      </c>
      <c r="K271" s="8">
        <v>60.0</v>
      </c>
      <c r="L271" s="9">
        <f t="shared" si="3"/>
        <v>0.1176470588</v>
      </c>
      <c r="M271" s="8">
        <v>123.0</v>
      </c>
      <c r="N271" s="10">
        <v>10789.32</v>
      </c>
      <c r="O271" s="11">
        <f t="shared" si="4"/>
        <v>0.8171251136</v>
      </c>
    </row>
    <row r="272" ht="15.75" customHeight="1">
      <c r="A272" s="12">
        <v>45962.0</v>
      </c>
      <c r="B272" s="4" t="s">
        <v>381</v>
      </c>
      <c r="C272" s="4" t="s">
        <v>1051</v>
      </c>
      <c r="D272" s="4" t="s">
        <v>1052</v>
      </c>
      <c r="E272" s="8">
        <v>20193.0</v>
      </c>
      <c r="F272" s="8">
        <v>8962.0</v>
      </c>
      <c r="G272" s="8">
        <v>1086.0</v>
      </c>
      <c r="H272" s="9">
        <f t="shared" si="1"/>
        <v>0.4438171644</v>
      </c>
      <c r="I272" s="9">
        <f t="shared" si="2"/>
        <v>0.05378101322</v>
      </c>
      <c r="J272" s="8">
        <v>176.0</v>
      </c>
      <c r="K272" s="8">
        <v>158.0</v>
      </c>
      <c r="L272" s="9">
        <f t="shared" si="3"/>
        <v>0.1022727273</v>
      </c>
      <c r="M272" s="8">
        <v>141.0</v>
      </c>
      <c r="N272" s="10">
        <v>12472.16</v>
      </c>
      <c r="O272" s="11">
        <f t="shared" si="4"/>
        <v>0.6176476997</v>
      </c>
    </row>
    <row r="273" ht="15.75" customHeight="1">
      <c r="A273" s="12">
        <v>45992.0</v>
      </c>
      <c r="B273" s="4" t="s">
        <v>381</v>
      </c>
      <c r="C273" s="4" t="s">
        <v>1051</v>
      </c>
      <c r="D273" s="4" t="s">
        <v>1052</v>
      </c>
      <c r="E273" s="8">
        <v>13213.0</v>
      </c>
      <c r="F273" s="8">
        <v>5089.0</v>
      </c>
      <c r="G273" s="8">
        <v>426.0</v>
      </c>
      <c r="H273" s="9">
        <f t="shared" si="1"/>
        <v>0.3851509877</v>
      </c>
      <c r="I273" s="9">
        <f t="shared" si="2"/>
        <v>0.0322409748</v>
      </c>
      <c r="J273" s="8">
        <v>42.0</v>
      </c>
      <c r="K273" s="8">
        <v>35.0</v>
      </c>
      <c r="L273" s="9">
        <f t="shared" si="3"/>
        <v>0.1666666667</v>
      </c>
      <c r="M273" s="8">
        <v>155.0</v>
      </c>
      <c r="N273" s="10">
        <v>15499.69</v>
      </c>
      <c r="O273" s="11">
        <f t="shared" si="4"/>
        <v>1.173063649</v>
      </c>
    </row>
    <row r="274" ht="15.75" customHeight="1">
      <c r="A274" s="12">
        <v>46023.0</v>
      </c>
      <c r="B274" s="4" t="s">
        <v>381</v>
      </c>
      <c r="C274" s="4" t="s">
        <v>1051</v>
      </c>
      <c r="D274" s="4" t="s">
        <v>1052</v>
      </c>
      <c r="E274" s="8">
        <v>12966.0</v>
      </c>
      <c r="F274" s="8">
        <v>5026.0</v>
      </c>
      <c r="G274" s="8">
        <v>650.0</v>
      </c>
      <c r="H274" s="9">
        <f t="shared" si="1"/>
        <v>0.387629184</v>
      </c>
      <c r="I274" s="9">
        <f t="shared" si="2"/>
        <v>0.05013111214</v>
      </c>
      <c r="J274" s="8">
        <v>120.0</v>
      </c>
      <c r="K274" s="8">
        <v>97.0</v>
      </c>
      <c r="L274" s="9">
        <f t="shared" si="3"/>
        <v>0.1916666667</v>
      </c>
      <c r="M274" s="8">
        <v>84.0</v>
      </c>
      <c r="N274" s="10">
        <v>9085.64</v>
      </c>
      <c r="O274" s="11">
        <f t="shared" si="4"/>
        <v>0.700728058</v>
      </c>
    </row>
    <row r="275" ht="15.75" customHeight="1">
      <c r="A275" s="12">
        <v>46054.0</v>
      </c>
      <c r="B275" s="4" t="s">
        <v>381</v>
      </c>
      <c r="C275" s="4" t="s">
        <v>1051</v>
      </c>
      <c r="D275" s="4" t="s">
        <v>1052</v>
      </c>
      <c r="E275" s="8">
        <v>27445.0</v>
      </c>
      <c r="F275" s="8">
        <v>12907.0</v>
      </c>
      <c r="G275" s="8">
        <v>1361.0</v>
      </c>
      <c r="H275" s="9">
        <f t="shared" si="1"/>
        <v>0.4702860266</v>
      </c>
      <c r="I275" s="9">
        <f t="shared" si="2"/>
        <v>0.04959008927</v>
      </c>
      <c r="J275" s="8">
        <v>163.0</v>
      </c>
      <c r="K275" s="8">
        <v>136.0</v>
      </c>
      <c r="L275" s="9">
        <f t="shared" si="3"/>
        <v>0.1656441718</v>
      </c>
      <c r="M275" s="8">
        <v>285.0</v>
      </c>
      <c r="N275" s="10">
        <v>29106.08</v>
      </c>
      <c r="O275" s="11">
        <f t="shared" si="4"/>
        <v>1.060523957</v>
      </c>
    </row>
    <row r="276" ht="15.75" customHeight="1">
      <c r="A276" s="12">
        <v>46082.0</v>
      </c>
      <c r="B276" s="4" t="s">
        <v>381</v>
      </c>
      <c r="C276" s="4" t="s">
        <v>1051</v>
      </c>
      <c r="D276" s="4" t="s">
        <v>1052</v>
      </c>
      <c r="E276" s="8">
        <v>42770.0</v>
      </c>
      <c r="F276" s="8">
        <v>15029.0</v>
      </c>
      <c r="G276" s="8">
        <v>1988.0</v>
      </c>
      <c r="H276" s="9">
        <f t="shared" si="1"/>
        <v>0.351391162</v>
      </c>
      <c r="I276" s="9">
        <f t="shared" si="2"/>
        <v>0.0464811784</v>
      </c>
      <c r="J276" s="8">
        <v>349.0</v>
      </c>
      <c r="K276" s="8">
        <v>285.0</v>
      </c>
      <c r="L276" s="9">
        <f t="shared" si="3"/>
        <v>0.1833810888</v>
      </c>
      <c r="M276" s="8">
        <v>190.0</v>
      </c>
      <c r="N276" s="10">
        <v>11722.46</v>
      </c>
      <c r="O276" s="11">
        <f t="shared" si="4"/>
        <v>0.2740813654</v>
      </c>
    </row>
    <row r="277" ht="15.75" customHeight="1">
      <c r="A277" s="12">
        <v>46113.0</v>
      </c>
      <c r="B277" s="4" t="s">
        <v>381</v>
      </c>
      <c r="C277" s="4" t="s">
        <v>1051</v>
      </c>
      <c r="D277" s="4" t="s">
        <v>1052</v>
      </c>
      <c r="E277" s="8">
        <v>40369.0</v>
      </c>
      <c r="F277" s="8">
        <v>16908.0</v>
      </c>
      <c r="G277" s="8">
        <v>2051.0</v>
      </c>
      <c r="H277" s="9">
        <f t="shared" si="1"/>
        <v>0.4188362357</v>
      </c>
      <c r="I277" s="9">
        <f t="shared" si="2"/>
        <v>0.05080631177</v>
      </c>
      <c r="J277" s="8">
        <v>342.0</v>
      </c>
      <c r="K277" s="8">
        <v>305.0</v>
      </c>
      <c r="L277" s="9">
        <f t="shared" si="3"/>
        <v>0.1081871345</v>
      </c>
      <c r="M277" s="8">
        <v>150.0</v>
      </c>
      <c r="N277" s="10">
        <v>15579.9</v>
      </c>
      <c r="O277" s="11">
        <f t="shared" si="4"/>
        <v>0.3859372291</v>
      </c>
    </row>
    <row r="278" ht="15.75" customHeight="1">
      <c r="A278" s="12">
        <v>45778.0</v>
      </c>
      <c r="B278" s="4" t="s">
        <v>292</v>
      </c>
      <c r="C278" s="4" t="s">
        <v>1049</v>
      </c>
      <c r="D278" s="4" t="s">
        <v>587</v>
      </c>
      <c r="E278" s="8">
        <v>37224.0</v>
      </c>
      <c r="F278" s="8">
        <v>13117.0</v>
      </c>
      <c r="G278" s="8">
        <v>1601.0</v>
      </c>
      <c r="H278" s="9">
        <f t="shared" si="1"/>
        <v>0.3523801848</v>
      </c>
      <c r="I278" s="9">
        <f t="shared" si="2"/>
        <v>0.04300988609</v>
      </c>
      <c r="J278" s="8">
        <v>147.0</v>
      </c>
      <c r="K278" s="8">
        <v>126.0</v>
      </c>
      <c r="L278" s="9">
        <f t="shared" si="3"/>
        <v>0.1428571429</v>
      </c>
      <c r="M278" s="8">
        <v>418.0</v>
      </c>
      <c r="N278" s="10">
        <v>33309.91</v>
      </c>
      <c r="O278" s="11">
        <f t="shared" si="4"/>
        <v>0.8948503654</v>
      </c>
    </row>
    <row r="279" ht="15.75" customHeight="1">
      <c r="A279" s="12">
        <v>45809.0</v>
      </c>
      <c r="B279" s="4" t="s">
        <v>292</v>
      </c>
      <c r="C279" s="4" t="s">
        <v>1049</v>
      </c>
      <c r="D279" s="4" t="s">
        <v>587</v>
      </c>
      <c r="E279" s="8">
        <v>47682.0</v>
      </c>
      <c r="F279" s="8">
        <v>23156.0</v>
      </c>
      <c r="G279" s="8">
        <v>1727.0</v>
      </c>
      <c r="H279" s="9">
        <f t="shared" si="1"/>
        <v>0.4856339919</v>
      </c>
      <c r="I279" s="9">
        <f t="shared" si="2"/>
        <v>0.03621911833</v>
      </c>
      <c r="J279" s="8">
        <v>201.0</v>
      </c>
      <c r="K279" s="8">
        <v>180.0</v>
      </c>
      <c r="L279" s="9">
        <f t="shared" si="3"/>
        <v>0.1044776119</v>
      </c>
      <c r="M279" s="8">
        <v>336.0</v>
      </c>
      <c r="N279" s="10">
        <v>34450.6</v>
      </c>
      <c r="O279" s="11">
        <f t="shared" si="4"/>
        <v>0.7225074452</v>
      </c>
    </row>
    <row r="280" ht="15.75" customHeight="1">
      <c r="A280" s="12">
        <v>45839.0</v>
      </c>
      <c r="B280" s="4" t="s">
        <v>292</v>
      </c>
      <c r="C280" s="4" t="s">
        <v>1049</v>
      </c>
      <c r="D280" s="4" t="s">
        <v>587</v>
      </c>
      <c r="E280" s="8">
        <v>39486.0</v>
      </c>
      <c r="F280" s="8">
        <v>16745.0</v>
      </c>
      <c r="G280" s="8">
        <v>1524.0</v>
      </c>
      <c r="H280" s="9">
        <f t="shared" si="1"/>
        <v>0.4240743555</v>
      </c>
      <c r="I280" s="9">
        <f t="shared" si="2"/>
        <v>0.03859595806</v>
      </c>
      <c r="J280" s="8">
        <v>226.0</v>
      </c>
      <c r="K280" s="8">
        <v>193.0</v>
      </c>
      <c r="L280" s="9">
        <f t="shared" si="3"/>
        <v>0.1460176991</v>
      </c>
      <c r="M280" s="8">
        <v>383.0</v>
      </c>
      <c r="N280" s="10">
        <v>27456.01</v>
      </c>
      <c r="O280" s="11">
        <f t="shared" si="4"/>
        <v>0.6953353087</v>
      </c>
    </row>
    <row r="281" ht="15.75" customHeight="1">
      <c r="A281" s="12">
        <v>45870.0</v>
      </c>
      <c r="B281" s="4" t="s">
        <v>292</v>
      </c>
      <c r="C281" s="4" t="s">
        <v>1049</v>
      </c>
      <c r="D281" s="4" t="s">
        <v>587</v>
      </c>
      <c r="E281" s="8">
        <v>19177.0</v>
      </c>
      <c r="F281" s="8">
        <v>6875.0</v>
      </c>
      <c r="G281" s="8">
        <v>651.0</v>
      </c>
      <c r="H281" s="9">
        <f t="shared" si="1"/>
        <v>0.3585023726</v>
      </c>
      <c r="I281" s="9">
        <f t="shared" si="2"/>
        <v>0.03394691558</v>
      </c>
      <c r="J281" s="8">
        <v>94.0</v>
      </c>
      <c r="K281" s="8">
        <v>79.0</v>
      </c>
      <c r="L281" s="9">
        <f t="shared" si="3"/>
        <v>0.1595744681</v>
      </c>
      <c r="M281" s="8">
        <v>216.0</v>
      </c>
      <c r="N281" s="10">
        <v>23498.4</v>
      </c>
      <c r="O281" s="11">
        <f t="shared" si="4"/>
        <v>1.225342859</v>
      </c>
    </row>
    <row r="282" ht="15.75" customHeight="1">
      <c r="A282" s="12">
        <v>45901.0</v>
      </c>
      <c r="B282" s="4" t="s">
        <v>292</v>
      </c>
      <c r="C282" s="4" t="s">
        <v>1049</v>
      </c>
      <c r="D282" s="4" t="s">
        <v>587</v>
      </c>
      <c r="E282" s="8">
        <v>34426.0</v>
      </c>
      <c r="F282" s="8">
        <v>15241.0</v>
      </c>
      <c r="G282" s="8">
        <v>2026.0</v>
      </c>
      <c r="H282" s="9">
        <f t="shared" si="1"/>
        <v>0.4427177134</v>
      </c>
      <c r="I282" s="9">
        <f t="shared" si="2"/>
        <v>0.05885086853</v>
      </c>
      <c r="J282" s="8">
        <v>290.0</v>
      </c>
      <c r="K282" s="8">
        <v>231.0</v>
      </c>
      <c r="L282" s="9">
        <f t="shared" si="3"/>
        <v>0.2034482759</v>
      </c>
      <c r="M282" s="8">
        <v>335.0</v>
      </c>
      <c r="N282" s="10">
        <v>27863.9</v>
      </c>
      <c r="O282" s="11">
        <f t="shared" si="4"/>
        <v>0.8093853483</v>
      </c>
    </row>
    <row r="283" ht="15.75" customHeight="1">
      <c r="A283" s="12">
        <v>45931.0</v>
      </c>
      <c r="B283" s="4" t="s">
        <v>292</v>
      </c>
      <c r="C283" s="4" t="s">
        <v>1049</v>
      </c>
      <c r="D283" s="4" t="s">
        <v>587</v>
      </c>
      <c r="E283" s="8">
        <v>9604.0</v>
      </c>
      <c r="F283" s="8">
        <v>5038.0</v>
      </c>
      <c r="G283" s="8">
        <v>630.0</v>
      </c>
      <c r="H283" s="9">
        <f t="shared" si="1"/>
        <v>0.5245730945</v>
      </c>
      <c r="I283" s="9">
        <f t="shared" si="2"/>
        <v>0.06559766764</v>
      </c>
      <c r="J283" s="8">
        <v>84.0</v>
      </c>
      <c r="K283" s="8">
        <v>75.0</v>
      </c>
      <c r="L283" s="9">
        <f t="shared" si="3"/>
        <v>0.1071428571</v>
      </c>
      <c r="M283" s="8">
        <v>41.0</v>
      </c>
      <c r="N283" s="10">
        <v>3277.65</v>
      </c>
      <c r="O283" s="11">
        <f t="shared" si="4"/>
        <v>0.3412796751</v>
      </c>
    </row>
    <row r="284" ht="15.75" customHeight="1">
      <c r="A284" s="12">
        <v>45962.0</v>
      </c>
      <c r="B284" s="4" t="s">
        <v>292</v>
      </c>
      <c r="C284" s="4" t="s">
        <v>1049</v>
      </c>
      <c r="D284" s="4" t="s">
        <v>587</v>
      </c>
      <c r="E284" s="8">
        <v>36467.0</v>
      </c>
      <c r="F284" s="8">
        <v>18535.0</v>
      </c>
      <c r="G284" s="8">
        <v>2156.0</v>
      </c>
      <c r="H284" s="9">
        <f t="shared" si="1"/>
        <v>0.5082677489</v>
      </c>
      <c r="I284" s="9">
        <f t="shared" si="2"/>
        <v>0.05912194587</v>
      </c>
      <c r="J284" s="8">
        <v>224.0</v>
      </c>
      <c r="K284" s="8">
        <v>193.0</v>
      </c>
      <c r="L284" s="9">
        <f t="shared" si="3"/>
        <v>0.1383928571</v>
      </c>
      <c r="M284" s="8">
        <v>169.0</v>
      </c>
      <c r="N284" s="10">
        <v>10763.74</v>
      </c>
      <c r="O284" s="11">
        <f t="shared" si="4"/>
        <v>0.2951638468</v>
      </c>
    </row>
    <row r="285" ht="15.75" customHeight="1">
      <c r="A285" s="12">
        <v>45992.0</v>
      </c>
      <c r="B285" s="4" t="s">
        <v>292</v>
      </c>
      <c r="C285" s="4" t="s">
        <v>1049</v>
      </c>
      <c r="D285" s="4" t="s">
        <v>587</v>
      </c>
      <c r="E285" s="8">
        <v>33643.0</v>
      </c>
      <c r="F285" s="8">
        <v>14952.0</v>
      </c>
      <c r="G285" s="8">
        <v>1330.0</v>
      </c>
      <c r="H285" s="9">
        <f t="shared" si="1"/>
        <v>0.4444312338</v>
      </c>
      <c r="I285" s="9">
        <f t="shared" si="2"/>
        <v>0.03953274084</v>
      </c>
      <c r="J285" s="8">
        <v>143.0</v>
      </c>
      <c r="K285" s="8">
        <v>121.0</v>
      </c>
      <c r="L285" s="9">
        <f t="shared" si="3"/>
        <v>0.1538461538</v>
      </c>
      <c r="M285" s="8">
        <v>148.0</v>
      </c>
      <c r="N285" s="10">
        <v>15952.43</v>
      </c>
      <c r="O285" s="11">
        <f t="shared" si="4"/>
        <v>0.4741678804</v>
      </c>
    </row>
    <row r="286" ht="15.75" customHeight="1">
      <c r="A286" s="12">
        <v>46023.0</v>
      </c>
      <c r="B286" s="4" t="s">
        <v>292</v>
      </c>
      <c r="C286" s="4" t="s">
        <v>1049</v>
      </c>
      <c r="D286" s="4" t="s">
        <v>587</v>
      </c>
      <c r="E286" s="8">
        <v>44000.0</v>
      </c>
      <c r="F286" s="8">
        <v>17843.0</v>
      </c>
      <c r="G286" s="8">
        <v>1486.0</v>
      </c>
      <c r="H286" s="9">
        <f t="shared" si="1"/>
        <v>0.4055227273</v>
      </c>
      <c r="I286" s="9">
        <f t="shared" si="2"/>
        <v>0.03377272727</v>
      </c>
      <c r="J286" s="8">
        <v>245.0</v>
      </c>
      <c r="K286" s="8">
        <v>208.0</v>
      </c>
      <c r="L286" s="9">
        <f t="shared" si="3"/>
        <v>0.1510204082</v>
      </c>
      <c r="M286" s="8">
        <v>304.0</v>
      </c>
      <c r="N286" s="10">
        <v>33165.13</v>
      </c>
      <c r="O286" s="11">
        <f t="shared" si="4"/>
        <v>0.7537529545</v>
      </c>
    </row>
    <row r="287" ht="15.75" customHeight="1">
      <c r="A287" s="12">
        <v>46054.0</v>
      </c>
      <c r="B287" s="4" t="s">
        <v>292</v>
      </c>
      <c r="C287" s="4" t="s">
        <v>1049</v>
      </c>
      <c r="D287" s="4" t="s">
        <v>587</v>
      </c>
      <c r="E287" s="8">
        <v>39938.0</v>
      </c>
      <c r="F287" s="8">
        <v>21719.0</v>
      </c>
      <c r="G287" s="8">
        <v>1611.0</v>
      </c>
      <c r="H287" s="9">
        <f t="shared" si="1"/>
        <v>0.5438179178</v>
      </c>
      <c r="I287" s="9">
        <f t="shared" si="2"/>
        <v>0.04033752316</v>
      </c>
      <c r="J287" s="8">
        <v>345.0</v>
      </c>
      <c r="K287" s="8">
        <v>272.0</v>
      </c>
      <c r="L287" s="9">
        <f t="shared" si="3"/>
        <v>0.2115942029</v>
      </c>
      <c r="M287" s="8">
        <v>236.0</v>
      </c>
      <c r="N287" s="10">
        <v>20438.08</v>
      </c>
      <c r="O287" s="11">
        <f t="shared" si="4"/>
        <v>0.5117452051</v>
      </c>
    </row>
    <row r="288" ht="15.75" customHeight="1">
      <c r="A288" s="12">
        <v>46082.0</v>
      </c>
      <c r="B288" s="4" t="s">
        <v>292</v>
      </c>
      <c r="C288" s="4" t="s">
        <v>1049</v>
      </c>
      <c r="D288" s="4" t="s">
        <v>587</v>
      </c>
      <c r="E288" s="8">
        <v>26960.0</v>
      </c>
      <c r="F288" s="8">
        <v>10198.0</v>
      </c>
      <c r="G288" s="8">
        <v>1084.0</v>
      </c>
      <c r="H288" s="9">
        <f t="shared" si="1"/>
        <v>0.378264095</v>
      </c>
      <c r="I288" s="9">
        <f t="shared" si="2"/>
        <v>0.04020771513</v>
      </c>
      <c r="J288" s="8">
        <v>161.0</v>
      </c>
      <c r="K288" s="8">
        <v>130.0</v>
      </c>
      <c r="L288" s="9">
        <f t="shared" si="3"/>
        <v>0.1925465839</v>
      </c>
      <c r="M288" s="8">
        <v>199.0</v>
      </c>
      <c r="N288" s="10">
        <v>22966.87</v>
      </c>
      <c r="O288" s="11">
        <f t="shared" si="4"/>
        <v>0.8518868694</v>
      </c>
    </row>
    <row r="289" ht="15.75" customHeight="1">
      <c r="A289" s="12">
        <v>46113.0</v>
      </c>
      <c r="B289" s="4" t="s">
        <v>292</v>
      </c>
      <c r="C289" s="4" t="s">
        <v>1049</v>
      </c>
      <c r="D289" s="4" t="s">
        <v>587</v>
      </c>
      <c r="E289" s="8">
        <v>18394.0</v>
      </c>
      <c r="F289" s="8">
        <v>7683.0</v>
      </c>
      <c r="G289" s="8">
        <v>704.0</v>
      </c>
      <c r="H289" s="9">
        <f t="shared" si="1"/>
        <v>0.4176905513</v>
      </c>
      <c r="I289" s="9">
        <f t="shared" si="2"/>
        <v>0.03827335001</v>
      </c>
      <c r="J289" s="8">
        <v>117.0</v>
      </c>
      <c r="K289" s="8">
        <v>101.0</v>
      </c>
      <c r="L289" s="9">
        <f t="shared" si="3"/>
        <v>0.1367521368</v>
      </c>
      <c r="M289" s="8">
        <v>154.0</v>
      </c>
      <c r="N289" s="10">
        <v>13825.84</v>
      </c>
      <c r="O289" s="11">
        <f t="shared" si="4"/>
        <v>0.7516494509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0"/>
    <col customWidth="1" min="3" max="3" width="12.0"/>
    <col customWidth="1" min="4" max="4" width="23.0"/>
    <col customWidth="1" min="5" max="5" width="14.0"/>
    <col customWidth="1" min="6" max="6" width="44.0"/>
    <col customWidth="1" min="7" max="7" width="18.0"/>
    <col customWidth="1" min="8" max="9" width="12.0"/>
    <col customWidth="1" min="10" max="26" width="8.71"/>
  </cols>
  <sheetData>
    <row r="1" ht="31.5" customHeight="1">
      <c r="A1" s="5" t="s">
        <v>1053</v>
      </c>
      <c r="B1" s="5" t="s">
        <v>1054</v>
      </c>
      <c r="C1" s="5" t="s">
        <v>1055</v>
      </c>
      <c r="D1" s="5" t="s">
        <v>1056</v>
      </c>
      <c r="E1" s="5" t="s">
        <v>1057</v>
      </c>
      <c r="F1" s="5" t="s">
        <v>1058</v>
      </c>
      <c r="G1" s="5" t="s">
        <v>1059</v>
      </c>
      <c r="H1" s="5" t="s">
        <v>1060</v>
      </c>
      <c r="I1" s="5" t="s">
        <v>1020</v>
      </c>
    </row>
    <row r="2">
      <c r="A2" s="4" t="s">
        <v>1061</v>
      </c>
      <c r="B2" s="13">
        <v>46115.8275925926</v>
      </c>
      <c r="C2" s="4" t="s">
        <v>1062</v>
      </c>
      <c r="D2" s="4" t="s">
        <v>1063</v>
      </c>
      <c r="E2" s="4" t="s">
        <v>1064</v>
      </c>
      <c r="F2" s="4"/>
      <c r="G2" s="4" t="s">
        <v>144</v>
      </c>
      <c r="H2" s="4"/>
      <c r="I2" s="4" t="s">
        <v>1046</v>
      </c>
    </row>
    <row r="3">
      <c r="A3" s="4" t="s">
        <v>1065</v>
      </c>
      <c r="B3" s="13">
        <v>46076.6342592593</v>
      </c>
      <c r="C3" s="4" t="s">
        <v>1066</v>
      </c>
      <c r="D3" s="4" t="s">
        <v>1063</v>
      </c>
      <c r="E3" s="4" t="s">
        <v>1064</v>
      </c>
      <c r="F3" s="4"/>
      <c r="G3" s="4" t="s">
        <v>107</v>
      </c>
      <c r="H3" s="4"/>
      <c r="I3" s="4" t="s">
        <v>1048</v>
      </c>
    </row>
    <row r="4">
      <c r="A4" s="4" t="s">
        <v>1067</v>
      </c>
      <c r="B4" s="13">
        <v>46096.7806944445</v>
      </c>
      <c r="C4" s="4" t="s">
        <v>1068</v>
      </c>
      <c r="D4" s="4" t="s">
        <v>1063</v>
      </c>
      <c r="E4" s="4" t="s">
        <v>1064</v>
      </c>
      <c r="F4" s="4"/>
      <c r="G4" s="4" t="s">
        <v>126</v>
      </c>
      <c r="H4" s="4"/>
      <c r="I4" s="4" t="s">
        <v>1039</v>
      </c>
    </row>
    <row r="5">
      <c r="A5" s="4" t="s">
        <v>1069</v>
      </c>
      <c r="B5" s="13">
        <v>46101.661712963</v>
      </c>
      <c r="C5" s="4" t="s">
        <v>1070</v>
      </c>
      <c r="D5" s="4" t="s">
        <v>1071</v>
      </c>
      <c r="E5" s="4" t="s">
        <v>1072</v>
      </c>
      <c r="F5" s="4"/>
      <c r="G5" s="4"/>
      <c r="H5" s="4"/>
      <c r="I5" s="4" t="s">
        <v>1030</v>
      </c>
    </row>
    <row r="6">
      <c r="A6" s="4" t="s">
        <v>1073</v>
      </c>
      <c r="B6" s="13">
        <v>46119.5273148148</v>
      </c>
      <c r="C6" s="4" t="s">
        <v>1074</v>
      </c>
      <c r="D6" s="4" t="s">
        <v>1075</v>
      </c>
      <c r="E6" s="4" t="s">
        <v>1064</v>
      </c>
      <c r="F6" s="4"/>
      <c r="G6" s="4"/>
      <c r="H6" s="4"/>
      <c r="I6" s="4" t="s">
        <v>1039</v>
      </c>
    </row>
    <row r="7">
      <c r="A7" s="4" t="s">
        <v>1076</v>
      </c>
      <c r="B7" s="13">
        <v>46031.933900463</v>
      </c>
      <c r="C7" s="4" t="s">
        <v>1077</v>
      </c>
      <c r="D7" s="4" t="s">
        <v>1078</v>
      </c>
      <c r="E7" s="4" t="s">
        <v>1064</v>
      </c>
      <c r="F7" s="4"/>
      <c r="G7" s="4" t="s">
        <v>100</v>
      </c>
      <c r="H7" s="10">
        <v>96.85</v>
      </c>
      <c r="I7" s="4" t="s">
        <v>1052</v>
      </c>
    </row>
    <row r="8">
      <c r="A8" s="4" t="s">
        <v>1079</v>
      </c>
      <c r="B8" s="13">
        <v>46023.7658796296</v>
      </c>
      <c r="C8" s="4" t="s">
        <v>1080</v>
      </c>
      <c r="D8" s="4" t="s">
        <v>1081</v>
      </c>
      <c r="E8" s="4" t="s">
        <v>1064</v>
      </c>
      <c r="F8" s="4"/>
      <c r="G8" s="4"/>
      <c r="H8" s="4"/>
      <c r="I8" s="4" t="s">
        <v>1050</v>
      </c>
    </row>
    <row r="9">
      <c r="A9" s="4" t="s">
        <v>1082</v>
      </c>
      <c r="B9" s="13">
        <v>46085.777037037</v>
      </c>
      <c r="C9" s="4" t="s">
        <v>1083</v>
      </c>
      <c r="D9" s="4" t="s">
        <v>1063</v>
      </c>
      <c r="E9" s="4" t="s">
        <v>1064</v>
      </c>
      <c r="F9" s="4"/>
      <c r="G9" s="4" t="s">
        <v>190</v>
      </c>
      <c r="H9" s="4"/>
      <c r="I9" s="4" t="s">
        <v>1050</v>
      </c>
    </row>
    <row r="10">
      <c r="A10" s="4" t="s">
        <v>1084</v>
      </c>
      <c r="B10" s="13">
        <v>46030.6068402778</v>
      </c>
      <c r="C10" s="4" t="s">
        <v>1085</v>
      </c>
      <c r="D10" s="4" t="s">
        <v>1086</v>
      </c>
      <c r="E10" s="4" t="s">
        <v>1064</v>
      </c>
      <c r="F10" s="4"/>
      <c r="G10" s="4"/>
      <c r="H10" s="4"/>
      <c r="I10" s="4" t="s">
        <v>1039</v>
      </c>
    </row>
    <row r="11">
      <c r="A11" s="4" t="s">
        <v>1087</v>
      </c>
      <c r="B11" s="13">
        <v>46061.6757986111</v>
      </c>
      <c r="C11" s="4" t="s">
        <v>1088</v>
      </c>
      <c r="D11" s="4" t="s">
        <v>1089</v>
      </c>
      <c r="E11" s="4" t="s">
        <v>1090</v>
      </c>
      <c r="F11" s="4" t="s">
        <v>778</v>
      </c>
      <c r="G11" s="4"/>
      <c r="H11" s="4"/>
      <c r="I11" s="4" t="s">
        <v>1034</v>
      </c>
    </row>
    <row r="12">
      <c r="A12" s="4" t="s">
        <v>1091</v>
      </c>
      <c r="B12" s="13">
        <v>46122.5199074074</v>
      </c>
      <c r="C12" s="4" t="s">
        <v>1092</v>
      </c>
      <c r="D12" s="4" t="s">
        <v>1093</v>
      </c>
      <c r="E12" s="4" t="s">
        <v>1064</v>
      </c>
      <c r="F12" s="4"/>
      <c r="G12" s="4"/>
      <c r="H12" s="4"/>
      <c r="I12" s="4" t="s">
        <v>1035</v>
      </c>
    </row>
    <row r="13">
      <c r="A13" s="4" t="s">
        <v>1094</v>
      </c>
      <c r="B13" s="13">
        <v>46036.6870023148</v>
      </c>
      <c r="C13" s="4" t="s">
        <v>1095</v>
      </c>
      <c r="D13" s="4" t="s">
        <v>1063</v>
      </c>
      <c r="E13" s="4" t="s">
        <v>1064</v>
      </c>
      <c r="F13" s="4"/>
      <c r="G13" s="4" t="s">
        <v>232</v>
      </c>
      <c r="H13" s="4"/>
      <c r="I13" s="4" t="s">
        <v>1034</v>
      </c>
    </row>
    <row r="14">
      <c r="A14" s="4" t="s">
        <v>1096</v>
      </c>
      <c r="B14" s="13">
        <v>46038.4134259259</v>
      </c>
      <c r="C14" s="4" t="s">
        <v>1097</v>
      </c>
      <c r="D14" s="4" t="s">
        <v>1089</v>
      </c>
      <c r="E14" s="4" t="s">
        <v>1090</v>
      </c>
      <c r="F14" s="4" t="s">
        <v>798</v>
      </c>
      <c r="G14" s="4"/>
      <c r="H14" s="4"/>
      <c r="I14" s="4" t="s">
        <v>1048</v>
      </c>
    </row>
    <row r="15">
      <c r="A15" s="4" t="s">
        <v>1098</v>
      </c>
      <c r="B15" s="13">
        <v>46103.9037037037</v>
      </c>
      <c r="C15" s="4" t="s">
        <v>1099</v>
      </c>
      <c r="D15" s="4" t="s">
        <v>1089</v>
      </c>
      <c r="E15" s="4" t="s">
        <v>1090</v>
      </c>
      <c r="F15" s="4" t="s">
        <v>815</v>
      </c>
      <c r="G15" s="4"/>
      <c r="H15" s="4"/>
      <c r="I15" s="4" t="s">
        <v>1050</v>
      </c>
    </row>
    <row r="16">
      <c r="A16" s="4" t="s">
        <v>1100</v>
      </c>
      <c r="B16" s="13">
        <v>46095.4142592593</v>
      </c>
      <c r="C16" s="4" t="s">
        <v>1101</v>
      </c>
      <c r="D16" s="4" t="s">
        <v>1063</v>
      </c>
      <c r="E16" s="4" t="s">
        <v>1064</v>
      </c>
      <c r="F16" s="4"/>
      <c r="G16" s="4" t="s">
        <v>232</v>
      </c>
      <c r="H16" s="4"/>
      <c r="I16" s="4" t="s">
        <v>427</v>
      </c>
    </row>
    <row r="17">
      <c r="A17" s="4" t="s">
        <v>1102</v>
      </c>
      <c r="B17" s="13">
        <v>46089.5730902778</v>
      </c>
      <c r="C17" s="4" t="s">
        <v>1103</v>
      </c>
      <c r="D17" s="4" t="s">
        <v>1104</v>
      </c>
      <c r="E17" s="4" t="s">
        <v>1105</v>
      </c>
      <c r="F17" s="4" t="s">
        <v>185</v>
      </c>
      <c r="G17" s="4"/>
      <c r="H17" s="4"/>
      <c r="I17" s="4" t="s">
        <v>1035</v>
      </c>
    </row>
    <row r="18">
      <c r="A18" s="4" t="s">
        <v>1106</v>
      </c>
      <c r="B18" s="13">
        <v>46086.8569791667</v>
      </c>
      <c r="C18" s="4" t="s">
        <v>1107</v>
      </c>
      <c r="D18" s="4" t="s">
        <v>1104</v>
      </c>
      <c r="E18" s="4" t="s">
        <v>1105</v>
      </c>
      <c r="F18" s="4" t="s">
        <v>95</v>
      </c>
      <c r="G18" s="4"/>
      <c r="H18" s="4"/>
      <c r="I18" s="4" t="s">
        <v>587</v>
      </c>
    </row>
    <row r="19">
      <c r="A19" s="4" t="s">
        <v>1108</v>
      </c>
      <c r="B19" s="13">
        <v>46080.5470833333</v>
      </c>
      <c r="C19" s="4" t="s">
        <v>1109</v>
      </c>
      <c r="D19" s="4" t="s">
        <v>1110</v>
      </c>
      <c r="E19" s="4" t="s">
        <v>1064</v>
      </c>
      <c r="F19" s="4"/>
      <c r="G19" s="4" t="s">
        <v>144</v>
      </c>
      <c r="H19" s="10">
        <v>39.13</v>
      </c>
      <c r="I19" s="4" t="s">
        <v>587</v>
      </c>
    </row>
    <row r="20">
      <c r="A20" s="4" t="s">
        <v>1111</v>
      </c>
      <c r="B20" s="13">
        <v>46051.9597453704</v>
      </c>
      <c r="C20" s="4" t="s">
        <v>1112</v>
      </c>
      <c r="D20" s="4" t="s">
        <v>1086</v>
      </c>
      <c r="E20" s="4" t="s">
        <v>1064</v>
      </c>
      <c r="F20" s="4"/>
      <c r="G20" s="4"/>
      <c r="H20" s="4"/>
      <c r="I20" s="4" t="s">
        <v>1048</v>
      </c>
    </row>
    <row r="21" ht="15.75" customHeight="1">
      <c r="A21" s="4" t="s">
        <v>1113</v>
      </c>
      <c r="B21" s="13">
        <v>46064.8671296296</v>
      </c>
      <c r="C21" s="4" t="s">
        <v>1114</v>
      </c>
      <c r="D21" s="4" t="s">
        <v>1063</v>
      </c>
      <c r="E21" s="4" t="s">
        <v>1064</v>
      </c>
      <c r="F21" s="4"/>
      <c r="G21" s="4" t="s">
        <v>144</v>
      </c>
      <c r="H21" s="4"/>
      <c r="I21" s="4" t="s">
        <v>1028</v>
      </c>
    </row>
    <row r="22" ht="15.75" customHeight="1">
      <c r="A22" s="4" t="s">
        <v>1115</v>
      </c>
      <c r="B22" s="13">
        <v>46112.8993518519</v>
      </c>
      <c r="C22" s="4" t="s">
        <v>1116</v>
      </c>
      <c r="D22" s="4" t="s">
        <v>1086</v>
      </c>
      <c r="E22" s="4" t="s">
        <v>1064</v>
      </c>
      <c r="F22" s="4"/>
      <c r="G22" s="4"/>
      <c r="H22" s="4"/>
      <c r="I22" s="4" t="s">
        <v>1052</v>
      </c>
    </row>
    <row r="23" ht="15.75" customHeight="1">
      <c r="A23" s="4" t="s">
        <v>1117</v>
      </c>
      <c r="B23" s="13">
        <v>46085.3491203704</v>
      </c>
      <c r="C23" s="4" t="s">
        <v>1118</v>
      </c>
      <c r="D23" s="4" t="s">
        <v>1071</v>
      </c>
      <c r="E23" s="4" t="s">
        <v>1119</v>
      </c>
      <c r="F23" s="4"/>
      <c r="G23" s="4"/>
      <c r="H23" s="4"/>
      <c r="I23" s="4" t="s">
        <v>427</v>
      </c>
    </row>
    <row r="24" ht="15.75" customHeight="1">
      <c r="A24" s="4" t="s">
        <v>1120</v>
      </c>
      <c r="B24" s="13">
        <v>46050.5236111111</v>
      </c>
      <c r="C24" s="4" t="s">
        <v>1121</v>
      </c>
      <c r="D24" s="4" t="s">
        <v>1075</v>
      </c>
      <c r="E24" s="4" t="s">
        <v>1064</v>
      </c>
      <c r="F24" s="4"/>
      <c r="G24" s="4"/>
      <c r="H24" s="4"/>
      <c r="I24" s="4" t="s">
        <v>1048</v>
      </c>
    </row>
    <row r="25" ht="15.75" customHeight="1">
      <c r="A25" s="4" t="s">
        <v>1122</v>
      </c>
      <c r="B25" s="13">
        <v>46043.6171064815</v>
      </c>
      <c r="C25" s="4" t="s">
        <v>1123</v>
      </c>
      <c r="D25" s="4" t="s">
        <v>1075</v>
      </c>
      <c r="E25" s="4" t="s">
        <v>1064</v>
      </c>
      <c r="F25" s="4"/>
      <c r="G25" s="4"/>
      <c r="H25" s="4"/>
      <c r="I25" s="4" t="s">
        <v>1031</v>
      </c>
    </row>
    <row r="26" ht="15.75" customHeight="1">
      <c r="A26" s="4" t="s">
        <v>1124</v>
      </c>
      <c r="B26" s="13">
        <v>46106.7277893519</v>
      </c>
      <c r="C26" s="4" t="s">
        <v>1125</v>
      </c>
      <c r="D26" s="4" t="s">
        <v>1104</v>
      </c>
      <c r="E26" s="4" t="s">
        <v>1105</v>
      </c>
      <c r="F26" s="4" t="s">
        <v>205</v>
      </c>
      <c r="G26" s="4"/>
      <c r="H26" s="4"/>
      <c r="I26" s="4" t="s">
        <v>1052</v>
      </c>
    </row>
    <row r="27" ht="15.75" customHeight="1">
      <c r="A27" s="4" t="s">
        <v>1126</v>
      </c>
      <c r="B27" s="13">
        <v>46037.3922569445</v>
      </c>
      <c r="C27" s="4" t="s">
        <v>1127</v>
      </c>
      <c r="D27" s="4" t="s">
        <v>1128</v>
      </c>
      <c r="E27" s="4" t="s">
        <v>1090</v>
      </c>
      <c r="F27" s="4" t="s">
        <v>827</v>
      </c>
      <c r="G27" s="4"/>
      <c r="H27" s="4"/>
      <c r="I27" s="4" t="s">
        <v>1039</v>
      </c>
    </row>
    <row r="28" ht="15.75" customHeight="1">
      <c r="A28" s="4" t="s">
        <v>1129</v>
      </c>
      <c r="B28" s="13">
        <v>46050.7246412037</v>
      </c>
      <c r="C28" s="4" t="s">
        <v>1130</v>
      </c>
      <c r="D28" s="4" t="s">
        <v>1081</v>
      </c>
      <c r="E28" s="4" t="s">
        <v>1064</v>
      </c>
      <c r="F28" s="4"/>
      <c r="G28" s="4"/>
      <c r="H28" s="4"/>
      <c r="I28" s="4" t="s">
        <v>1048</v>
      </c>
    </row>
    <row r="29" ht="15.75" customHeight="1">
      <c r="A29" s="4" t="s">
        <v>1131</v>
      </c>
      <c r="B29" s="13">
        <v>46062.342974537</v>
      </c>
      <c r="C29" s="4" t="s">
        <v>1132</v>
      </c>
      <c r="D29" s="4" t="s">
        <v>1089</v>
      </c>
      <c r="E29" s="4" t="s">
        <v>1105</v>
      </c>
      <c r="F29" s="4" t="s">
        <v>179</v>
      </c>
      <c r="G29" s="4"/>
      <c r="H29" s="4"/>
      <c r="I29" s="4" t="s">
        <v>1046</v>
      </c>
    </row>
    <row r="30" ht="15.75" customHeight="1">
      <c r="A30" s="4" t="s">
        <v>1133</v>
      </c>
      <c r="B30" s="13">
        <v>46100.5823032407</v>
      </c>
      <c r="C30" s="4" t="s">
        <v>1134</v>
      </c>
      <c r="D30" s="4" t="s">
        <v>1075</v>
      </c>
      <c r="E30" s="4" t="s">
        <v>1064</v>
      </c>
      <c r="F30" s="4"/>
      <c r="G30" s="4"/>
      <c r="H30" s="4"/>
      <c r="I30" s="4" t="s">
        <v>1028</v>
      </c>
    </row>
    <row r="31" ht="15.75" customHeight="1">
      <c r="A31" s="4" t="s">
        <v>1135</v>
      </c>
      <c r="B31" s="13">
        <v>46032.4972222222</v>
      </c>
      <c r="C31" s="4" t="s">
        <v>1136</v>
      </c>
      <c r="D31" s="4" t="s">
        <v>1110</v>
      </c>
      <c r="E31" s="4" t="s">
        <v>1064</v>
      </c>
      <c r="F31" s="4"/>
      <c r="G31" s="4" t="s">
        <v>144</v>
      </c>
      <c r="H31" s="10">
        <v>92.33</v>
      </c>
      <c r="I31" s="4" t="s">
        <v>1031</v>
      </c>
    </row>
    <row r="32" ht="15.75" customHeight="1">
      <c r="A32" s="4" t="s">
        <v>1137</v>
      </c>
      <c r="B32" s="13">
        <v>46095.5458680556</v>
      </c>
      <c r="C32" s="4" t="s">
        <v>1138</v>
      </c>
      <c r="D32" s="4" t="s">
        <v>1086</v>
      </c>
      <c r="E32" s="4" t="s">
        <v>1064</v>
      </c>
      <c r="F32" s="4"/>
      <c r="G32" s="4"/>
      <c r="H32" s="4"/>
      <c r="I32" s="4" t="s">
        <v>1039</v>
      </c>
    </row>
    <row r="33" ht="15.75" customHeight="1">
      <c r="A33" s="4" t="s">
        <v>1139</v>
      </c>
      <c r="B33" s="13">
        <v>46032.6851967593</v>
      </c>
      <c r="C33" s="4" t="s">
        <v>1140</v>
      </c>
      <c r="D33" s="4" t="s">
        <v>1063</v>
      </c>
      <c r="E33" s="4" t="s">
        <v>1064</v>
      </c>
      <c r="F33" s="4"/>
      <c r="G33" s="4" t="s">
        <v>84</v>
      </c>
      <c r="H33" s="4"/>
      <c r="I33" s="4" t="s">
        <v>427</v>
      </c>
    </row>
    <row r="34" ht="15.75" customHeight="1">
      <c r="A34" s="4" t="s">
        <v>1141</v>
      </c>
      <c r="B34" s="13">
        <v>46081.5888657407</v>
      </c>
      <c r="C34" s="4" t="s">
        <v>1142</v>
      </c>
      <c r="D34" s="4" t="s">
        <v>1078</v>
      </c>
      <c r="E34" s="4" t="s">
        <v>1064</v>
      </c>
      <c r="F34" s="4"/>
      <c r="G34" s="4" t="s">
        <v>227</v>
      </c>
      <c r="H34" s="10">
        <v>136.52</v>
      </c>
      <c r="I34" s="4" t="s">
        <v>1046</v>
      </c>
    </row>
    <row r="35" ht="15.75" customHeight="1">
      <c r="A35" s="4" t="s">
        <v>1143</v>
      </c>
      <c r="B35" s="13">
        <v>46111.6784837963</v>
      </c>
      <c r="C35" s="4" t="s">
        <v>1144</v>
      </c>
      <c r="D35" s="4" t="s">
        <v>1071</v>
      </c>
      <c r="E35" s="4" t="s">
        <v>1072</v>
      </c>
      <c r="F35" s="4"/>
      <c r="G35" s="4"/>
      <c r="H35" s="4"/>
      <c r="I35" s="4" t="s">
        <v>1030</v>
      </c>
    </row>
    <row r="36" ht="15.75" customHeight="1">
      <c r="A36" s="4" t="s">
        <v>1145</v>
      </c>
      <c r="B36" s="13">
        <v>46109.8340509259</v>
      </c>
      <c r="C36" s="4" t="s">
        <v>1146</v>
      </c>
      <c r="D36" s="4" t="s">
        <v>1075</v>
      </c>
      <c r="E36" s="4" t="s">
        <v>1064</v>
      </c>
      <c r="F36" s="4"/>
      <c r="G36" s="4"/>
      <c r="H36" s="4"/>
      <c r="I36" s="4" t="s">
        <v>427</v>
      </c>
    </row>
    <row r="37" ht="15.75" customHeight="1">
      <c r="A37" s="4" t="s">
        <v>1147</v>
      </c>
      <c r="B37" s="13">
        <v>46096.404212963</v>
      </c>
      <c r="C37" s="4" t="s">
        <v>1148</v>
      </c>
      <c r="D37" s="4" t="s">
        <v>1089</v>
      </c>
      <c r="E37" s="4" t="s">
        <v>1090</v>
      </c>
      <c r="F37" s="4" t="s">
        <v>771</v>
      </c>
      <c r="G37" s="4"/>
      <c r="H37" s="4"/>
      <c r="I37" s="4" t="s">
        <v>1028</v>
      </c>
    </row>
    <row r="38" ht="15.75" customHeight="1">
      <c r="A38" s="4" t="s">
        <v>1149</v>
      </c>
      <c r="B38" s="13">
        <v>46047.6558796296</v>
      </c>
      <c r="C38" s="4" t="s">
        <v>1150</v>
      </c>
      <c r="D38" s="4" t="s">
        <v>1078</v>
      </c>
      <c r="E38" s="4" t="s">
        <v>1064</v>
      </c>
      <c r="F38" s="4"/>
      <c r="G38" s="4" t="s">
        <v>61</v>
      </c>
      <c r="H38" s="10">
        <v>110.31</v>
      </c>
      <c r="I38" s="4" t="s">
        <v>1039</v>
      </c>
    </row>
    <row r="39" ht="15.75" customHeight="1">
      <c r="A39" s="4" t="s">
        <v>1151</v>
      </c>
      <c r="B39" s="13">
        <v>46124.656875</v>
      </c>
      <c r="C39" s="4" t="s">
        <v>1152</v>
      </c>
      <c r="D39" s="4" t="s">
        <v>1093</v>
      </c>
      <c r="E39" s="4" t="s">
        <v>1064</v>
      </c>
      <c r="F39" s="4"/>
      <c r="G39" s="4"/>
      <c r="H39" s="4"/>
      <c r="I39" s="4" t="s">
        <v>1034</v>
      </c>
    </row>
    <row r="40" ht="15.75" customHeight="1">
      <c r="A40" s="4" t="s">
        <v>1153</v>
      </c>
      <c r="B40" s="13">
        <v>46128.9820601852</v>
      </c>
      <c r="C40" s="4" t="s">
        <v>1154</v>
      </c>
      <c r="D40" s="4" t="s">
        <v>1093</v>
      </c>
      <c r="E40" s="4" t="s">
        <v>1064</v>
      </c>
      <c r="F40" s="4"/>
      <c r="G40" s="4"/>
      <c r="H40" s="4"/>
      <c r="I40" s="4" t="s">
        <v>427</v>
      </c>
    </row>
    <row r="41" ht="15.75" customHeight="1">
      <c r="A41" s="4" t="s">
        <v>1155</v>
      </c>
      <c r="B41" s="13">
        <v>46117.809849537</v>
      </c>
      <c r="C41" s="4" t="s">
        <v>1156</v>
      </c>
      <c r="D41" s="4" t="s">
        <v>1063</v>
      </c>
      <c r="E41" s="4" t="s">
        <v>1064</v>
      </c>
      <c r="F41" s="4"/>
      <c r="G41" s="4" t="s">
        <v>84</v>
      </c>
      <c r="H41" s="4"/>
      <c r="I41" s="4" t="s">
        <v>427</v>
      </c>
    </row>
    <row r="42" ht="15.75" customHeight="1">
      <c r="A42" s="4" t="s">
        <v>1157</v>
      </c>
      <c r="B42" s="13">
        <v>46119.988587963</v>
      </c>
      <c r="C42" s="4" t="s">
        <v>1158</v>
      </c>
      <c r="D42" s="4" t="s">
        <v>1081</v>
      </c>
      <c r="E42" s="4" t="s">
        <v>1064</v>
      </c>
      <c r="F42" s="4"/>
      <c r="G42" s="4"/>
      <c r="H42" s="4"/>
      <c r="I42" s="4" t="s">
        <v>1036</v>
      </c>
    </row>
    <row r="43" ht="15.75" customHeight="1">
      <c r="A43" s="4" t="s">
        <v>1159</v>
      </c>
      <c r="B43" s="13">
        <v>46040.7912268519</v>
      </c>
      <c r="C43" s="4" t="s">
        <v>1160</v>
      </c>
      <c r="D43" s="4" t="s">
        <v>1078</v>
      </c>
      <c r="E43" s="4" t="s">
        <v>1064</v>
      </c>
      <c r="F43" s="4"/>
      <c r="G43" s="4" t="s">
        <v>150</v>
      </c>
      <c r="H43" s="10">
        <v>162.58</v>
      </c>
      <c r="I43" s="4" t="s">
        <v>1034</v>
      </c>
    </row>
    <row r="44" ht="15.75" customHeight="1">
      <c r="A44" s="4" t="s">
        <v>1161</v>
      </c>
      <c r="B44" s="13">
        <v>46103.5266319444</v>
      </c>
      <c r="C44" s="4" t="s">
        <v>1162</v>
      </c>
      <c r="D44" s="4" t="s">
        <v>1163</v>
      </c>
      <c r="E44" s="4" t="s">
        <v>1119</v>
      </c>
      <c r="F44" s="4"/>
      <c r="G44" s="4"/>
      <c r="H44" s="4"/>
      <c r="I44" s="4" t="s">
        <v>1035</v>
      </c>
    </row>
    <row r="45" ht="15.75" customHeight="1">
      <c r="A45" s="4" t="s">
        <v>1164</v>
      </c>
      <c r="B45" s="13">
        <v>46128.8374074074</v>
      </c>
      <c r="C45" s="4" t="s">
        <v>1165</v>
      </c>
      <c r="D45" s="4" t="s">
        <v>1110</v>
      </c>
      <c r="E45" s="4" t="s">
        <v>1064</v>
      </c>
      <c r="F45" s="4"/>
      <c r="G45" s="4" t="s">
        <v>244</v>
      </c>
      <c r="H45" s="10">
        <v>50.01</v>
      </c>
      <c r="I45" s="4" t="s">
        <v>1042</v>
      </c>
    </row>
    <row r="46" ht="15.75" customHeight="1">
      <c r="A46" s="4" t="s">
        <v>1166</v>
      </c>
      <c r="B46" s="13">
        <v>46093.5744675926</v>
      </c>
      <c r="C46" s="4" t="s">
        <v>1167</v>
      </c>
      <c r="D46" s="4" t="s">
        <v>1078</v>
      </c>
      <c r="E46" s="4" t="s">
        <v>1064</v>
      </c>
      <c r="F46" s="4"/>
      <c r="G46" s="4" t="s">
        <v>195</v>
      </c>
      <c r="H46" s="10">
        <v>108.66</v>
      </c>
      <c r="I46" s="4" t="s">
        <v>1031</v>
      </c>
    </row>
    <row r="47" ht="15.75" customHeight="1">
      <c r="A47" s="4" t="s">
        <v>1168</v>
      </c>
      <c r="B47" s="13">
        <v>46107.8434722222</v>
      </c>
      <c r="C47" s="4" t="s">
        <v>1169</v>
      </c>
      <c r="D47" s="4" t="s">
        <v>1163</v>
      </c>
      <c r="E47" s="4" t="s">
        <v>1119</v>
      </c>
      <c r="F47" s="4"/>
      <c r="G47" s="4"/>
      <c r="H47" s="4"/>
      <c r="I47" s="4" t="s">
        <v>1046</v>
      </c>
    </row>
    <row r="48" ht="15.75" customHeight="1">
      <c r="A48" s="4" t="s">
        <v>1170</v>
      </c>
      <c r="B48" s="13">
        <v>46129.6145833333</v>
      </c>
      <c r="C48" s="4" t="s">
        <v>1171</v>
      </c>
      <c r="D48" s="4" t="s">
        <v>1128</v>
      </c>
      <c r="E48" s="4" t="s">
        <v>1090</v>
      </c>
      <c r="F48" s="4" t="s">
        <v>792</v>
      </c>
      <c r="G48" s="4"/>
      <c r="H48" s="4"/>
      <c r="I48" s="4" t="s">
        <v>1052</v>
      </c>
    </row>
    <row r="49" ht="15.75" customHeight="1">
      <c r="A49" s="4" t="s">
        <v>1172</v>
      </c>
      <c r="B49" s="13">
        <v>46061.6074074074</v>
      </c>
      <c r="C49" s="4" t="s">
        <v>1173</v>
      </c>
      <c r="D49" s="4" t="s">
        <v>1075</v>
      </c>
      <c r="E49" s="4" t="s">
        <v>1064</v>
      </c>
      <c r="F49" s="4"/>
      <c r="G49" s="4"/>
      <c r="H49" s="4"/>
      <c r="I49" s="4" t="s">
        <v>1050</v>
      </c>
    </row>
    <row r="50" ht="15.75" customHeight="1">
      <c r="A50" s="4" t="s">
        <v>1174</v>
      </c>
      <c r="B50" s="13">
        <v>46049.5783449074</v>
      </c>
      <c r="C50" s="4" t="s">
        <v>1175</v>
      </c>
      <c r="D50" s="4" t="s">
        <v>1104</v>
      </c>
      <c r="E50" s="4" t="s">
        <v>1105</v>
      </c>
      <c r="F50" s="4" t="s">
        <v>192</v>
      </c>
      <c r="G50" s="4"/>
      <c r="H50" s="4"/>
      <c r="I50" s="4" t="s">
        <v>1028</v>
      </c>
    </row>
    <row r="51" ht="15.75" customHeight="1">
      <c r="A51" s="4" t="s">
        <v>1176</v>
      </c>
      <c r="B51" s="13">
        <v>46024.7231944444</v>
      </c>
      <c r="C51" s="4" t="s">
        <v>1177</v>
      </c>
      <c r="D51" s="4" t="s">
        <v>1075</v>
      </c>
      <c r="E51" s="4" t="s">
        <v>1064</v>
      </c>
      <c r="F51" s="4"/>
      <c r="G51" s="4"/>
      <c r="H51" s="4"/>
      <c r="I51" s="4" t="s">
        <v>1036</v>
      </c>
    </row>
    <row r="52" ht="15.75" customHeight="1">
      <c r="A52" s="4" t="s">
        <v>1178</v>
      </c>
      <c r="B52" s="13">
        <v>46104.4052199074</v>
      </c>
      <c r="C52" s="4" t="s">
        <v>1179</v>
      </c>
      <c r="D52" s="4" t="s">
        <v>1093</v>
      </c>
      <c r="E52" s="4" t="s">
        <v>1064</v>
      </c>
      <c r="F52" s="4"/>
      <c r="G52" s="4"/>
      <c r="H52" s="4"/>
      <c r="I52" s="4" t="s">
        <v>1050</v>
      </c>
    </row>
    <row r="53" ht="15.75" customHeight="1">
      <c r="A53" s="4" t="s">
        <v>1180</v>
      </c>
      <c r="B53" s="13">
        <v>46083.8670601852</v>
      </c>
      <c r="C53" s="4" t="s">
        <v>1181</v>
      </c>
      <c r="D53" s="4" t="s">
        <v>1086</v>
      </c>
      <c r="E53" s="4" t="s">
        <v>1064</v>
      </c>
      <c r="F53" s="4"/>
      <c r="G53" s="4"/>
      <c r="H53" s="4"/>
      <c r="I53" s="4" t="s">
        <v>1034</v>
      </c>
    </row>
    <row r="54" ht="15.75" customHeight="1">
      <c r="A54" s="4" t="s">
        <v>1182</v>
      </c>
      <c r="B54" s="13">
        <v>46085.3500231481</v>
      </c>
      <c r="C54" s="4" t="s">
        <v>1183</v>
      </c>
      <c r="D54" s="4" t="s">
        <v>1081</v>
      </c>
      <c r="E54" s="4" t="s">
        <v>1064</v>
      </c>
      <c r="F54" s="4"/>
      <c r="G54" s="4"/>
      <c r="H54" s="4"/>
      <c r="I54" s="4" t="s">
        <v>1030</v>
      </c>
    </row>
    <row r="55" ht="15.75" customHeight="1">
      <c r="A55" s="4" t="s">
        <v>1184</v>
      </c>
      <c r="B55" s="13">
        <v>46054.47875</v>
      </c>
      <c r="C55" s="4" t="s">
        <v>1185</v>
      </c>
      <c r="D55" s="4" t="s">
        <v>1104</v>
      </c>
      <c r="E55" s="4" t="s">
        <v>1105</v>
      </c>
      <c r="F55" s="4" t="s">
        <v>246</v>
      </c>
      <c r="G55" s="4"/>
      <c r="H55" s="4"/>
      <c r="I55" s="4" t="s">
        <v>1035</v>
      </c>
    </row>
    <row r="56" ht="15.75" customHeight="1">
      <c r="A56" s="4" t="s">
        <v>1186</v>
      </c>
      <c r="B56" s="13">
        <v>46132.9261458333</v>
      </c>
      <c r="C56" s="4" t="s">
        <v>1187</v>
      </c>
      <c r="D56" s="4" t="s">
        <v>1086</v>
      </c>
      <c r="E56" s="4" t="s">
        <v>1064</v>
      </c>
      <c r="F56" s="4"/>
      <c r="G56" s="4"/>
      <c r="H56" s="4"/>
      <c r="I56" s="4" t="s">
        <v>1036</v>
      </c>
    </row>
    <row r="57" ht="15.75" customHeight="1">
      <c r="A57" s="4" t="s">
        <v>1188</v>
      </c>
      <c r="B57" s="13">
        <v>46122.3746759259</v>
      </c>
      <c r="C57" s="4" t="s">
        <v>1189</v>
      </c>
      <c r="D57" s="4" t="s">
        <v>1081</v>
      </c>
      <c r="E57" s="4" t="s">
        <v>1064</v>
      </c>
      <c r="F57" s="4"/>
      <c r="G57" s="4"/>
      <c r="H57" s="4"/>
      <c r="I57" s="4" t="s">
        <v>1050</v>
      </c>
    </row>
    <row r="58" ht="15.75" customHeight="1">
      <c r="A58" s="4" t="s">
        <v>1190</v>
      </c>
      <c r="B58" s="13">
        <v>46095.8694328704</v>
      </c>
      <c r="C58" s="4" t="s">
        <v>1191</v>
      </c>
      <c r="D58" s="4" t="s">
        <v>1086</v>
      </c>
      <c r="E58" s="4" t="s">
        <v>1064</v>
      </c>
      <c r="F58" s="4"/>
      <c r="G58" s="4"/>
      <c r="H58" s="4"/>
      <c r="I58" s="4" t="s">
        <v>1039</v>
      </c>
    </row>
    <row r="59" ht="15.75" customHeight="1">
      <c r="A59" s="4" t="s">
        <v>1192</v>
      </c>
      <c r="B59" s="13">
        <v>46085.5815740741</v>
      </c>
      <c r="C59" s="4" t="s">
        <v>1193</v>
      </c>
      <c r="D59" s="4" t="s">
        <v>1163</v>
      </c>
      <c r="E59" s="4" t="s">
        <v>1072</v>
      </c>
      <c r="F59" s="4"/>
      <c r="G59" s="4"/>
      <c r="H59" s="4"/>
      <c r="I59" s="4" t="s">
        <v>1030</v>
      </c>
    </row>
    <row r="60" ht="15.75" customHeight="1">
      <c r="A60" s="4" t="s">
        <v>1194</v>
      </c>
      <c r="B60" s="13">
        <v>46042.4253472222</v>
      </c>
      <c r="C60" s="4" t="s">
        <v>1195</v>
      </c>
      <c r="D60" s="4" t="s">
        <v>1081</v>
      </c>
      <c r="E60" s="4" t="s">
        <v>1064</v>
      </c>
      <c r="F60" s="4"/>
      <c r="G60" s="4"/>
      <c r="H60" s="4"/>
      <c r="I60" s="4" t="s">
        <v>1039</v>
      </c>
    </row>
    <row r="61" ht="15.75" customHeight="1">
      <c r="A61" s="4" t="s">
        <v>1196</v>
      </c>
      <c r="B61" s="13">
        <v>46045.8349421296</v>
      </c>
      <c r="C61" s="4" t="s">
        <v>1197</v>
      </c>
      <c r="D61" s="4" t="s">
        <v>1081</v>
      </c>
      <c r="E61" s="4" t="s">
        <v>1064</v>
      </c>
      <c r="F61" s="4"/>
      <c r="G61" s="4"/>
      <c r="H61" s="4"/>
      <c r="I61" s="4" t="s">
        <v>587</v>
      </c>
    </row>
    <row r="62" ht="15.75" customHeight="1">
      <c r="A62" s="4" t="s">
        <v>1198</v>
      </c>
      <c r="B62" s="13">
        <v>46052.9525925926</v>
      </c>
      <c r="C62" s="4" t="s">
        <v>1199</v>
      </c>
      <c r="D62" s="4" t="s">
        <v>1093</v>
      </c>
      <c r="E62" s="4" t="s">
        <v>1064</v>
      </c>
      <c r="F62" s="4"/>
      <c r="G62" s="4"/>
      <c r="H62" s="4"/>
      <c r="I62" s="4" t="s">
        <v>1039</v>
      </c>
    </row>
    <row r="63" ht="15.75" customHeight="1">
      <c r="A63" s="4" t="s">
        <v>1200</v>
      </c>
      <c r="B63" s="13">
        <v>46095.3531365741</v>
      </c>
      <c r="C63" s="4" t="s">
        <v>1201</v>
      </c>
      <c r="D63" s="4" t="s">
        <v>1071</v>
      </c>
      <c r="E63" s="4" t="s">
        <v>1119</v>
      </c>
      <c r="F63" s="4"/>
      <c r="G63" s="4"/>
      <c r="H63" s="4"/>
      <c r="I63" s="4" t="s">
        <v>1034</v>
      </c>
    </row>
    <row r="64" ht="15.75" customHeight="1">
      <c r="A64" s="4" t="s">
        <v>1202</v>
      </c>
      <c r="B64" s="13">
        <v>46092.4767361111</v>
      </c>
      <c r="C64" s="4" t="s">
        <v>1203</v>
      </c>
      <c r="D64" s="4" t="s">
        <v>1081</v>
      </c>
      <c r="E64" s="4" t="s">
        <v>1064</v>
      </c>
      <c r="F64" s="4"/>
      <c r="G64" s="4"/>
      <c r="H64" s="4"/>
      <c r="I64" s="4" t="s">
        <v>1031</v>
      </c>
    </row>
    <row r="65" ht="15.75" customHeight="1">
      <c r="A65" s="4" t="s">
        <v>1204</v>
      </c>
      <c r="B65" s="13">
        <v>46031.4284259259</v>
      </c>
      <c r="C65" s="4" t="s">
        <v>1205</v>
      </c>
      <c r="D65" s="4" t="s">
        <v>1104</v>
      </c>
      <c r="E65" s="4" t="s">
        <v>1090</v>
      </c>
      <c r="F65" s="4" t="s">
        <v>831</v>
      </c>
      <c r="G65" s="4"/>
      <c r="H65" s="4"/>
      <c r="I65" s="4" t="s">
        <v>427</v>
      </c>
    </row>
    <row r="66" ht="15.75" customHeight="1">
      <c r="A66" s="4" t="s">
        <v>1206</v>
      </c>
      <c r="B66" s="13">
        <v>46026.5455555556</v>
      </c>
      <c r="C66" s="4" t="s">
        <v>1207</v>
      </c>
      <c r="D66" s="4" t="s">
        <v>1104</v>
      </c>
      <c r="E66" s="4" t="s">
        <v>1105</v>
      </c>
      <c r="F66" s="4" t="s">
        <v>162</v>
      </c>
      <c r="G66" s="4"/>
      <c r="H66" s="4"/>
      <c r="I66" s="4" t="s">
        <v>1046</v>
      </c>
    </row>
    <row r="67" ht="15.75" customHeight="1">
      <c r="A67" s="4" t="s">
        <v>1208</v>
      </c>
      <c r="B67" s="13">
        <v>46124.567662037</v>
      </c>
      <c r="C67" s="4" t="s">
        <v>1209</v>
      </c>
      <c r="D67" s="4" t="s">
        <v>1104</v>
      </c>
      <c r="E67" s="4" t="s">
        <v>1105</v>
      </c>
      <c r="F67" s="4" t="s">
        <v>115</v>
      </c>
      <c r="G67" s="4"/>
      <c r="H67" s="4"/>
      <c r="I67" s="4" t="s">
        <v>1039</v>
      </c>
    </row>
    <row r="68" ht="15.75" customHeight="1">
      <c r="A68" s="4" t="s">
        <v>1210</v>
      </c>
      <c r="B68" s="13">
        <v>46073.3493402778</v>
      </c>
      <c r="C68" s="4" t="s">
        <v>1211</v>
      </c>
      <c r="D68" s="4" t="s">
        <v>1086</v>
      </c>
      <c r="E68" s="4" t="s">
        <v>1064</v>
      </c>
      <c r="F68" s="4"/>
      <c r="G68" s="4"/>
      <c r="H68" s="4"/>
      <c r="I68" s="4" t="s">
        <v>1050</v>
      </c>
    </row>
    <row r="69" ht="15.75" customHeight="1">
      <c r="A69" s="4" t="s">
        <v>1212</v>
      </c>
      <c r="B69" s="13">
        <v>46090.3471759259</v>
      </c>
      <c r="C69" s="4" t="s">
        <v>1213</v>
      </c>
      <c r="D69" s="4" t="s">
        <v>1071</v>
      </c>
      <c r="E69" s="4" t="s">
        <v>1119</v>
      </c>
      <c r="F69" s="4"/>
      <c r="G69" s="4"/>
      <c r="H69" s="4"/>
      <c r="I69" s="4" t="s">
        <v>1052</v>
      </c>
    </row>
    <row r="70" ht="15.75" customHeight="1">
      <c r="A70" s="4" t="s">
        <v>1214</v>
      </c>
      <c r="B70" s="13">
        <v>46083.9793171296</v>
      </c>
      <c r="C70" s="4" t="s">
        <v>1215</v>
      </c>
      <c r="D70" s="4" t="s">
        <v>1081</v>
      </c>
      <c r="E70" s="4" t="s">
        <v>1064</v>
      </c>
      <c r="F70" s="4"/>
      <c r="G70" s="4"/>
      <c r="H70" s="4"/>
      <c r="I70" s="4" t="s">
        <v>1028</v>
      </c>
    </row>
    <row r="71" ht="15.75" customHeight="1">
      <c r="A71" s="4" t="s">
        <v>1216</v>
      </c>
      <c r="B71" s="13">
        <v>46132.4234027778</v>
      </c>
      <c r="C71" s="4" t="s">
        <v>1217</v>
      </c>
      <c r="D71" s="4" t="s">
        <v>1163</v>
      </c>
      <c r="E71" s="4" t="s">
        <v>1119</v>
      </c>
      <c r="F71" s="4"/>
      <c r="G71" s="4"/>
      <c r="H71" s="4"/>
      <c r="I71" s="4" t="s">
        <v>1030</v>
      </c>
    </row>
    <row r="72" ht="15.75" customHeight="1">
      <c r="A72" s="4" t="s">
        <v>1218</v>
      </c>
      <c r="B72" s="13">
        <v>46044.6533333333</v>
      </c>
      <c r="C72" s="4" t="s">
        <v>1219</v>
      </c>
      <c r="D72" s="4" t="s">
        <v>1071</v>
      </c>
      <c r="E72" s="4" t="s">
        <v>1072</v>
      </c>
      <c r="F72" s="4"/>
      <c r="G72" s="4"/>
      <c r="H72" s="4"/>
      <c r="I72" s="4" t="s">
        <v>1042</v>
      </c>
    </row>
    <row r="73" ht="15.75" customHeight="1">
      <c r="A73" s="4" t="s">
        <v>1220</v>
      </c>
      <c r="B73" s="13">
        <v>46028.7843171296</v>
      </c>
      <c r="C73" s="4" t="s">
        <v>1221</v>
      </c>
      <c r="D73" s="4" t="s">
        <v>1075</v>
      </c>
      <c r="E73" s="4" t="s">
        <v>1064</v>
      </c>
      <c r="F73" s="4"/>
      <c r="G73" s="4"/>
      <c r="H73" s="4"/>
      <c r="I73" s="4" t="s">
        <v>1031</v>
      </c>
    </row>
    <row r="74" ht="15.75" customHeight="1">
      <c r="A74" s="4" t="s">
        <v>1222</v>
      </c>
      <c r="B74" s="13">
        <v>46100.6583101852</v>
      </c>
      <c r="C74" s="4" t="s">
        <v>1223</v>
      </c>
      <c r="D74" s="4" t="s">
        <v>1093</v>
      </c>
      <c r="E74" s="4" t="s">
        <v>1064</v>
      </c>
      <c r="F74" s="4"/>
      <c r="G74" s="4"/>
      <c r="H74" s="4"/>
      <c r="I74" s="4" t="s">
        <v>1028</v>
      </c>
    </row>
    <row r="75" ht="15.75" customHeight="1">
      <c r="A75" s="4" t="s">
        <v>1224</v>
      </c>
      <c r="B75" s="13">
        <v>46043.6517708333</v>
      </c>
      <c r="C75" s="4" t="s">
        <v>1225</v>
      </c>
      <c r="D75" s="4" t="s">
        <v>1081</v>
      </c>
      <c r="E75" s="4" t="s">
        <v>1064</v>
      </c>
      <c r="F75" s="4"/>
      <c r="G75" s="4"/>
      <c r="H75" s="4"/>
      <c r="I75" s="4" t="s">
        <v>1036</v>
      </c>
    </row>
    <row r="76" ht="15.75" customHeight="1">
      <c r="A76" s="4" t="s">
        <v>1226</v>
      </c>
      <c r="B76" s="13">
        <v>46076.4410300926</v>
      </c>
      <c r="C76" s="4" t="s">
        <v>1227</v>
      </c>
      <c r="D76" s="4" t="s">
        <v>1089</v>
      </c>
      <c r="E76" s="4" t="s">
        <v>1105</v>
      </c>
      <c r="F76" s="4" t="s">
        <v>269</v>
      </c>
      <c r="G76" s="4"/>
      <c r="H76" s="4"/>
      <c r="I76" s="4" t="s">
        <v>1035</v>
      </c>
    </row>
    <row r="77" ht="15.75" customHeight="1">
      <c r="A77" s="4" t="s">
        <v>1228</v>
      </c>
      <c r="B77" s="13">
        <v>46061.7904976852</v>
      </c>
      <c r="C77" s="4" t="s">
        <v>1229</v>
      </c>
      <c r="D77" s="4" t="s">
        <v>1063</v>
      </c>
      <c r="E77" s="4" t="s">
        <v>1064</v>
      </c>
      <c r="F77" s="4"/>
      <c r="G77" s="4" t="s">
        <v>232</v>
      </c>
      <c r="H77" s="4"/>
      <c r="I77" s="4" t="s">
        <v>1046</v>
      </c>
    </row>
    <row r="78" ht="15.75" customHeight="1">
      <c r="A78" s="4" t="s">
        <v>1230</v>
      </c>
      <c r="B78" s="13">
        <v>46034.9733101852</v>
      </c>
      <c r="C78" s="4" t="s">
        <v>1231</v>
      </c>
      <c r="D78" s="4" t="s">
        <v>1063</v>
      </c>
      <c r="E78" s="4" t="s">
        <v>1064</v>
      </c>
      <c r="F78" s="4"/>
      <c r="G78" s="4" t="s">
        <v>107</v>
      </c>
      <c r="H78" s="4"/>
      <c r="I78" s="4" t="s">
        <v>1050</v>
      </c>
    </row>
    <row r="79" ht="15.75" customHeight="1">
      <c r="A79" s="4" t="s">
        <v>1232</v>
      </c>
      <c r="B79" s="13">
        <v>46099.6395717593</v>
      </c>
      <c r="C79" s="4" t="s">
        <v>1233</v>
      </c>
      <c r="D79" s="4" t="s">
        <v>1078</v>
      </c>
      <c r="E79" s="4" t="s">
        <v>1064</v>
      </c>
      <c r="F79" s="4"/>
      <c r="G79" s="4" t="s">
        <v>84</v>
      </c>
      <c r="H79" s="10">
        <v>52.31</v>
      </c>
      <c r="I79" s="4" t="s">
        <v>1034</v>
      </c>
    </row>
    <row r="80" ht="15.75" customHeight="1">
      <c r="A80" s="4" t="s">
        <v>1234</v>
      </c>
      <c r="B80" s="13">
        <v>46109.8869907407</v>
      </c>
      <c r="C80" s="4" t="s">
        <v>1235</v>
      </c>
      <c r="D80" s="4" t="s">
        <v>1163</v>
      </c>
      <c r="E80" s="4" t="s">
        <v>1119</v>
      </c>
      <c r="F80" s="4"/>
      <c r="G80" s="4"/>
      <c r="H80" s="4"/>
      <c r="I80" s="4" t="s">
        <v>1035</v>
      </c>
    </row>
    <row r="81" ht="15.75" customHeight="1">
      <c r="A81" s="4" t="s">
        <v>1236</v>
      </c>
      <c r="B81" s="13">
        <v>46125.7171643519</v>
      </c>
      <c r="C81" s="4" t="s">
        <v>1237</v>
      </c>
      <c r="D81" s="4" t="s">
        <v>1128</v>
      </c>
      <c r="E81" s="4" t="s">
        <v>1090</v>
      </c>
      <c r="F81" s="4" t="s">
        <v>811</v>
      </c>
      <c r="G81" s="4"/>
      <c r="H81" s="4"/>
      <c r="I81" s="4" t="s">
        <v>1048</v>
      </c>
    </row>
    <row r="82" ht="15.75" customHeight="1">
      <c r="A82" s="4" t="s">
        <v>1238</v>
      </c>
      <c r="B82" s="13">
        <v>46038.7362847222</v>
      </c>
      <c r="C82" s="4" t="s">
        <v>1239</v>
      </c>
      <c r="D82" s="4" t="s">
        <v>1128</v>
      </c>
      <c r="E82" s="4" t="s">
        <v>1105</v>
      </c>
      <c r="F82" s="4" t="s">
        <v>269</v>
      </c>
      <c r="G82" s="4"/>
      <c r="H82" s="4"/>
      <c r="I82" s="4" t="s">
        <v>1035</v>
      </c>
    </row>
    <row r="83" ht="15.75" customHeight="1">
      <c r="A83" s="4" t="s">
        <v>1240</v>
      </c>
      <c r="B83" s="13">
        <v>46070.6427083333</v>
      </c>
      <c r="C83" s="4" t="s">
        <v>1241</v>
      </c>
      <c r="D83" s="4" t="s">
        <v>1093</v>
      </c>
      <c r="E83" s="4" t="s">
        <v>1064</v>
      </c>
      <c r="F83" s="4"/>
      <c r="G83" s="4"/>
      <c r="H83" s="4"/>
      <c r="I83" s="4" t="s">
        <v>427</v>
      </c>
    </row>
    <row r="84" ht="15.75" customHeight="1">
      <c r="A84" s="4" t="s">
        <v>1242</v>
      </c>
      <c r="B84" s="13">
        <v>46100.4278587963</v>
      </c>
      <c r="C84" s="4" t="s">
        <v>1243</v>
      </c>
      <c r="D84" s="4" t="s">
        <v>1078</v>
      </c>
      <c r="E84" s="4" t="s">
        <v>1064</v>
      </c>
      <c r="F84" s="4"/>
      <c r="G84" s="4" t="s">
        <v>112</v>
      </c>
      <c r="H84" s="10">
        <v>150.29</v>
      </c>
      <c r="I84" s="4" t="s">
        <v>1050</v>
      </c>
    </row>
    <row r="85" ht="15.75" customHeight="1">
      <c r="A85" s="4" t="s">
        <v>1244</v>
      </c>
      <c r="B85" s="13">
        <v>46081.6893055556</v>
      </c>
      <c r="C85" s="4" t="s">
        <v>1245</v>
      </c>
      <c r="D85" s="4" t="s">
        <v>1093</v>
      </c>
      <c r="E85" s="4" t="s">
        <v>1064</v>
      </c>
      <c r="F85" s="4"/>
      <c r="G85" s="4"/>
      <c r="H85" s="4"/>
      <c r="I85" s="4" t="s">
        <v>1028</v>
      </c>
    </row>
    <row r="86" ht="15.75" customHeight="1">
      <c r="A86" s="4" t="s">
        <v>1246</v>
      </c>
      <c r="B86" s="13">
        <v>46099.4794791667</v>
      </c>
      <c r="C86" s="4" t="s">
        <v>1247</v>
      </c>
      <c r="D86" s="4" t="s">
        <v>1093</v>
      </c>
      <c r="E86" s="4" t="s">
        <v>1064</v>
      </c>
      <c r="F86" s="4"/>
      <c r="G86" s="4"/>
      <c r="H86" s="4"/>
      <c r="I86" s="4" t="s">
        <v>1030</v>
      </c>
    </row>
    <row r="87" ht="15.75" customHeight="1">
      <c r="A87" s="4" t="s">
        <v>1248</v>
      </c>
      <c r="B87" s="13">
        <v>46120.3770138889</v>
      </c>
      <c r="C87" s="4" t="s">
        <v>1249</v>
      </c>
      <c r="D87" s="4" t="s">
        <v>1063</v>
      </c>
      <c r="E87" s="4" t="s">
        <v>1064</v>
      </c>
      <c r="F87" s="4"/>
      <c r="G87" s="4" t="s">
        <v>107</v>
      </c>
      <c r="H87" s="4"/>
      <c r="I87" s="4" t="s">
        <v>427</v>
      </c>
    </row>
    <row r="88" ht="15.75" customHeight="1">
      <c r="A88" s="4" t="s">
        <v>1250</v>
      </c>
      <c r="B88" s="13">
        <v>46118.8840509259</v>
      </c>
      <c r="C88" s="4" t="s">
        <v>1251</v>
      </c>
      <c r="D88" s="4" t="s">
        <v>1104</v>
      </c>
      <c r="E88" s="4" t="s">
        <v>1090</v>
      </c>
      <c r="F88" s="4" t="s">
        <v>821</v>
      </c>
      <c r="G88" s="4"/>
      <c r="H88" s="4"/>
      <c r="I88" s="4" t="s">
        <v>1050</v>
      </c>
    </row>
    <row r="89" ht="15.75" customHeight="1">
      <c r="A89" s="4" t="s">
        <v>1252</v>
      </c>
      <c r="B89" s="13">
        <v>46078.6348842593</v>
      </c>
      <c r="C89" s="4" t="s">
        <v>1253</v>
      </c>
      <c r="D89" s="4" t="s">
        <v>1078</v>
      </c>
      <c r="E89" s="4" t="s">
        <v>1064</v>
      </c>
      <c r="F89" s="4"/>
      <c r="G89" s="4" t="s">
        <v>195</v>
      </c>
      <c r="H89" s="10">
        <v>154.84</v>
      </c>
      <c r="I89" s="4" t="s">
        <v>427</v>
      </c>
    </row>
    <row r="90" ht="15.75" customHeight="1">
      <c r="A90" s="4" t="s">
        <v>1254</v>
      </c>
      <c r="B90" s="13">
        <v>46093.7834953704</v>
      </c>
      <c r="C90" s="4" t="s">
        <v>1255</v>
      </c>
      <c r="D90" s="4" t="s">
        <v>1089</v>
      </c>
      <c r="E90" s="4" t="s">
        <v>1105</v>
      </c>
      <c r="F90" s="4" t="s">
        <v>128</v>
      </c>
      <c r="G90" s="4"/>
      <c r="H90" s="4"/>
      <c r="I90" s="4" t="s">
        <v>1030</v>
      </c>
    </row>
    <row r="91" ht="15.75" customHeight="1">
      <c r="A91" s="4" t="s">
        <v>1256</v>
      </c>
      <c r="B91" s="13">
        <v>46117.7024421296</v>
      </c>
      <c r="C91" s="4" t="s">
        <v>1257</v>
      </c>
      <c r="D91" s="4" t="s">
        <v>1071</v>
      </c>
      <c r="E91" s="4" t="s">
        <v>1072</v>
      </c>
      <c r="F91" s="4"/>
      <c r="G91" s="4"/>
      <c r="H91" s="4"/>
      <c r="I91" s="4" t="s">
        <v>1036</v>
      </c>
    </row>
    <row r="92" ht="15.75" customHeight="1">
      <c r="A92" s="4" t="s">
        <v>1258</v>
      </c>
      <c r="B92" s="13">
        <v>46045.636875</v>
      </c>
      <c r="C92" s="4" t="s">
        <v>1259</v>
      </c>
      <c r="D92" s="4" t="s">
        <v>1128</v>
      </c>
      <c r="E92" s="4" t="s">
        <v>1105</v>
      </c>
      <c r="F92" s="4" t="s">
        <v>257</v>
      </c>
      <c r="G92" s="4"/>
      <c r="H92" s="4"/>
      <c r="I92" s="4" t="s">
        <v>587</v>
      </c>
    </row>
    <row r="93" ht="15.75" customHeight="1">
      <c r="A93" s="4" t="s">
        <v>1260</v>
      </c>
      <c r="B93" s="13">
        <v>46080.593125</v>
      </c>
      <c r="C93" s="4" t="s">
        <v>1261</v>
      </c>
      <c r="D93" s="4" t="s">
        <v>1075</v>
      </c>
      <c r="E93" s="4" t="s">
        <v>1064</v>
      </c>
      <c r="F93" s="4"/>
      <c r="G93" s="4"/>
      <c r="H93" s="4"/>
      <c r="I93" s="4" t="s">
        <v>427</v>
      </c>
    </row>
    <row r="94" ht="15.75" customHeight="1">
      <c r="A94" s="4" t="s">
        <v>1262</v>
      </c>
      <c r="B94" s="13">
        <v>46072.8344212963</v>
      </c>
      <c r="C94" s="4" t="s">
        <v>1263</v>
      </c>
      <c r="D94" s="4" t="s">
        <v>1086</v>
      </c>
      <c r="E94" s="4" t="s">
        <v>1064</v>
      </c>
      <c r="F94" s="4"/>
      <c r="G94" s="4"/>
      <c r="H94" s="4"/>
      <c r="I94" s="4" t="s">
        <v>1031</v>
      </c>
    </row>
    <row r="95" ht="15.75" customHeight="1">
      <c r="A95" s="4" t="s">
        <v>1264</v>
      </c>
      <c r="B95" s="13">
        <v>46066.7510532407</v>
      </c>
      <c r="C95" s="4" t="s">
        <v>1265</v>
      </c>
      <c r="D95" s="4" t="s">
        <v>1163</v>
      </c>
      <c r="E95" s="4" t="s">
        <v>1072</v>
      </c>
      <c r="F95" s="4"/>
      <c r="G95" s="4"/>
      <c r="H95" s="4"/>
      <c r="I95" s="4" t="s">
        <v>427</v>
      </c>
    </row>
    <row r="96" ht="15.75" customHeight="1">
      <c r="A96" s="4" t="s">
        <v>1266</v>
      </c>
      <c r="B96" s="13">
        <v>46032.8408564815</v>
      </c>
      <c r="C96" s="4" t="s">
        <v>1267</v>
      </c>
      <c r="D96" s="4" t="s">
        <v>1086</v>
      </c>
      <c r="E96" s="4" t="s">
        <v>1064</v>
      </c>
      <c r="F96" s="4"/>
      <c r="G96" s="4"/>
      <c r="H96" s="4"/>
      <c r="I96" s="4" t="s">
        <v>1031</v>
      </c>
    </row>
    <row r="97" ht="15.75" customHeight="1">
      <c r="A97" s="4" t="s">
        <v>1268</v>
      </c>
      <c r="B97" s="13">
        <v>46054.7480787037</v>
      </c>
      <c r="C97" s="4" t="s">
        <v>1269</v>
      </c>
      <c r="D97" s="4" t="s">
        <v>1078</v>
      </c>
      <c r="E97" s="4" t="s">
        <v>1064</v>
      </c>
      <c r="F97" s="4"/>
      <c r="G97" s="4" t="s">
        <v>126</v>
      </c>
      <c r="H97" s="10">
        <v>123.99</v>
      </c>
      <c r="I97" s="4" t="s">
        <v>1030</v>
      </c>
    </row>
    <row r="98" ht="15.75" customHeight="1">
      <c r="A98" s="4" t="s">
        <v>1270</v>
      </c>
      <c r="B98" s="13">
        <v>46114.3504166667</v>
      </c>
      <c r="C98" s="4" t="s">
        <v>1271</v>
      </c>
      <c r="D98" s="4" t="s">
        <v>1093</v>
      </c>
      <c r="E98" s="4" t="s">
        <v>1064</v>
      </c>
      <c r="F98" s="4"/>
      <c r="G98" s="4"/>
      <c r="H98" s="4"/>
      <c r="I98" s="4" t="s">
        <v>1031</v>
      </c>
    </row>
    <row r="99" ht="15.75" customHeight="1">
      <c r="A99" s="4" t="s">
        <v>1272</v>
      </c>
      <c r="B99" s="13">
        <v>46080.8787847222</v>
      </c>
      <c r="C99" s="4" t="s">
        <v>1273</v>
      </c>
      <c r="D99" s="4" t="s">
        <v>1086</v>
      </c>
      <c r="E99" s="4" t="s">
        <v>1064</v>
      </c>
      <c r="F99" s="4"/>
      <c r="G99" s="4"/>
      <c r="H99" s="4"/>
      <c r="I99" s="4" t="s">
        <v>1050</v>
      </c>
    </row>
    <row r="100" ht="15.75" customHeight="1">
      <c r="A100" s="4" t="s">
        <v>1274</v>
      </c>
      <c r="B100" s="13">
        <v>46043.5520138889</v>
      </c>
      <c r="C100" s="4" t="s">
        <v>1275</v>
      </c>
      <c r="D100" s="4" t="s">
        <v>1093</v>
      </c>
      <c r="E100" s="4" t="s">
        <v>1064</v>
      </c>
      <c r="F100" s="4"/>
      <c r="G100" s="4"/>
      <c r="H100" s="4"/>
      <c r="I100" s="4" t="s">
        <v>1052</v>
      </c>
    </row>
    <row r="101" ht="15.75" customHeight="1">
      <c r="A101" s="4" t="s">
        <v>1276</v>
      </c>
      <c r="B101" s="13">
        <v>46071.7943055556</v>
      </c>
      <c r="C101" s="4" t="s">
        <v>1277</v>
      </c>
      <c r="D101" s="4" t="s">
        <v>1089</v>
      </c>
      <c r="E101" s="4" t="s">
        <v>1090</v>
      </c>
      <c r="F101" s="4" t="s">
        <v>809</v>
      </c>
      <c r="G101" s="4"/>
      <c r="H101" s="4"/>
      <c r="I101" s="4" t="s">
        <v>1042</v>
      </c>
    </row>
    <row r="102" ht="15.75" customHeight="1">
      <c r="A102" s="4" t="s">
        <v>1278</v>
      </c>
      <c r="B102" s="13">
        <v>46033.6862152778</v>
      </c>
      <c r="C102" s="4" t="s">
        <v>1279</v>
      </c>
      <c r="D102" s="4" t="s">
        <v>1078</v>
      </c>
      <c r="E102" s="4" t="s">
        <v>1064</v>
      </c>
      <c r="F102" s="4"/>
      <c r="G102" s="4" t="s">
        <v>150</v>
      </c>
      <c r="H102" s="10">
        <v>58.2</v>
      </c>
      <c r="I102" s="4" t="s">
        <v>1050</v>
      </c>
    </row>
    <row r="103" ht="15.75" customHeight="1">
      <c r="A103" s="4" t="s">
        <v>1280</v>
      </c>
      <c r="B103" s="13">
        <v>46089.427025463</v>
      </c>
      <c r="C103" s="4" t="s">
        <v>1281</v>
      </c>
      <c r="D103" s="4" t="s">
        <v>1128</v>
      </c>
      <c r="E103" s="4" t="s">
        <v>1090</v>
      </c>
      <c r="F103" s="4" t="s">
        <v>829</v>
      </c>
      <c r="G103" s="4"/>
      <c r="H103" s="4"/>
      <c r="I103" s="4" t="s">
        <v>587</v>
      </c>
    </row>
    <row r="104" ht="15.75" customHeight="1">
      <c r="A104" s="4" t="s">
        <v>1282</v>
      </c>
      <c r="B104" s="13">
        <v>46045.7329861111</v>
      </c>
      <c r="C104" s="4" t="s">
        <v>1283</v>
      </c>
      <c r="D104" s="4" t="s">
        <v>1086</v>
      </c>
      <c r="E104" s="4" t="s">
        <v>1064</v>
      </c>
      <c r="F104" s="4"/>
      <c r="G104" s="4"/>
      <c r="H104" s="4"/>
      <c r="I104" s="4" t="s">
        <v>1052</v>
      </c>
    </row>
    <row r="105" ht="15.75" customHeight="1">
      <c r="A105" s="4" t="s">
        <v>1284</v>
      </c>
      <c r="B105" s="13">
        <v>46114.4200115741</v>
      </c>
      <c r="C105" s="4" t="s">
        <v>1285</v>
      </c>
      <c r="D105" s="4" t="s">
        <v>1071</v>
      </c>
      <c r="E105" s="4" t="s">
        <v>1072</v>
      </c>
      <c r="F105" s="4"/>
      <c r="G105" s="4"/>
      <c r="H105" s="4"/>
      <c r="I105" s="4" t="s">
        <v>1046</v>
      </c>
    </row>
    <row r="106" ht="15.75" customHeight="1">
      <c r="A106" s="4" t="s">
        <v>1286</v>
      </c>
      <c r="B106" s="13">
        <v>46120.8237384259</v>
      </c>
      <c r="C106" s="4" t="s">
        <v>1287</v>
      </c>
      <c r="D106" s="4" t="s">
        <v>1163</v>
      </c>
      <c r="E106" s="4" t="s">
        <v>1119</v>
      </c>
      <c r="F106" s="4"/>
      <c r="G106" s="4"/>
      <c r="H106" s="4"/>
      <c r="I106" s="4" t="s">
        <v>1034</v>
      </c>
    </row>
    <row r="107" ht="15.75" customHeight="1">
      <c r="A107" s="4" t="s">
        <v>1288</v>
      </c>
      <c r="B107" s="13">
        <v>46121.6894907407</v>
      </c>
      <c r="C107" s="4" t="s">
        <v>1289</v>
      </c>
      <c r="D107" s="4" t="s">
        <v>1128</v>
      </c>
      <c r="E107" s="4" t="s">
        <v>1105</v>
      </c>
      <c r="F107" s="4" t="s">
        <v>79</v>
      </c>
      <c r="G107" s="4"/>
      <c r="H107" s="4"/>
      <c r="I107" s="4" t="s">
        <v>1046</v>
      </c>
    </row>
    <row r="108" ht="15.75" customHeight="1">
      <c r="A108" s="4" t="s">
        <v>1290</v>
      </c>
      <c r="B108" s="13">
        <v>46131.5110532407</v>
      </c>
      <c r="C108" s="4" t="s">
        <v>1291</v>
      </c>
      <c r="D108" s="4" t="s">
        <v>1128</v>
      </c>
      <c r="E108" s="4" t="s">
        <v>1105</v>
      </c>
      <c r="F108" s="4" t="s">
        <v>132</v>
      </c>
      <c r="G108" s="4"/>
      <c r="H108" s="4"/>
      <c r="I108" s="4" t="s">
        <v>1039</v>
      </c>
    </row>
    <row r="109" ht="15.75" customHeight="1">
      <c r="A109" s="4" t="s">
        <v>1292</v>
      </c>
      <c r="B109" s="13">
        <v>46114.6324074074</v>
      </c>
      <c r="C109" s="4" t="s">
        <v>1293</v>
      </c>
      <c r="D109" s="4" t="s">
        <v>1104</v>
      </c>
      <c r="E109" s="4" t="s">
        <v>1105</v>
      </c>
      <c r="F109" s="4" t="s">
        <v>221</v>
      </c>
      <c r="G109" s="4"/>
      <c r="H109" s="4"/>
      <c r="I109" s="4" t="s">
        <v>1048</v>
      </c>
    </row>
    <row r="110" ht="15.75" customHeight="1">
      <c r="A110" s="4" t="s">
        <v>1294</v>
      </c>
      <c r="B110" s="13">
        <v>46109.8580324074</v>
      </c>
      <c r="C110" s="4" t="s">
        <v>1295</v>
      </c>
      <c r="D110" s="4" t="s">
        <v>1093</v>
      </c>
      <c r="E110" s="4" t="s">
        <v>1064</v>
      </c>
      <c r="F110" s="4"/>
      <c r="G110" s="4"/>
      <c r="H110" s="4"/>
      <c r="I110" s="4" t="s">
        <v>1034</v>
      </c>
    </row>
    <row r="111" ht="15.75" customHeight="1">
      <c r="A111" s="4" t="s">
        <v>1296</v>
      </c>
      <c r="B111" s="13">
        <v>46096.8668518519</v>
      </c>
      <c r="C111" s="4" t="s">
        <v>1297</v>
      </c>
      <c r="D111" s="4" t="s">
        <v>1071</v>
      </c>
      <c r="E111" s="4" t="s">
        <v>1072</v>
      </c>
      <c r="F111" s="4"/>
      <c r="G111" s="4"/>
      <c r="H111" s="4"/>
      <c r="I111" s="4" t="s">
        <v>1035</v>
      </c>
    </row>
    <row r="112" ht="15.75" customHeight="1">
      <c r="A112" s="4" t="s">
        <v>1298</v>
      </c>
      <c r="B112" s="13">
        <v>46049.4433217593</v>
      </c>
      <c r="C112" s="4" t="s">
        <v>1299</v>
      </c>
      <c r="D112" s="4" t="s">
        <v>1089</v>
      </c>
      <c r="E112" s="4" t="s">
        <v>1105</v>
      </c>
      <c r="F112" s="4" t="s">
        <v>197</v>
      </c>
      <c r="G112" s="4"/>
      <c r="H112" s="4"/>
      <c r="I112" s="4" t="s">
        <v>1042</v>
      </c>
    </row>
    <row r="113" ht="15.75" customHeight="1">
      <c r="A113" s="4" t="s">
        <v>1300</v>
      </c>
      <c r="B113" s="13">
        <v>46085.6166782407</v>
      </c>
      <c r="C113" s="4" t="s">
        <v>1301</v>
      </c>
      <c r="D113" s="4" t="s">
        <v>1063</v>
      </c>
      <c r="E113" s="4" t="s">
        <v>1064</v>
      </c>
      <c r="F113" s="4"/>
      <c r="G113" s="4" t="s">
        <v>232</v>
      </c>
      <c r="H113" s="4"/>
      <c r="I113" s="4" t="s">
        <v>1046</v>
      </c>
    </row>
    <row r="114" ht="15.75" customHeight="1">
      <c r="A114" s="4" t="s">
        <v>1302</v>
      </c>
      <c r="B114" s="13">
        <v>46124.5290509259</v>
      </c>
      <c r="C114" s="4" t="s">
        <v>1303</v>
      </c>
      <c r="D114" s="4" t="s">
        <v>1071</v>
      </c>
      <c r="E114" s="4" t="s">
        <v>1119</v>
      </c>
      <c r="F114" s="4"/>
      <c r="G114" s="4"/>
      <c r="H114" s="4"/>
      <c r="I114" s="4" t="s">
        <v>1046</v>
      </c>
    </row>
    <row r="115" ht="15.75" customHeight="1">
      <c r="A115" s="4" t="s">
        <v>1304</v>
      </c>
      <c r="B115" s="13">
        <v>46085.8539930556</v>
      </c>
      <c r="C115" s="4" t="s">
        <v>1305</v>
      </c>
      <c r="D115" s="4" t="s">
        <v>1078</v>
      </c>
      <c r="E115" s="4" t="s">
        <v>1064</v>
      </c>
      <c r="F115" s="4"/>
      <c r="G115" s="4" t="s">
        <v>232</v>
      </c>
      <c r="H115" s="10">
        <v>87.7</v>
      </c>
      <c r="I115" s="4" t="s">
        <v>1042</v>
      </c>
    </row>
    <row r="116" ht="15.75" customHeight="1">
      <c r="A116" s="4" t="s">
        <v>1306</v>
      </c>
      <c r="B116" s="13">
        <v>46041.471099537</v>
      </c>
      <c r="C116" s="4" t="s">
        <v>1307</v>
      </c>
      <c r="D116" s="4" t="s">
        <v>1110</v>
      </c>
      <c r="E116" s="4" t="s">
        <v>1064</v>
      </c>
      <c r="F116" s="4"/>
      <c r="G116" s="4" t="s">
        <v>61</v>
      </c>
      <c r="H116" s="10">
        <v>44.56</v>
      </c>
      <c r="I116" s="4" t="s">
        <v>1050</v>
      </c>
    </row>
    <row r="117" ht="15.75" customHeight="1">
      <c r="A117" s="4" t="s">
        <v>1308</v>
      </c>
      <c r="B117" s="13">
        <v>46128.9604050926</v>
      </c>
      <c r="C117" s="4" t="s">
        <v>1309</v>
      </c>
      <c r="D117" s="4" t="s">
        <v>1063</v>
      </c>
      <c r="E117" s="4" t="s">
        <v>1064</v>
      </c>
      <c r="F117" s="4"/>
      <c r="G117" s="4" t="s">
        <v>84</v>
      </c>
      <c r="H117" s="4"/>
      <c r="I117" s="4" t="s">
        <v>1048</v>
      </c>
    </row>
    <row r="118" ht="15.75" customHeight="1">
      <c r="A118" s="4" t="s">
        <v>1310</v>
      </c>
      <c r="B118" s="13">
        <v>46024.4651273148</v>
      </c>
      <c r="C118" s="4" t="s">
        <v>1311</v>
      </c>
      <c r="D118" s="4" t="s">
        <v>1128</v>
      </c>
      <c r="E118" s="4" t="s">
        <v>1105</v>
      </c>
      <c r="F118" s="4" t="s">
        <v>238</v>
      </c>
      <c r="G118" s="4"/>
      <c r="H118" s="4"/>
      <c r="I118" s="4" t="s">
        <v>1034</v>
      </c>
    </row>
    <row r="119" ht="15.75" customHeight="1">
      <c r="A119" s="4" t="s">
        <v>1312</v>
      </c>
      <c r="B119" s="13">
        <v>46080.8485069444</v>
      </c>
      <c r="C119" s="4" t="s">
        <v>1313</v>
      </c>
      <c r="D119" s="4" t="s">
        <v>1089</v>
      </c>
      <c r="E119" s="4" t="s">
        <v>1105</v>
      </c>
      <c r="F119" s="4" t="s">
        <v>79</v>
      </c>
      <c r="G119" s="4"/>
      <c r="H119" s="4"/>
      <c r="I119" s="4" t="s">
        <v>1035</v>
      </c>
    </row>
    <row r="120" ht="15.75" customHeight="1">
      <c r="A120" s="4" t="s">
        <v>1314</v>
      </c>
      <c r="B120" s="13">
        <v>46097.4975462963</v>
      </c>
      <c r="C120" s="4" t="s">
        <v>1315</v>
      </c>
      <c r="D120" s="4" t="s">
        <v>1163</v>
      </c>
      <c r="E120" s="4" t="s">
        <v>1119</v>
      </c>
      <c r="F120" s="4"/>
      <c r="G120" s="4"/>
      <c r="H120" s="4"/>
      <c r="I120" s="4" t="s">
        <v>1048</v>
      </c>
    </row>
    <row r="121" ht="15.75" customHeight="1">
      <c r="A121" s="4" t="s">
        <v>1316</v>
      </c>
      <c r="B121" s="13">
        <v>46118.423599537</v>
      </c>
      <c r="C121" s="4" t="s">
        <v>1317</v>
      </c>
      <c r="D121" s="4" t="s">
        <v>1086</v>
      </c>
      <c r="E121" s="4" t="s">
        <v>1064</v>
      </c>
      <c r="F121" s="4"/>
      <c r="G121" s="4"/>
      <c r="H121" s="4"/>
      <c r="I121" s="4" t="s">
        <v>1039</v>
      </c>
    </row>
    <row r="122" ht="15.75" customHeight="1">
      <c r="A122" s="4" t="s">
        <v>1318</v>
      </c>
      <c r="B122" s="13">
        <v>46104.6730208333</v>
      </c>
      <c r="C122" s="4" t="s">
        <v>1319</v>
      </c>
      <c r="D122" s="4" t="s">
        <v>1086</v>
      </c>
      <c r="E122" s="4" t="s">
        <v>1064</v>
      </c>
      <c r="F122" s="4"/>
      <c r="G122" s="4"/>
      <c r="H122" s="4"/>
      <c r="I122" s="4" t="s">
        <v>1031</v>
      </c>
    </row>
    <row r="123" ht="15.75" customHeight="1">
      <c r="A123" s="4" t="s">
        <v>1320</v>
      </c>
      <c r="B123" s="13">
        <v>46028.3881944444</v>
      </c>
      <c r="C123" s="4" t="s">
        <v>1321</v>
      </c>
      <c r="D123" s="4" t="s">
        <v>1110</v>
      </c>
      <c r="E123" s="4" t="s">
        <v>1064</v>
      </c>
      <c r="F123" s="4"/>
      <c r="G123" s="4" t="s">
        <v>61</v>
      </c>
      <c r="H123" s="10">
        <v>197.49</v>
      </c>
      <c r="I123" s="4" t="s">
        <v>427</v>
      </c>
    </row>
    <row r="124" ht="15.75" customHeight="1">
      <c r="A124" s="4" t="s">
        <v>1322</v>
      </c>
      <c r="B124" s="13">
        <v>46093.7070949074</v>
      </c>
      <c r="C124" s="4" t="s">
        <v>1323</v>
      </c>
      <c r="D124" s="4" t="s">
        <v>1075</v>
      </c>
      <c r="E124" s="4" t="s">
        <v>1064</v>
      </c>
      <c r="F124" s="4"/>
      <c r="G124" s="4"/>
      <c r="H124" s="4"/>
      <c r="I124" s="4" t="s">
        <v>1039</v>
      </c>
    </row>
    <row r="125" ht="15.75" customHeight="1">
      <c r="A125" s="4" t="s">
        <v>1324</v>
      </c>
      <c r="B125" s="13">
        <v>46123.426724537</v>
      </c>
      <c r="C125" s="4" t="s">
        <v>1325</v>
      </c>
      <c r="D125" s="4" t="s">
        <v>1093</v>
      </c>
      <c r="E125" s="4" t="s">
        <v>1064</v>
      </c>
      <c r="F125" s="4"/>
      <c r="G125" s="4"/>
      <c r="H125" s="4"/>
      <c r="I125" s="4" t="s">
        <v>1046</v>
      </c>
    </row>
    <row r="126" ht="15.75" customHeight="1">
      <c r="A126" s="4" t="s">
        <v>1326</v>
      </c>
      <c r="B126" s="13">
        <v>46101.8295138889</v>
      </c>
      <c r="C126" s="4" t="s">
        <v>1327</v>
      </c>
      <c r="D126" s="4" t="s">
        <v>1063</v>
      </c>
      <c r="E126" s="4" t="s">
        <v>1064</v>
      </c>
      <c r="F126" s="4"/>
      <c r="G126" s="4" t="s">
        <v>93</v>
      </c>
      <c r="H126" s="4"/>
      <c r="I126" s="4" t="s">
        <v>1028</v>
      </c>
    </row>
    <row r="127" ht="15.75" customHeight="1">
      <c r="A127" s="4" t="s">
        <v>1328</v>
      </c>
      <c r="B127" s="13">
        <v>46064.5296643519</v>
      </c>
      <c r="C127" s="4" t="s">
        <v>1329</v>
      </c>
      <c r="D127" s="4" t="s">
        <v>1081</v>
      </c>
      <c r="E127" s="4" t="s">
        <v>1064</v>
      </c>
      <c r="F127" s="4"/>
      <c r="G127" s="4"/>
      <c r="H127" s="4"/>
      <c r="I127" s="4" t="s">
        <v>1036</v>
      </c>
    </row>
    <row r="128" ht="15.75" customHeight="1">
      <c r="A128" s="4" t="s">
        <v>1330</v>
      </c>
      <c r="B128" s="13">
        <v>46051.3524305556</v>
      </c>
      <c r="C128" s="4" t="s">
        <v>1331</v>
      </c>
      <c r="D128" s="4" t="s">
        <v>1110</v>
      </c>
      <c r="E128" s="4" t="s">
        <v>1064</v>
      </c>
      <c r="F128" s="4"/>
      <c r="G128" s="4" t="s">
        <v>137</v>
      </c>
      <c r="H128" s="10">
        <v>234.23</v>
      </c>
      <c r="I128" s="4" t="s">
        <v>1031</v>
      </c>
    </row>
    <row r="129" ht="15.75" customHeight="1">
      <c r="A129" s="4" t="s">
        <v>1332</v>
      </c>
      <c r="B129" s="13">
        <v>46098.7443865741</v>
      </c>
      <c r="C129" s="4" t="s">
        <v>1333</v>
      </c>
      <c r="D129" s="4" t="s">
        <v>1089</v>
      </c>
      <c r="E129" s="4" t="s">
        <v>1105</v>
      </c>
      <c r="F129" s="4" t="s">
        <v>153</v>
      </c>
      <c r="G129" s="4"/>
      <c r="H129" s="4"/>
      <c r="I129" s="4" t="s">
        <v>1052</v>
      </c>
    </row>
    <row r="130" ht="15.75" customHeight="1">
      <c r="A130" s="4" t="s">
        <v>1334</v>
      </c>
      <c r="B130" s="13">
        <v>46042.4892824074</v>
      </c>
      <c r="C130" s="4" t="s">
        <v>1335</v>
      </c>
      <c r="D130" s="4" t="s">
        <v>1093</v>
      </c>
      <c r="E130" s="4" t="s">
        <v>1064</v>
      </c>
      <c r="F130" s="4"/>
      <c r="G130" s="4"/>
      <c r="H130" s="4"/>
      <c r="I130" s="4" t="s">
        <v>1031</v>
      </c>
    </row>
    <row r="131" ht="15.75" customHeight="1">
      <c r="A131" s="4" t="s">
        <v>1336</v>
      </c>
      <c r="B131" s="13">
        <v>46065.7119791667</v>
      </c>
      <c r="C131" s="4" t="s">
        <v>1337</v>
      </c>
      <c r="D131" s="4" t="s">
        <v>1071</v>
      </c>
      <c r="E131" s="4" t="s">
        <v>1119</v>
      </c>
      <c r="F131" s="4"/>
      <c r="G131" s="4"/>
      <c r="H131" s="4"/>
      <c r="I131" s="4" t="s">
        <v>1042</v>
      </c>
    </row>
    <row r="132" ht="15.75" customHeight="1">
      <c r="A132" s="4" t="s">
        <v>1338</v>
      </c>
      <c r="B132" s="13">
        <v>46074.8815509259</v>
      </c>
      <c r="C132" s="4" t="s">
        <v>1339</v>
      </c>
      <c r="D132" s="4" t="s">
        <v>1075</v>
      </c>
      <c r="E132" s="4" t="s">
        <v>1064</v>
      </c>
      <c r="F132" s="4"/>
      <c r="G132" s="4"/>
      <c r="H132" s="4"/>
      <c r="I132" s="4" t="s">
        <v>1050</v>
      </c>
    </row>
    <row r="133" ht="15.75" customHeight="1">
      <c r="A133" s="4" t="s">
        <v>1340</v>
      </c>
      <c r="B133" s="13">
        <v>46085.9995949074</v>
      </c>
      <c r="C133" s="4" t="s">
        <v>1341</v>
      </c>
      <c r="D133" s="4" t="s">
        <v>1110</v>
      </c>
      <c r="E133" s="4" t="s">
        <v>1064</v>
      </c>
      <c r="F133" s="4"/>
      <c r="G133" s="4" t="s">
        <v>126</v>
      </c>
      <c r="H133" s="10">
        <v>88.73</v>
      </c>
      <c r="I133" s="4" t="s">
        <v>1036</v>
      </c>
    </row>
    <row r="134" ht="15.75" customHeight="1">
      <c r="A134" s="4" t="s">
        <v>1342</v>
      </c>
      <c r="B134" s="13">
        <v>46066.568287037</v>
      </c>
      <c r="C134" s="4" t="s">
        <v>1343</v>
      </c>
      <c r="D134" s="4" t="s">
        <v>1128</v>
      </c>
      <c r="E134" s="4" t="s">
        <v>1105</v>
      </c>
      <c r="F134" s="4" t="s">
        <v>294</v>
      </c>
      <c r="G134" s="4"/>
      <c r="H134" s="4"/>
      <c r="I134" s="4" t="s">
        <v>1042</v>
      </c>
    </row>
    <row r="135" ht="15.75" customHeight="1">
      <c r="A135" s="4" t="s">
        <v>1344</v>
      </c>
      <c r="B135" s="13">
        <v>46092.8971875</v>
      </c>
      <c r="C135" s="4" t="s">
        <v>1345</v>
      </c>
      <c r="D135" s="4" t="s">
        <v>1128</v>
      </c>
      <c r="E135" s="4" t="s">
        <v>1105</v>
      </c>
      <c r="F135" s="4" t="s">
        <v>115</v>
      </c>
      <c r="G135" s="4"/>
      <c r="H135" s="4"/>
      <c r="I135" s="4" t="s">
        <v>1050</v>
      </c>
    </row>
    <row r="136" ht="15.75" customHeight="1">
      <c r="A136" s="4" t="s">
        <v>1346</v>
      </c>
      <c r="B136" s="13">
        <v>46109.82125</v>
      </c>
      <c r="C136" s="4" t="s">
        <v>1347</v>
      </c>
      <c r="D136" s="4" t="s">
        <v>1063</v>
      </c>
      <c r="E136" s="4" t="s">
        <v>1064</v>
      </c>
      <c r="F136" s="4"/>
      <c r="G136" s="4" t="s">
        <v>190</v>
      </c>
      <c r="H136" s="4"/>
      <c r="I136" s="4" t="s">
        <v>1042</v>
      </c>
    </row>
    <row r="137" ht="15.75" customHeight="1">
      <c r="A137" s="4" t="s">
        <v>1348</v>
      </c>
      <c r="B137" s="13">
        <v>46033.4020833333</v>
      </c>
      <c r="C137" s="4" t="s">
        <v>1349</v>
      </c>
      <c r="D137" s="4" t="s">
        <v>1071</v>
      </c>
      <c r="E137" s="4" t="s">
        <v>1119</v>
      </c>
      <c r="F137" s="4"/>
      <c r="G137" s="4"/>
      <c r="H137" s="4"/>
      <c r="I137" s="4" t="s">
        <v>1030</v>
      </c>
    </row>
    <row r="138" ht="15.75" customHeight="1">
      <c r="A138" s="4" t="s">
        <v>1350</v>
      </c>
      <c r="B138" s="13">
        <v>46098.7360300926</v>
      </c>
      <c r="C138" s="4" t="s">
        <v>1351</v>
      </c>
      <c r="D138" s="4" t="s">
        <v>1078</v>
      </c>
      <c r="E138" s="4" t="s">
        <v>1064</v>
      </c>
      <c r="F138" s="4"/>
      <c r="G138" s="4" t="s">
        <v>232</v>
      </c>
      <c r="H138" s="10">
        <v>32.26</v>
      </c>
      <c r="I138" s="4" t="s">
        <v>1036</v>
      </c>
    </row>
    <row r="139" ht="15.75" customHeight="1">
      <c r="A139" s="4" t="s">
        <v>1352</v>
      </c>
      <c r="B139" s="13">
        <v>46043.4803009259</v>
      </c>
      <c r="C139" s="4" t="s">
        <v>1353</v>
      </c>
      <c r="D139" s="4" t="s">
        <v>1078</v>
      </c>
      <c r="E139" s="4" t="s">
        <v>1064</v>
      </c>
      <c r="F139" s="4"/>
      <c r="G139" s="4" t="s">
        <v>93</v>
      </c>
      <c r="H139" s="10">
        <v>127.07</v>
      </c>
      <c r="I139" s="4" t="s">
        <v>1039</v>
      </c>
    </row>
    <row r="140" ht="15.75" customHeight="1">
      <c r="A140" s="4" t="s">
        <v>1354</v>
      </c>
      <c r="B140" s="13">
        <v>46126.9323148148</v>
      </c>
      <c r="C140" s="4" t="s">
        <v>1355</v>
      </c>
      <c r="D140" s="4" t="s">
        <v>1093</v>
      </c>
      <c r="E140" s="4" t="s">
        <v>1064</v>
      </c>
      <c r="F140" s="4"/>
      <c r="G140" s="4"/>
      <c r="H140" s="4"/>
      <c r="I140" s="4" t="s">
        <v>1031</v>
      </c>
    </row>
    <row r="141" ht="15.75" customHeight="1">
      <c r="A141" s="4" t="s">
        <v>1356</v>
      </c>
      <c r="B141" s="13">
        <v>46126.6603472222</v>
      </c>
      <c r="C141" s="4" t="s">
        <v>1357</v>
      </c>
      <c r="D141" s="4" t="s">
        <v>1075</v>
      </c>
      <c r="E141" s="4" t="s">
        <v>1064</v>
      </c>
      <c r="F141" s="4"/>
      <c r="G141" s="4"/>
      <c r="H141" s="4"/>
      <c r="I141" s="4" t="s">
        <v>427</v>
      </c>
    </row>
    <row r="142" ht="15.75" customHeight="1">
      <c r="A142" s="4" t="s">
        <v>1358</v>
      </c>
      <c r="B142" s="13">
        <v>46042.3785069444</v>
      </c>
      <c r="C142" s="4" t="s">
        <v>1359</v>
      </c>
      <c r="D142" s="4" t="s">
        <v>1086</v>
      </c>
      <c r="E142" s="4" t="s">
        <v>1064</v>
      </c>
      <c r="F142" s="4"/>
      <c r="G142" s="4"/>
      <c r="H142" s="4"/>
      <c r="I142" s="4" t="s">
        <v>427</v>
      </c>
    </row>
    <row r="143" ht="15.75" customHeight="1">
      <c r="A143" s="4" t="s">
        <v>1360</v>
      </c>
      <c r="B143" s="13">
        <v>46115.4297337963</v>
      </c>
      <c r="C143" s="4" t="s">
        <v>1361</v>
      </c>
      <c r="D143" s="4" t="s">
        <v>1128</v>
      </c>
      <c r="E143" s="4" t="s">
        <v>1105</v>
      </c>
      <c r="F143" s="4" t="s">
        <v>209</v>
      </c>
      <c r="G143" s="4"/>
      <c r="H143" s="4"/>
      <c r="I143" s="4" t="s">
        <v>1030</v>
      </c>
    </row>
    <row r="144" ht="15.75" customHeight="1">
      <c r="A144" s="4" t="s">
        <v>1362</v>
      </c>
      <c r="B144" s="13">
        <v>46108.7498263889</v>
      </c>
      <c r="C144" s="4" t="s">
        <v>1363</v>
      </c>
      <c r="D144" s="4" t="s">
        <v>1081</v>
      </c>
      <c r="E144" s="4" t="s">
        <v>1064</v>
      </c>
      <c r="F144" s="4"/>
      <c r="G144" s="4"/>
      <c r="H144" s="4"/>
      <c r="I144" s="4" t="s">
        <v>427</v>
      </c>
    </row>
    <row r="145" ht="15.75" customHeight="1">
      <c r="A145" s="4" t="s">
        <v>1364</v>
      </c>
      <c r="B145" s="13">
        <v>46047.7944791667</v>
      </c>
      <c r="C145" s="4" t="s">
        <v>1365</v>
      </c>
      <c r="D145" s="4" t="s">
        <v>1075</v>
      </c>
      <c r="E145" s="4" t="s">
        <v>1064</v>
      </c>
      <c r="F145" s="4"/>
      <c r="G145" s="4"/>
      <c r="H145" s="4"/>
      <c r="I145" s="4" t="s">
        <v>1046</v>
      </c>
    </row>
    <row r="146" ht="15.75" customHeight="1">
      <c r="A146" s="4" t="s">
        <v>1366</v>
      </c>
      <c r="B146" s="13">
        <v>46107.8685763889</v>
      </c>
      <c r="C146" s="4" t="s">
        <v>1367</v>
      </c>
      <c r="D146" s="4" t="s">
        <v>1093</v>
      </c>
      <c r="E146" s="4" t="s">
        <v>1064</v>
      </c>
      <c r="F146" s="4"/>
      <c r="G146" s="4"/>
      <c r="H146" s="4"/>
      <c r="I146" s="4" t="s">
        <v>1039</v>
      </c>
    </row>
    <row r="147" ht="15.75" customHeight="1">
      <c r="A147" s="4" t="s">
        <v>1368</v>
      </c>
      <c r="B147" s="13">
        <v>46107.7908333333</v>
      </c>
      <c r="C147" s="4" t="s">
        <v>1369</v>
      </c>
      <c r="D147" s="4" t="s">
        <v>1075</v>
      </c>
      <c r="E147" s="4" t="s">
        <v>1064</v>
      </c>
      <c r="F147" s="4"/>
      <c r="G147" s="4"/>
      <c r="H147" s="4"/>
      <c r="I147" s="4" t="s">
        <v>1031</v>
      </c>
    </row>
    <row r="148" ht="15.75" customHeight="1">
      <c r="A148" s="4" t="s">
        <v>1370</v>
      </c>
      <c r="B148" s="13">
        <v>46085.7562731481</v>
      </c>
      <c r="C148" s="4" t="s">
        <v>1371</v>
      </c>
      <c r="D148" s="4" t="s">
        <v>1104</v>
      </c>
      <c r="E148" s="4" t="s">
        <v>1090</v>
      </c>
      <c r="F148" s="4" t="s">
        <v>833</v>
      </c>
      <c r="G148" s="4"/>
      <c r="H148" s="4"/>
      <c r="I148" s="4" t="s">
        <v>1052</v>
      </c>
    </row>
    <row r="149" ht="15.75" customHeight="1">
      <c r="A149" s="4" t="s">
        <v>1372</v>
      </c>
      <c r="B149" s="13">
        <v>46046.8769560185</v>
      </c>
      <c r="C149" s="4" t="s">
        <v>1373</v>
      </c>
      <c r="D149" s="4" t="s">
        <v>1086</v>
      </c>
      <c r="E149" s="4" t="s">
        <v>1064</v>
      </c>
      <c r="F149" s="4"/>
      <c r="G149" s="4"/>
      <c r="H149" s="4"/>
      <c r="I149" s="4" t="s">
        <v>1036</v>
      </c>
    </row>
    <row r="150" ht="15.75" customHeight="1">
      <c r="A150" s="4" t="s">
        <v>1374</v>
      </c>
      <c r="B150" s="13">
        <v>46066.3378472222</v>
      </c>
      <c r="C150" s="4" t="s">
        <v>1375</v>
      </c>
      <c r="D150" s="4" t="s">
        <v>1063</v>
      </c>
      <c r="E150" s="4" t="s">
        <v>1064</v>
      </c>
      <c r="F150" s="4"/>
      <c r="G150" s="4" t="s">
        <v>244</v>
      </c>
      <c r="H150" s="4"/>
      <c r="I150" s="4" t="s">
        <v>1050</v>
      </c>
    </row>
    <row r="151" ht="15.75" customHeight="1">
      <c r="A151" s="4" t="s">
        <v>1376</v>
      </c>
      <c r="B151" s="13">
        <v>46073.602650463</v>
      </c>
      <c r="C151" s="4" t="s">
        <v>1377</v>
      </c>
      <c r="D151" s="4" t="s">
        <v>1163</v>
      </c>
      <c r="E151" s="4" t="s">
        <v>1119</v>
      </c>
      <c r="F151" s="4"/>
      <c r="G151" s="4"/>
      <c r="H151" s="4"/>
      <c r="I151" s="4" t="s">
        <v>1048</v>
      </c>
    </row>
    <row r="152" ht="15.75" customHeight="1">
      <c r="A152" s="4" t="s">
        <v>1378</v>
      </c>
      <c r="B152" s="13">
        <v>46028.7229282407</v>
      </c>
      <c r="C152" s="4" t="s">
        <v>1379</v>
      </c>
      <c r="D152" s="4" t="s">
        <v>1093</v>
      </c>
      <c r="E152" s="4" t="s">
        <v>1064</v>
      </c>
      <c r="F152" s="4"/>
      <c r="G152" s="4"/>
      <c r="H152" s="4"/>
      <c r="I152" s="4" t="s">
        <v>587</v>
      </c>
    </row>
    <row r="153" ht="15.75" customHeight="1">
      <c r="A153" s="4" t="s">
        <v>1380</v>
      </c>
      <c r="B153" s="13">
        <v>46082.6662037037</v>
      </c>
      <c r="C153" s="4" t="s">
        <v>1381</v>
      </c>
      <c r="D153" s="4" t="s">
        <v>1075</v>
      </c>
      <c r="E153" s="4" t="s">
        <v>1064</v>
      </c>
      <c r="F153" s="4"/>
      <c r="G153" s="4"/>
      <c r="H153" s="4"/>
      <c r="I153" s="4" t="s">
        <v>1028</v>
      </c>
    </row>
    <row r="154" ht="15.75" customHeight="1">
      <c r="A154" s="4" t="s">
        <v>1382</v>
      </c>
      <c r="B154" s="13">
        <v>46127.6548263889</v>
      </c>
      <c r="C154" s="4" t="s">
        <v>1383</v>
      </c>
      <c r="D154" s="4" t="s">
        <v>1089</v>
      </c>
      <c r="E154" s="4" t="s">
        <v>1105</v>
      </c>
      <c r="F154" s="4" t="s">
        <v>71</v>
      </c>
      <c r="G154" s="4"/>
      <c r="H154" s="4"/>
      <c r="I154" s="4" t="s">
        <v>1052</v>
      </c>
    </row>
    <row r="155" ht="15.75" customHeight="1">
      <c r="A155" s="4" t="s">
        <v>1384</v>
      </c>
      <c r="B155" s="13">
        <v>46053.8336458333</v>
      </c>
      <c r="C155" s="4" t="s">
        <v>1385</v>
      </c>
      <c r="D155" s="4" t="s">
        <v>1093</v>
      </c>
      <c r="E155" s="4" t="s">
        <v>1064</v>
      </c>
      <c r="F155" s="4"/>
      <c r="G155" s="4"/>
      <c r="H155" s="4"/>
      <c r="I155" s="4" t="s">
        <v>587</v>
      </c>
    </row>
    <row r="156" ht="15.75" customHeight="1">
      <c r="A156" s="4" t="s">
        <v>1386</v>
      </c>
      <c r="B156" s="13">
        <v>46076.3561921296</v>
      </c>
      <c r="C156" s="4" t="s">
        <v>1387</v>
      </c>
      <c r="D156" s="4" t="s">
        <v>1163</v>
      </c>
      <c r="E156" s="4" t="s">
        <v>1119</v>
      </c>
      <c r="F156" s="4"/>
      <c r="G156" s="4"/>
      <c r="H156" s="4"/>
      <c r="I156" s="4" t="s">
        <v>1052</v>
      </c>
    </row>
    <row r="157" ht="15.75" customHeight="1">
      <c r="A157" s="4" t="s">
        <v>1388</v>
      </c>
      <c r="B157" s="13">
        <v>46107.7424421296</v>
      </c>
      <c r="C157" s="4" t="s">
        <v>1389</v>
      </c>
      <c r="D157" s="4" t="s">
        <v>1163</v>
      </c>
      <c r="E157" s="4" t="s">
        <v>1072</v>
      </c>
      <c r="F157" s="4"/>
      <c r="G157" s="4"/>
      <c r="H157" s="4"/>
      <c r="I157" s="4" t="s">
        <v>1028</v>
      </c>
    </row>
    <row r="158" ht="15.75" customHeight="1">
      <c r="A158" s="4" t="s">
        <v>1390</v>
      </c>
      <c r="B158" s="13">
        <v>46024.8787152778</v>
      </c>
      <c r="C158" s="4" t="s">
        <v>1391</v>
      </c>
      <c r="D158" s="4" t="s">
        <v>1110</v>
      </c>
      <c r="E158" s="4" t="s">
        <v>1064</v>
      </c>
      <c r="F158" s="4"/>
      <c r="G158" s="4" t="s">
        <v>107</v>
      </c>
      <c r="H158" s="10">
        <v>63.83</v>
      </c>
      <c r="I158" s="4" t="s">
        <v>1050</v>
      </c>
    </row>
    <row r="159" ht="15.75" customHeight="1">
      <c r="A159" s="4" t="s">
        <v>1392</v>
      </c>
      <c r="B159" s="13">
        <v>46055.8826041667</v>
      </c>
      <c r="C159" s="4" t="s">
        <v>1393</v>
      </c>
      <c r="D159" s="4" t="s">
        <v>1081</v>
      </c>
      <c r="E159" s="4" t="s">
        <v>1064</v>
      </c>
      <c r="F159" s="4"/>
      <c r="G159" s="4"/>
      <c r="H159" s="4"/>
      <c r="I159" s="4" t="s">
        <v>1030</v>
      </c>
    </row>
    <row r="160" ht="15.75" customHeight="1">
      <c r="A160" s="4" t="s">
        <v>1394</v>
      </c>
      <c r="B160" s="13">
        <v>46062.4195486111</v>
      </c>
      <c r="C160" s="4" t="s">
        <v>1395</v>
      </c>
      <c r="D160" s="4" t="s">
        <v>1078</v>
      </c>
      <c r="E160" s="4" t="s">
        <v>1064</v>
      </c>
      <c r="F160" s="4"/>
      <c r="G160" s="4" t="s">
        <v>107</v>
      </c>
      <c r="H160" s="10">
        <v>174.49</v>
      </c>
      <c r="I160" s="4" t="s">
        <v>1030</v>
      </c>
    </row>
    <row r="161" ht="15.75" customHeight="1">
      <c r="A161" s="4" t="s">
        <v>1396</v>
      </c>
      <c r="B161" s="13">
        <v>46066.4811226852</v>
      </c>
      <c r="C161" s="4" t="s">
        <v>1397</v>
      </c>
      <c r="D161" s="4" t="s">
        <v>1093</v>
      </c>
      <c r="E161" s="4" t="s">
        <v>1064</v>
      </c>
      <c r="F161" s="4"/>
      <c r="G161" s="4"/>
      <c r="H161" s="4"/>
      <c r="I161" s="4" t="s">
        <v>1028</v>
      </c>
    </row>
    <row r="162" ht="15.75" customHeight="1">
      <c r="A162" s="4" t="s">
        <v>1398</v>
      </c>
      <c r="B162" s="13">
        <v>46058.4325231482</v>
      </c>
      <c r="C162" s="4" t="s">
        <v>1399</v>
      </c>
      <c r="D162" s="4" t="s">
        <v>1071</v>
      </c>
      <c r="E162" s="4" t="s">
        <v>1072</v>
      </c>
      <c r="F162" s="4"/>
      <c r="G162" s="4"/>
      <c r="H162" s="4"/>
      <c r="I162" s="4" t="s">
        <v>1050</v>
      </c>
    </row>
    <row r="163" ht="15.75" customHeight="1">
      <c r="A163" s="4" t="s">
        <v>1400</v>
      </c>
      <c r="B163" s="13">
        <v>46025.4195601852</v>
      </c>
      <c r="C163" s="4" t="s">
        <v>1401</v>
      </c>
      <c r="D163" s="4" t="s">
        <v>1086</v>
      </c>
      <c r="E163" s="4" t="s">
        <v>1064</v>
      </c>
      <c r="F163" s="4"/>
      <c r="G163" s="4"/>
      <c r="H163" s="4"/>
      <c r="I163" s="4" t="s">
        <v>1039</v>
      </c>
    </row>
    <row r="164" ht="15.75" customHeight="1">
      <c r="A164" s="4" t="s">
        <v>1402</v>
      </c>
      <c r="B164" s="13">
        <v>46047.9998611111</v>
      </c>
      <c r="C164" s="4" t="s">
        <v>1403</v>
      </c>
      <c r="D164" s="4" t="s">
        <v>1163</v>
      </c>
      <c r="E164" s="4" t="s">
        <v>1119</v>
      </c>
      <c r="F164" s="4"/>
      <c r="G164" s="4"/>
      <c r="H164" s="4"/>
      <c r="I164" s="4" t="s">
        <v>1030</v>
      </c>
    </row>
    <row r="165" ht="15.75" customHeight="1">
      <c r="A165" s="4" t="s">
        <v>1404</v>
      </c>
      <c r="B165" s="13">
        <v>46122.8424768519</v>
      </c>
      <c r="C165" s="4" t="s">
        <v>1405</v>
      </c>
      <c r="D165" s="4" t="s">
        <v>1163</v>
      </c>
      <c r="E165" s="4" t="s">
        <v>1119</v>
      </c>
      <c r="F165" s="4"/>
      <c r="G165" s="4"/>
      <c r="H165" s="4"/>
      <c r="I165" s="4" t="s">
        <v>1039</v>
      </c>
    </row>
    <row r="166" ht="15.75" customHeight="1">
      <c r="A166" s="4" t="s">
        <v>1406</v>
      </c>
      <c r="B166" s="13">
        <v>46118.6622916667</v>
      </c>
      <c r="C166" s="4" t="s">
        <v>1407</v>
      </c>
      <c r="D166" s="4" t="s">
        <v>1104</v>
      </c>
      <c r="E166" s="4" t="s">
        <v>1105</v>
      </c>
      <c r="F166" s="4" t="s">
        <v>197</v>
      </c>
      <c r="G166" s="4"/>
      <c r="H166" s="4"/>
      <c r="I166" s="4" t="s">
        <v>1052</v>
      </c>
    </row>
    <row r="167" ht="15.75" customHeight="1">
      <c r="A167" s="4" t="s">
        <v>1408</v>
      </c>
      <c r="B167" s="13">
        <v>46027.925</v>
      </c>
      <c r="C167" s="4" t="s">
        <v>1409</v>
      </c>
      <c r="D167" s="4" t="s">
        <v>1089</v>
      </c>
      <c r="E167" s="4" t="s">
        <v>1090</v>
      </c>
      <c r="F167" s="4" t="s">
        <v>800</v>
      </c>
      <c r="G167" s="4"/>
      <c r="H167" s="4"/>
      <c r="I167" s="4" t="s">
        <v>1039</v>
      </c>
    </row>
    <row r="168" ht="15.75" customHeight="1">
      <c r="A168" s="4" t="s">
        <v>1410</v>
      </c>
      <c r="B168" s="13">
        <v>46063.9202314815</v>
      </c>
      <c r="C168" s="4" t="s">
        <v>1411</v>
      </c>
      <c r="D168" s="4" t="s">
        <v>1089</v>
      </c>
      <c r="E168" s="4" t="s">
        <v>1105</v>
      </c>
      <c r="F168" s="4" t="s">
        <v>115</v>
      </c>
      <c r="G168" s="4"/>
      <c r="H168" s="4"/>
      <c r="I168" s="4" t="s">
        <v>1046</v>
      </c>
    </row>
    <row r="169" ht="15.75" customHeight="1">
      <c r="A169" s="4" t="s">
        <v>1412</v>
      </c>
      <c r="B169" s="13">
        <v>46093.7553125</v>
      </c>
      <c r="C169" s="4" t="s">
        <v>1413</v>
      </c>
      <c r="D169" s="4" t="s">
        <v>1093</v>
      </c>
      <c r="E169" s="4" t="s">
        <v>1064</v>
      </c>
      <c r="F169" s="4"/>
      <c r="G169" s="4"/>
      <c r="H169" s="4"/>
      <c r="I169" s="4" t="s">
        <v>587</v>
      </c>
    </row>
    <row r="170" ht="15.75" customHeight="1">
      <c r="A170" s="4" t="s">
        <v>1414</v>
      </c>
      <c r="B170" s="13">
        <v>46060.4125694444</v>
      </c>
      <c r="C170" s="4" t="s">
        <v>1415</v>
      </c>
      <c r="D170" s="4" t="s">
        <v>1075</v>
      </c>
      <c r="E170" s="4" t="s">
        <v>1064</v>
      </c>
      <c r="F170" s="4"/>
      <c r="G170" s="4"/>
      <c r="H170" s="4"/>
      <c r="I170" s="4" t="s">
        <v>1050</v>
      </c>
    </row>
    <row r="171" ht="15.75" customHeight="1">
      <c r="A171" s="4" t="s">
        <v>1416</v>
      </c>
      <c r="B171" s="13">
        <v>46042.681875</v>
      </c>
      <c r="C171" s="4" t="s">
        <v>1417</v>
      </c>
      <c r="D171" s="4" t="s">
        <v>1075</v>
      </c>
      <c r="E171" s="4" t="s">
        <v>1064</v>
      </c>
      <c r="F171" s="4"/>
      <c r="G171" s="4"/>
      <c r="H171" s="4"/>
      <c r="I171" s="4" t="s">
        <v>1030</v>
      </c>
    </row>
    <row r="172" ht="15.75" customHeight="1">
      <c r="A172" s="4" t="s">
        <v>1418</v>
      </c>
      <c r="B172" s="13">
        <v>46062.726400463</v>
      </c>
      <c r="C172" s="4" t="s">
        <v>1419</v>
      </c>
      <c r="D172" s="4" t="s">
        <v>1093</v>
      </c>
      <c r="E172" s="4" t="s">
        <v>1064</v>
      </c>
      <c r="F172" s="4"/>
      <c r="G172" s="4"/>
      <c r="H172" s="4"/>
      <c r="I172" s="4" t="s">
        <v>1030</v>
      </c>
    </row>
    <row r="173" ht="15.75" customHeight="1">
      <c r="A173" s="4" t="s">
        <v>1420</v>
      </c>
      <c r="B173" s="13">
        <v>46090.4743865741</v>
      </c>
      <c r="C173" s="4" t="s">
        <v>1421</v>
      </c>
      <c r="D173" s="4" t="s">
        <v>1128</v>
      </c>
      <c r="E173" s="4" t="s">
        <v>1090</v>
      </c>
      <c r="F173" s="4" t="s">
        <v>784</v>
      </c>
      <c r="G173" s="4"/>
      <c r="H173" s="4"/>
      <c r="I173" s="4" t="s">
        <v>1036</v>
      </c>
    </row>
    <row r="174" ht="15.75" customHeight="1">
      <c r="A174" s="4" t="s">
        <v>1422</v>
      </c>
      <c r="B174" s="13">
        <v>46097.4264236111</v>
      </c>
      <c r="C174" s="4" t="s">
        <v>1423</v>
      </c>
      <c r="D174" s="4" t="s">
        <v>1110</v>
      </c>
      <c r="E174" s="4" t="s">
        <v>1064</v>
      </c>
      <c r="F174" s="4"/>
      <c r="G174" s="4" t="s">
        <v>227</v>
      </c>
      <c r="H174" s="10">
        <v>200.05</v>
      </c>
      <c r="I174" s="4" t="s">
        <v>1048</v>
      </c>
    </row>
    <row r="175" ht="15.75" customHeight="1">
      <c r="A175" s="4" t="s">
        <v>1424</v>
      </c>
      <c r="B175" s="13">
        <v>46111.7490162037</v>
      </c>
      <c r="C175" s="4" t="s">
        <v>1425</v>
      </c>
      <c r="D175" s="4" t="s">
        <v>1071</v>
      </c>
      <c r="E175" s="4" t="s">
        <v>1119</v>
      </c>
      <c r="F175" s="4"/>
      <c r="G175" s="4"/>
      <c r="H175" s="4"/>
      <c r="I175" s="4" t="s">
        <v>1050</v>
      </c>
    </row>
    <row r="176" ht="15.75" customHeight="1">
      <c r="A176" s="4" t="s">
        <v>1426</v>
      </c>
      <c r="B176" s="13">
        <v>46034.762349537</v>
      </c>
      <c r="C176" s="4" t="s">
        <v>1427</v>
      </c>
      <c r="D176" s="4" t="s">
        <v>1075</v>
      </c>
      <c r="E176" s="4" t="s">
        <v>1064</v>
      </c>
      <c r="F176" s="4"/>
      <c r="G176" s="4"/>
      <c r="H176" s="4"/>
      <c r="I176" s="4" t="s">
        <v>1042</v>
      </c>
    </row>
    <row r="177" ht="15.75" customHeight="1">
      <c r="A177" s="4" t="s">
        <v>1428</v>
      </c>
      <c r="B177" s="13">
        <v>46084.3964236111</v>
      </c>
      <c r="C177" s="4" t="s">
        <v>1429</v>
      </c>
      <c r="D177" s="4" t="s">
        <v>1104</v>
      </c>
      <c r="E177" s="4" t="s">
        <v>1105</v>
      </c>
      <c r="F177" s="4" t="s">
        <v>246</v>
      </c>
      <c r="G177" s="4"/>
      <c r="H177" s="4"/>
      <c r="I177" s="4" t="s">
        <v>1035</v>
      </c>
    </row>
    <row r="178" ht="15.75" customHeight="1">
      <c r="A178" s="4" t="s">
        <v>1430</v>
      </c>
      <c r="B178" s="13">
        <v>46033.7570717593</v>
      </c>
      <c r="C178" s="4" t="s">
        <v>1431</v>
      </c>
      <c r="D178" s="4" t="s">
        <v>1110</v>
      </c>
      <c r="E178" s="4" t="s">
        <v>1064</v>
      </c>
      <c r="F178" s="4"/>
      <c r="G178" s="4" t="s">
        <v>112</v>
      </c>
      <c r="H178" s="10">
        <v>182.49</v>
      </c>
      <c r="I178" s="4" t="s">
        <v>427</v>
      </c>
    </row>
    <row r="179" ht="15.75" customHeight="1">
      <c r="A179" s="4" t="s">
        <v>1432</v>
      </c>
      <c r="B179" s="13">
        <v>46117.6430555556</v>
      </c>
      <c r="C179" s="4" t="s">
        <v>1433</v>
      </c>
      <c r="D179" s="4" t="s">
        <v>1128</v>
      </c>
      <c r="E179" s="4" t="s">
        <v>1090</v>
      </c>
      <c r="F179" s="4" t="s">
        <v>805</v>
      </c>
      <c r="G179" s="4"/>
      <c r="H179" s="4"/>
      <c r="I179" s="4" t="s">
        <v>1048</v>
      </c>
    </row>
    <row r="180" ht="15.75" customHeight="1">
      <c r="A180" s="4" t="s">
        <v>1434</v>
      </c>
      <c r="B180" s="13">
        <v>46030.8844791667</v>
      </c>
      <c r="C180" s="4" t="s">
        <v>1435</v>
      </c>
      <c r="D180" s="4" t="s">
        <v>1110</v>
      </c>
      <c r="E180" s="4" t="s">
        <v>1064</v>
      </c>
      <c r="F180" s="4"/>
      <c r="G180" s="4" t="s">
        <v>195</v>
      </c>
      <c r="H180" s="10">
        <v>56.88</v>
      </c>
      <c r="I180" s="4" t="s">
        <v>1036</v>
      </c>
    </row>
    <row r="181" ht="15.75" customHeight="1">
      <c r="A181" s="4" t="s">
        <v>1436</v>
      </c>
      <c r="B181" s="13">
        <v>46097.7203125</v>
      </c>
      <c r="C181" s="4" t="s">
        <v>1437</v>
      </c>
      <c r="D181" s="4" t="s">
        <v>1075</v>
      </c>
      <c r="E181" s="4" t="s">
        <v>1064</v>
      </c>
      <c r="F181" s="4"/>
      <c r="G181" s="4"/>
      <c r="H181" s="4"/>
      <c r="I181" s="4" t="s">
        <v>1028</v>
      </c>
    </row>
    <row r="182" ht="15.75" customHeight="1">
      <c r="A182" s="4" t="s">
        <v>1438</v>
      </c>
      <c r="B182" s="13">
        <v>46086.3384837963</v>
      </c>
      <c r="C182" s="4" t="s">
        <v>1439</v>
      </c>
      <c r="D182" s="4" t="s">
        <v>1071</v>
      </c>
      <c r="E182" s="4" t="s">
        <v>1072</v>
      </c>
      <c r="F182" s="4"/>
      <c r="G182" s="4"/>
      <c r="H182" s="4"/>
      <c r="I182" s="4" t="s">
        <v>427</v>
      </c>
    </row>
    <row r="183" ht="15.75" customHeight="1">
      <c r="A183" s="4" t="s">
        <v>1440</v>
      </c>
      <c r="B183" s="13">
        <v>46097.4876736111</v>
      </c>
      <c r="C183" s="4" t="s">
        <v>1441</v>
      </c>
      <c r="D183" s="4" t="s">
        <v>1081</v>
      </c>
      <c r="E183" s="4" t="s">
        <v>1064</v>
      </c>
      <c r="F183" s="4"/>
      <c r="G183" s="4"/>
      <c r="H183" s="4"/>
      <c r="I183" s="4" t="s">
        <v>1042</v>
      </c>
    </row>
    <row r="184" ht="15.75" customHeight="1">
      <c r="A184" s="4" t="s">
        <v>1442</v>
      </c>
      <c r="B184" s="13">
        <v>46032.8390393519</v>
      </c>
      <c r="C184" s="4" t="s">
        <v>1443</v>
      </c>
      <c r="D184" s="4" t="s">
        <v>1086</v>
      </c>
      <c r="E184" s="4" t="s">
        <v>1064</v>
      </c>
      <c r="F184" s="4"/>
      <c r="G184" s="4"/>
      <c r="H184" s="4"/>
      <c r="I184" s="4" t="s">
        <v>1052</v>
      </c>
    </row>
    <row r="185" ht="15.75" customHeight="1">
      <c r="A185" s="4" t="s">
        <v>1444</v>
      </c>
      <c r="B185" s="13">
        <v>46037.3514583333</v>
      </c>
      <c r="C185" s="4" t="s">
        <v>1445</v>
      </c>
      <c r="D185" s="4" t="s">
        <v>1086</v>
      </c>
      <c r="E185" s="4" t="s">
        <v>1064</v>
      </c>
      <c r="F185" s="4"/>
      <c r="G185" s="4"/>
      <c r="H185" s="4"/>
      <c r="I185" s="4" t="s">
        <v>1039</v>
      </c>
    </row>
    <row r="186" ht="15.75" customHeight="1">
      <c r="A186" s="4" t="s">
        <v>1446</v>
      </c>
      <c r="B186" s="13">
        <v>46123.4967939815</v>
      </c>
      <c r="C186" s="4" t="s">
        <v>1447</v>
      </c>
      <c r="D186" s="4" t="s">
        <v>1081</v>
      </c>
      <c r="E186" s="4" t="s">
        <v>1064</v>
      </c>
      <c r="F186" s="4"/>
      <c r="G186" s="4"/>
      <c r="H186" s="4"/>
      <c r="I186" s="4" t="s">
        <v>1028</v>
      </c>
    </row>
    <row r="187" ht="15.75" customHeight="1">
      <c r="A187" s="4" t="s">
        <v>1448</v>
      </c>
      <c r="B187" s="13">
        <v>46079.6212962963</v>
      </c>
      <c r="C187" s="4" t="s">
        <v>1449</v>
      </c>
      <c r="D187" s="4" t="s">
        <v>1078</v>
      </c>
      <c r="E187" s="4" t="s">
        <v>1064</v>
      </c>
      <c r="F187" s="4"/>
      <c r="G187" s="4" t="s">
        <v>126</v>
      </c>
      <c r="H187" s="10">
        <v>99.41</v>
      </c>
      <c r="I187" s="4" t="s">
        <v>1050</v>
      </c>
    </row>
    <row r="188" ht="15.75" customHeight="1">
      <c r="A188" s="4" t="s">
        <v>1450</v>
      </c>
      <c r="B188" s="13">
        <v>46029.6669791667</v>
      </c>
      <c r="C188" s="4" t="s">
        <v>1451</v>
      </c>
      <c r="D188" s="4" t="s">
        <v>1075</v>
      </c>
      <c r="E188" s="4" t="s">
        <v>1064</v>
      </c>
      <c r="F188" s="4"/>
      <c r="G188" s="4"/>
      <c r="H188" s="4"/>
      <c r="I188" s="4" t="s">
        <v>1046</v>
      </c>
    </row>
    <row r="189" ht="15.75" customHeight="1">
      <c r="A189" s="4" t="s">
        <v>1452</v>
      </c>
      <c r="B189" s="13">
        <v>46060.6014699074</v>
      </c>
      <c r="C189" s="4" t="s">
        <v>1453</v>
      </c>
      <c r="D189" s="4" t="s">
        <v>1163</v>
      </c>
      <c r="E189" s="4" t="s">
        <v>1072</v>
      </c>
      <c r="F189" s="4"/>
      <c r="G189" s="4"/>
      <c r="H189" s="4"/>
      <c r="I189" s="4" t="s">
        <v>1042</v>
      </c>
    </row>
    <row r="190" ht="15.75" customHeight="1">
      <c r="A190" s="4" t="s">
        <v>1454</v>
      </c>
      <c r="B190" s="13">
        <v>46123.4426967593</v>
      </c>
      <c r="C190" s="4" t="s">
        <v>1455</v>
      </c>
      <c r="D190" s="4" t="s">
        <v>1093</v>
      </c>
      <c r="E190" s="4" t="s">
        <v>1064</v>
      </c>
      <c r="F190" s="4"/>
      <c r="G190" s="4"/>
      <c r="H190" s="4"/>
      <c r="I190" s="4" t="s">
        <v>1052</v>
      </c>
    </row>
    <row r="191" ht="15.75" customHeight="1">
      <c r="A191" s="4" t="s">
        <v>1456</v>
      </c>
      <c r="B191" s="13">
        <v>46058.9751967593</v>
      </c>
      <c r="C191" s="4" t="s">
        <v>1457</v>
      </c>
      <c r="D191" s="4" t="s">
        <v>1086</v>
      </c>
      <c r="E191" s="4" t="s">
        <v>1064</v>
      </c>
      <c r="F191" s="4"/>
      <c r="G191" s="4"/>
      <c r="H191" s="4"/>
      <c r="I191" s="4" t="s">
        <v>1042</v>
      </c>
    </row>
    <row r="192" ht="15.75" customHeight="1">
      <c r="A192" s="4" t="s">
        <v>1458</v>
      </c>
      <c r="B192" s="13">
        <v>46105.975162037</v>
      </c>
      <c r="C192" s="4" t="s">
        <v>1459</v>
      </c>
      <c r="D192" s="4" t="s">
        <v>1110</v>
      </c>
      <c r="E192" s="4" t="s">
        <v>1064</v>
      </c>
      <c r="F192" s="4"/>
      <c r="G192" s="4" t="s">
        <v>107</v>
      </c>
      <c r="H192" s="10">
        <v>180.9</v>
      </c>
      <c r="I192" s="4" t="s">
        <v>1048</v>
      </c>
    </row>
    <row r="193" ht="15.75" customHeight="1">
      <c r="A193" s="4" t="s">
        <v>1460</v>
      </c>
      <c r="B193" s="13">
        <v>46111.470775463</v>
      </c>
      <c r="C193" s="4" t="s">
        <v>1461</v>
      </c>
      <c r="D193" s="4" t="s">
        <v>1078</v>
      </c>
      <c r="E193" s="4" t="s">
        <v>1064</v>
      </c>
      <c r="F193" s="4"/>
      <c r="G193" s="4" t="s">
        <v>227</v>
      </c>
      <c r="H193" s="10">
        <v>111.61</v>
      </c>
      <c r="I193" s="4" t="s">
        <v>1030</v>
      </c>
    </row>
    <row r="194" ht="15.75" customHeight="1">
      <c r="A194" s="4" t="s">
        <v>1462</v>
      </c>
      <c r="B194" s="13">
        <v>46059.7022569445</v>
      </c>
      <c r="C194" s="4" t="s">
        <v>1463</v>
      </c>
      <c r="D194" s="4" t="s">
        <v>1110</v>
      </c>
      <c r="E194" s="4" t="s">
        <v>1064</v>
      </c>
      <c r="F194" s="4"/>
      <c r="G194" s="4" t="s">
        <v>137</v>
      </c>
      <c r="H194" s="10">
        <v>235.22</v>
      </c>
      <c r="I194" s="4" t="s">
        <v>1042</v>
      </c>
    </row>
    <row r="195" ht="15.75" customHeight="1">
      <c r="A195" s="4" t="s">
        <v>1464</v>
      </c>
      <c r="B195" s="13">
        <v>46025.784537037</v>
      </c>
      <c r="C195" s="4" t="s">
        <v>1465</v>
      </c>
      <c r="D195" s="4" t="s">
        <v>1128</v>
      </c>
      <c r="E195" s="4" t="s">
        <v>1105</v>
      </c>
      <c r="F195" s="4" t="s">
        <v>132</v>
      </c>
      <c r="G195" s="4"/>
      <c r="H195" s="4"/>
      <c r="I195" s="4" t="s">
        <v>1030</v>
      </c>
    </row>
    <row r="196" ht="15.75" customHeight="1">
      <c r="A196" s="4" t="s">
        <v>1466</v>
      </c>
      <c r="B196" s="13">
        <v>46062.8866203704</v>
      </c>
      <c r="C196" s="4" t="s">
        <v>1467</v>
      </c>
      <c r="D196" s="4" t="s">
        <v>1086</v>
      </c>
      <c r="E196" s="4" t="s">
        <v>1064</v>
      </c>
      <c r="F196" s="4"/>
      <c r="G196" s="4"/>
      <c r="H196" s="4"/>
      <c r="I196" s="4" t="s">
        <v>1028</v>
      </c>
    </row>
    <row r="197" ht="15.75" customHeight="1">
      <c r="A197" s="4" t="s">
        <v>1468</v>
      </c>
      <c r="B197" s="13">
        <v>46095.7961111111</v>
      </c>
      <c r="C197" s="4" t="s">
        <v>1469</v>
      </c>
      <c r="D197" s="4" t="s">
        <v>1071</v>
      </c>
      <c r="E197" s="4" t="s">
        <v>1072</v>
      </c>
      <c r="F197" s="4"/>
      <c r="G197" s="4"/>
      <c r="H197" s="4"/>
      <c r="I197" s="4" t="s">
        <v>1034</v>
      </c>
    </row>
    <row r="198" ht="15.75" customHeight="1">
      <c r="A198" s="4" t="s">
        <v>1470</v>
      </c>
      <c r="B198" s="13">
        <v>46083.6488541667</v>
      </c>
      <c r="C198" s="4" t="s">
        <v>1471</v>
      </c>
      <c r="D198" s="4" t="s">
        <v>1063</v>
      </c>
      <c r="E198" s="4" t="s">
        <v>1064</v>
      </c>
      <c r="F198" s="4"/>
      <c r="G198" s="4" t="s">
        <v>227</v>
      </c>
      <c r="H198" s="4"/>
      <c r="I198" s="4" t="s">
        <v>1030</v>
      </c>
    </row>
    <row r="199" ht="15.75" customHeight="1">
      <c r="A199" s="4" t="s">
        <v>1472</v>
      </c>
      <c r="B199" s="13">
        <v>46040.6436921296</v>
      </c>
      <c r="C199" s="4" t="s">
        <v>1473</v>
      </c>
      <c r="D199" s="4" t="s">
        <v>1071</v>
      </c>
      <c r="E199" s="4" t="s">
        <v>1119</v>
      </c>
      <c r="F199" s="4"/>
      <c r="G199" s="4"/>
      <c r="H199" s="4"/>
      <c r="I199" s="4" t="s">
        <v>1030</v>
      </c>
    </row>
    <row r="200" ht="15.75" customHeight="1">
      <c r="A200" s="4" t="s">
        <v>1474</v>
      </c>
      <c r="B200" s="13">
        <v>46110.9480092593</v>
      </c>
      <c r="C200" s="4" t="s">
        <v>1475</v>
      </c>
      <c r="D200" s="4" t="s">
        <v>1104</v>
      </c>
      <c r="E200" s="4" t="s">
        <v>1105</v>
      </c>
      <c r="F200" s="4" t="s">
        <v>54</v>
      </c>
      <c r="G200" s="4"/>
      <c r="H200" s="4"/>
      <c r="I200" s="4" t="s">
        <v>1036</v>
      </c>
    </row>
    <row r="201" ht="15.75" customHeight="1">
      <c r="A201" s="4" t="s">
        <v>1476</v>
      </c>
      <c r="B201" s="13">
        <v>46038.6955671296</v>
      </c>
      <c r="C201" s="4" t="s">
        <v>1477</v>
      </c>
      <c r="D201" s="4" t="s">
        <v>1075</v>
      </c>
      <c r="E201" s="4" t="s">
        <v>1064</v>
      </c>
      <c r="F201" s="4"/>
      <c r="G201" s="4"/>
      <c r="H201" s="4"/>
      <c r="I201" s="4" t="s">
        <v>1036</v>
      </c>
    </row>
    <row r="202" ht="15.75" customHeight="1">
      <c r="A202" s="4" t="s">
        <v>1478</v>
      </c>
      <c r="B202" s="13">
        <v>46034.7018287037</v>
      </c>
      <c r="C202" s="4" t="s">
        <v>1479</v>
      </c>
      <c r="D202" s="4" t="s">
        <v>1104</v>
      </c>
      <c r="E202" s="4" t="s">
        <v>1105</v>
      </c>
      <c r="F202" s="4" t="s">
        <v>128</v>
      </c>
      <c r="G202" s="4"/>
      <c r="H202" s="4"/>
      <c r="I202" s="4" t="s">
        <v>1028</v>
      </c>
    </row>
    <row r="203" ht="15.75" customHeight="1">
      <c r="A203" s="4" t="s">
        <v>1480</v>
      </c>
      <c r="B203" s="13">
        <v>46116.3749189815</v>
      </c>
      <c r="C203" s="4" t="s">
        <v>1481</v>
      </c>
      <c r="D203" s="4" t="s">
        <v>1086</v>
      </c>
      <c r="E203" s="4" t="s">
        <v>1064</v>
      </c>
      <c r="F203" s="4"/>
      <c r="G203" s="4"/>
      <c r="H203" s="4"/>
      <c r="I203" s="4" t="s">
        <v>1030</v>
      </c>
    </row>
    <row r="204" ht="15.75" customHeight="1">
      <c r="A204" s="4" t="s">
        <v>1482</v>
      </c>
      <c r="B204" s="13">
        <v>46087.6663888889</v>
      </c>
      <c r="C204" s="4" t="s">
        <v>1483</v>
      </c>
      <c r="D204" s="4" t="s">
        <v>1104</v>
      </c>
      <c r="E204" s="4" t="s">
        <v>1090</v>
      </c>
      <c r="F204" s="4" t="s">
        <v>823</v>
      </c>
      <c r="G204" s="4"/>
      <c r="H204" s="4"/>
      <c r="I204" s="4" t="s">
        <v>1046</v>
      </c>
    </row>
    <row r="205" ht="15.75" customHeight="1">
      <c r="A205" s="4" t="s">
        <v>1484</v>
      </c>
      <c r="B205" s="13">
        <v>46112.5429050926</v>
      </c>
      <c r="C205" s="4" t="s">
        <v>1485</v>
      </c>
      <c r="D205" s="4" t="s">
        <v>1163</v>
      </c>
      <c r="E205" s="4" t="s">
        <v>1072</v>
      </c>
      <c r="F205" s="4"/>
      <c r="G205" s="4"/>
      <c r="H205" s="4"/>
      <c r="I205" s="4" t="s">
        <v>587</v>
      </c>
    </row>
    <row r="206" ht="15.75" customHeight="1">
      <c r="A206" s="4" t="s">
        <v>1486</v>
      </c>
      <c r="B206" s="13">
        <v>46052.4070717593</v>
      </c>
      <c r="C206" s="4" t="s">
        <v>1487</v>
      </c>
      <c r="D206" s="4" t="s">
        <v>1128</v>
      </c>
      <c r="E206" s="4" t="s">
        <v>1105</v>
      </c>
      <c r="F206" s="4" t="s">
        <v>273</v>
      </c>
      <c r="G206" s="4"/>
      <c r="H206" s="4"/>
      <c r="I206" s="4" t="s">
        <v>1046</v>
      </c>
    </row>
    <row r="207" ht="15.75" customHeight="1">
      <c r="A207" s="4" t="s">
        <v>1488</v>
      </c>
      <c r="B207" s="13">
        <v>46102.5014699074</v>
      </c>
      <c r="C207" s="4" t="s">
        <v>1489</v>
      </c>
      <c r="D207" s="4" t="s">
        <v>1110</v>
      </c>
      <c r="E207" s="4" t="s">
        <v>1064</v>
      </c>
      <c r="F207" s="4"/>
      <c r="G207" s="4" t="s">
        <v>61</v>
      </c>
      <c r="H207" s="10">
        <v>60.63</v>
      </c>
      <c r="I207" s="4" t="s">
        <v>1030</v>
      </c>
    </row>
    <row r="208" ht="15.75" customHeight="1">
      <c r="A208" s="4" t="s">
        <v>1490</v>
      </c>
      <c r="B208" s="13">
        <v>46083.8334490741</v>
      </c>
      <c r="C208" s="4" t="s">
        <v>1491</v>
      </c>
      <c r="D208" s="4" t="s">
        <v>1128</v>
      </c>
      <c r="E208" s="4" t="s">
        <v>1090</v>
      </c>
      <c r="F208" s="4" t="s">
        <v>800</v>
      </c>
      <c r="G208" s="4"/>
      <c r="H208" s="4"/>
      <c r="I208" s="4" t="s">
        <v>1030</v>
      </c>
    </row>
    <row r="209" ht="15.75" customHeight="1">
      <c r="A209" s="4" t="s">
        <v>1492</v>
      </c>
      <c r="B209" s="13">
        <v>46120.5507407407</v>
      </c>
      <c r="C209" s="4" t="s">
        <v>1493</v>
      </c>
      <c r="D209" s="4" t="s">
        <v>1104</v>
      </c>
      <c r="E209" s="4" t="s">
        <v>1090</v>
      </c>
      <c r="F209" s="4" t="s">
        <v>784</v>
      </c>
      <c r="G209" s="4"/>
      <c r="H209" s="4"/>
      <c r="I209" s="4" t="s">
        <v>1050</v>
      </c>
    </row>
    <row r="210" ht="15.75" customHeight="1">
      <c r="A210" s="4" t="s">
        <v>1494</v>
      </c>
      <c r="B210" s="13">
        <v>46089.789212963</v>
      </c>
      <c r="C210" s="4" t="s">
        <v>1495</v>
      </c>
      <c r="D210" s="4" t="s">
        <v>1086</v>
      </c>
      <c r="E210" s="4" t="s">
        <v>1064</v>
      </c>
      <c r="F210" s="4"/>
      <c r="G210" s="4"/>
      <c r="H210" s="4"/>
      <c r="I210" s="4" t="s">
        <v>1052</v>
      </c>
    </row>
    <row r="211" ht="15.75" customHeight="1">
      <c r="A211" s="4" t="s">
        <v>1496</v>
      </c>
      <c r="B211" s="13">
        <v>46077.5693634259</v>
      </c>
      <c r="C211" s="4" t="s">
        <v>1497</v>
      </c>
      <c r="D211" s="4" t="s">
        <v>1093</v>
      </c>
      <c r="E211" s="4" t="s">
        <v>1064</v>
      </c>
      <c r="F211" s="4"/>
      <c r="G211" s="4"/>
      <c r="H211" s="4"/>
      <c r="I211" s="4" t="s">
        <v>1052</v>
      </c>
    </row>
    <row r="212" ht="15.75" customHeight="1">
      <c r="A212" s="4" t="s">
        <v>1498</v>
      </c>
      <c r="B212" s="13">
        <v>46125.3419560185</v>
      </c>
      <c r="C212" s="4" t="s">
        <v>1499</v>
      </c>
      <c r="D212" s="4" t="s">
        <v>1086</v>
      </c>
      <c r="E212" s="4" t="s">
        <v>1064</v>
      </c>
      <c r="F212" s="4"/>
      <c r="G212" s="4"/>
      <c r="H212" s="4"/>
      <c r="I212" s="4" t="s">
        <v>1030</v>
      </c>
    </row>
    <row r="213" ht="15.75" customHeight="1">
      <c r="A213" s="4" t="s">
        <v>1500</v>
      </c>
      <c r="B213" s="13">
        <v>46037.5396180556</v>
      </c>
      <c r="C213" s="4" t="s">
        <v>1501</v>
      </c>
      <c r="D213" s="4" t="s">
        <v>1071</v>
      </c>
      <c r="E213" s="4" t="s">
        <v>1072</v>
      </c>
      <c r="F213" s="4"/>
      <c r="G213" s="4"/>
      <c r="H213" s="4"/>
      <c r="I213" s="4" t="s">
        <v>1028</v>
      </c>
    </row>
    <row r="214" ht="15.75" customHeight="1">
      <c r="A214" s="4" t="s">
        <v>1502</v>
      </c>
      <c r="B214" s="13">
        <v>46114.5024652778</v>
      </c>
      <c r="C214" s="4" t="s">
        <v>1503</v>
      </c>
      <c r="D214" s="4" t="s">
        <v>1071</v>
      </c>
      <c r="E214" s="4" t="s">
        <v>1072</v>
      </c>
      <c r="F214" s="4"/>
      <c r="G214" s="4"/>
      <c r="H214" s="4"/>
      <c r="I214" s="4" t="s">
        <v>1042</v>
      </c>
    </row>
    <row r="215" ht="15.75" customHeight="1">
      <c r="A215" s="4" t="s">
        <v>1504</v>
      </c>
      <c r="B215" s="13">
        <v>46132.4274768519</v>
      </c>
      <c r="C215" s="4" t="s">
        <v>1505</v>
      </c>
      <c r="D215" s="4" t="s">
        <v>1163</v>
      </c>
      <c r="E215" s="4" t="s">
        <v>1072</v>
      </c>
      <c r="F215" s="4"/>
      <c r="G215" s="4"/>
      <c r="H215" s="4"/>
      <c r="I215" s="4" t="s">
        <v>1050</v>
      </c>
    </row>
    <row r="216" ht="15.75" customHeight="1">
      <c r="A216" s="4" t="s">
        <v>1506</v>
      </c>
      <c r="B216" s="13">
        <v>46093.5362384259</v>
      </c>
      <c r="C216" s="4" t="s">
        <v>1507</v>
      </c>
      <c r="D216" s="4" t="s">
        <v>1063</v>
      </c>
      <c r="E216" s="4" t="s">
        <v>1064</v>
      </c>
      <c r="F216" s="4"/>
      <c r="G216" s="4" t="s">
        <v>126</v>
      </c>
      <c r="H216" s="4"/>
      <c r="I216" s="4" t="s">
        <v>1039</v>
      </c>
    </row>
    <row r="217" ht="15.75" customHeight="1">
      <c r="A217" s="4" t="s">
        <v>1508</v>
      </c>
      <c r="B217" s="13">
        <v>46034.5274074074</v>
      </c>
      <c r="C217" s="4" t="s">
        <v>1509</v>
      </c>
      <c r="D217" s="4" t="s">
        <v>1081</v>
      </c>
      <c r="E217" s="4" t="s">
        <v>1064</v>
      </c>
      <c r="F217" s="4"/>
      <c r="G217" s="4"/>
      <c r="H217" s="4"/>
      <c r="I217" s="4" t="s">
        <v>1030</v>
      </c>
    </row>
    <row r="218" ht="15.75" customHeight="1">
      <c r="A218" s="4" t="s">
        <v>1510</v>
      </c>
      <c r="B218" s="13">
        <v>46120.7702546296</v>
      </c>
      <c r="C218" s="4" t="s">
        <v>1511</v>
      </c>
      <c r="D218" s="4" t="s">
        <v>1086</v>
      </c>
      <c r="E218" s="4" t="s">
        <v>1064</v>
      </c>
      <c r="F218" s="4"/>
      <c r="G218" s="4"/>
      <c r="H218" s="4"/>
      <c r="I218" s="4" t="s">
        <v>1042</v>
      </c>
    </row>
    <row r="219" ht="15.75" customHeight="1">
      <c r="A219" s="4" t="s">
        <v>1512</v>
      </c>
      <c r="B219" s="13">
        <v>46122.3721180556</v>
      </c>
      <c r="C219" s="4" t="s">
        <v>1513</v>
      </c>
      <c r="D219" s="4" t="s">
        <v>1089</v>
      </c>
      <c r="E219" s="4" t="s">
        <v>1090</v>
      </c>
      <c r="F219" s="4" t="s">
        <v>815</v>
      </c>
      <c r="G219" s="4"/>
      <c r="H219" s="4"/>
      <c r="I219" s="4" t="s">
        <v>1036</v>
      </c>
    </row>
    <row r="220" ht="15.75" customHeight="1">
      <c r="A220" s="4" t="s">
        <v>1514</v>
      </c>
      <c r="B220" s="13">
        <v>46033.6047569444</v>
      </c>
      <c r="C220" s="4" t="s">
        <v>1515</v>
      </c>
      <c r="D220" s="4" t="s">
        <v>1104</v>
      </c>
      <c r="E220" s="4" t="s">
        <v>1105</v>
      </c>
      <c r="F220" s="4" t="s">
        <v>265</v>
      </c>
      <c r="G220" s="4"/>
      <c r="H220" s="4"/>
      <c r="I220" s="4" t="s">
        <v>1039</v>
      </c>
    </row>
    <row r="221" ht="15.75" customHeight="1">
      <c r="A221" s="4" t="s">
        <v>1516</v>
      </c>
      <c r="B221" s="13">
        <v>46026.5155092593</v>
      </c>
      <c r="C221" s="4" t="s">
        <v>1517</v>
      </c>
      <c r="D221" s="4" t="s">
        <v>1071</v>
      </c>
      <c r="E221" s="4" t="s">
        <v>1072</v>
      </c>
      <c r="F221" s="4"/>
      <c r="G221" s="4"/>
      <c r="H221" s="4"/>
      <c r="I221" s="4" t="s">
        <v>1050</v>
      </c>
    </row>
    <row r="222" ht="15.75" customHeight="1">
      <c r="A222" s="4" t="s">
        <v>1518</v>
      </c>
      <c r="B222" s="13">
        <v>46043.4408796296</v>
      </c>
      <c r="C222" s="4" t="s">
        <v>1519</v>
      </c>
      <c r="D222" s="4" t="s">
        <v>1078</v>
      </c>
      <c r="E222" s="4" t="s">
        <v>1064</v>
      </c>
      <c r="F222" s="4"/>
      <c r="G222" s="4" t="s">
        <v>137</v>
      </c>
      <c r="H222" s="10">
        <v>67.38</v>
      </c>
      <c r="I222" s="4" t="s">
        <v>1048</v>
      </c>
    </row>
    <row r="223" ht="15.75" customHeight="1">
      <c r="A223" s="4" t="s">
        <v>1520</v>
      </c>
      <c r="B223" s="13">
        <v>46042.5783333333</v>
      </c>
      <c r="C223" s="4" t="s">
        <v>1521</v>
      </c>
      <c r="D223" s="4" t="s">
        <v>1104</v>
      </c>
      <c r="E223" s="4" t="s">
        <v>1105</v>
      </c>
      <c r="F223" s="4" t="s">
        <v>71</v>
      </c>
      <c r="G223" s="4"/>
      <c r="H223" s="4"/>
      <c r="I223" s="4" t="s">
        <v>1048</v>
      </c>
    </row>
    <row r="224" ht="15.75" customHeight="1">
      <c r="A224" s="4" t="s">
        <v>1522</v>
      </c>
      <c r="B224" s="13">
        <v>46082.335162037</v>
      </c>
      <c r="C224" s="4" t="s">
        <v>1523</v>
      </c>
      <c r="D224" s="4" t="s">
        <v>1075</v>
      </c>
      <c r="E224" s="4" t="s">
        <v>1064</v>
      </c>
      <c r="F224" s="4"/>
      <c r="G224" s="4"/>
      <c r="H224" s="4"/>
      <c r="I224" s="4" t="s">
        <v>1031</v>
      </c>
    </row>
    <row r="225" ht="15.75" customHeight="1">
      <c r="A225" s="4" t="s">
        <v>1524</v>
      </c>
      <c r="B225" s="13">
        <v>46104.7537384259</v>
      </c>
      <c r="C225" s="4" t="s">
        <v>1525</v>
      </c>
      <c r="D225" s="4" t="s">
        <v>1063</v>
      </c>
      <c r="E225" s="4" t="s">
        <v>1064</v>
      </c>
      <c r="F225" s="4"/>
      <c r="G225" s="4" t="s">
        <v>77</v>
      </c>
      <c r="H225" s="4"/>
      <c r="I225" s="4" t="s">
        <v>1036</v>
      </c>
    </row>
    <row r="226" ht="15.75" customHeight="1">
      <c r="A226" s="4" t="s">
        <v>1526</v>
      </c>
      <c r="B226" s="13">
        <v>46053.8818402778</v>
      </c>
      <c r="C226" s="4" t="s">
        <v>1527</v>
      </c>
      <c r="D226" s="4" t="s">
        <v>1104</v>
      </c>
      <c r="E226" s="4" t="s">
        <v>1090</v>
      </c>
      <c r="F226" s="4" t="s">
        <v>796</v>
      </c>
      <c r="G226" s="4"/>
      <c r="H226" s="4"/>
      <c r="I226" s="4" t="s">
        <v>1050</v>
      </c>
    </row>
    <row r="227" ht="15.75" customHeight="1">
      <c r="A227" s="4" t="s">
        <v>1528</v>
      </c>
      <c r="B227" s="13">
        <v>46123.8653009259</v>
      </c>
      <c r="C227" s="4" t="s">
        <v>1529</v>
      </c>
      <c r="D227" s="4" t="s">
        <v>1128</v>
      </c>
      <c r="E227" s="4" t="s">
        <v>1105</v>
      </c>
      <c r="F227" s="4" t="s">
        <v>158</v>
      </c>
      <c r="G227" s="4"/>
      <c r="H227" s="4"/>
      <c r="I227" s="4" t="s">
        <v>1031</v>
      </c>
    </row>
    <row r="228" ht="15.75" customHeight="1">
      <c r="A228" s="4" t="s">
        <v>1530</v>
      </c>
      <c r="B228" s="13">
        <v>46132.9440046296</v>
      </c>
      <c r="C228" s="4" t="s">
        <v>1531</v>
      </c>
      <c r="D228" s="4" t="s">
        <v>1071</v>
      </c>
      <c r="E228" s="4" t="s">
        <v>1119</v>
      </c>
      <c r="F228" s="4"/>
      <c r="G228" s="4"/>
      <c r="H228" s="4"/>
      <c r="I228" s="4" t="s">
        <v>427</v>
      </c>
    </row>
    <row r="229" ht="15.75" customHeight="1">
      <c r="A229" s="4" t="s">
        <v>1532</v>
      </c>
      <c r="B229" s="13">
        <v>46031.3873958333</v>
      </c>
      <c r="C229" s="4" t="s">
        <v>1533</v>
      </c>
      <c r="D229" s="4" t="s">
        <v>1128</v>
      </c>
      <c r="E229" s="4" t="s">
        <v>1090</v>
      </c>
      <c r="F229" s="4" t="s">
        <v>780</v>
      </c>
      <c r="G229" s="4"/>
      <c r="H229" s="4"/>
      <c r="I229" s="4" t="s">
        <v>1048</v>
      </c>
    </row>
    <row r="230" ht="15.75" customHeight="1">
      <c r="A230" s="4" t="s">
        <v>1534</v>
      </c>
      <c r="B230" s="13">
        <v>46117.3449074074</v>
      </c>
      <c r="C230" s="4" t="s">
        <v>1535</v>
      </c>
      <c r="D230" s="4" t="s">
        <v>1163</v>
      </c>
      <c r="E230" s="4" t="s">
        <v>1119</v>
      </c>
      <c r="F230" s="4"/>
      <c r="G230" s="4"/>
      <c r="H230" s="4"/>
      <c r="I230" s="4" t="s">
        <v>1052</v>
      </c>
    </row>
    <row r="231" ht="15.75" customHeight="1">
      <c r="A231" s="4" t="s">
        <v>1536</v>
      </c>
      <c r="B231" s="13">
        <v>46047.8651388889</v>
      </c>
      <c r="C231" s="4" t="s">
        <v>1537</v>
      </c>
      <c r="D231" s="4" t="s">
        <v>1163</v>
      </c>
      <c r="E231" s="4" t="s">
        <v>1072</v>
      </c>
      <c r="F231" s="4"/>
      <c r="G231" s="4"/>
      <c r="H231" s="4"/>
      <c r="I231" s="4" t="s">
        <v>427</v>
      </c>
    </row>
    <row r="232" ht="15.75" customHeight="1">
      <c r="A232" s="4" t="s">
        <v>1538</v>
      </c>
      <c r="B232" s="13">
        <v>46031.5308449074</v>
      </c>
      <c r="C232" s="4" t="s">
        <v>1539</v>
      </c>
      <c r="D232" s="4" t="s">
        <v>1081</v>
      </c>
      <c r="E232" s="4" t="s">
        <v>1064</v>
      </c>
      <c r="F232" s="4"/>
      <c r="G232" s="4"/>
      <c r="H232" s="4"/>
      <c r="I232" s="4" t="s">
        <v>1036</v>
      </c>
    </row>
    <row r="233" ht="15.75" customHeight="1">
      <c r="A233" s="4" t="s">
        <v>1540</v>
      </c>
      <c r="B233" s="13">
        <v>46108.7266087963</v>
      </c>
      <c r="C233" s="4" t="s">
        <v>1541</v>
      </c>
      <c r="D233" s="4" t="s">
        <v>1081</v>
      </c>
      <c r="E233" s="4" t="s">
        <v>1064</v>
      </c>
      <c r="F233" s="4"/>
      <c r="G233" s="4"/>
      <c r="H233" s="4"/>
      <c r="I233" s="4" t="s">
        <v>1039</v>
      </c>
    </row>
    <row r="234" ht="15.75" customHeight="1">
      <c r="A234" s="4" t="s">
        <v>1542</v>
      </c>
      <c r="B234" s="13">
        <v>46070.8840972222</v>
      </c>
      <c r="C234" s="4" t="s">
        <v>1543</v>
      </c>
      <c r="D234" s="4" t="s">
        <v>1128</v>
      </c>
      <c r="E234" s="4" t="s">
        <v>1090</v>
      </c>
      <c r="F234" s="4" t="s">
        <v>792</v>
      </c>
      <c r="G234" s="4"/>
      <c r="H234" s="4"/>
      <c r="I234" s="4" t="s">
        <v>1028</v>
      </c>
    </row>
    <row r="235" ht="15.75" customHeight="1">
      <c r="A235" s="4" t="s">
        <v>1544</v>
      </c>
      <c r="B235" s="13">
        <v>46043.8252662037</v>
      </c>
      <c r="C235" s="4" t="s">
        <v>1545</v>
      </c>
      <c r="D235" s="4" t="s">
        <v>1075</v>
      </c>
      <c r="E235" s="4" t="s">
        <v>1064</v>
      </c>
      <c r="F235" s="4"/>
      <c r="G235" s="4"/>
      <c r="H235" s="4"/>
      <c r="I235" s="4" t="s">
        <v>1052</v>
      </c>
    </row>
    <row r="236" ht="15.75" customHeight="1">
      <c r="A236" s="4" t="s">
        <v>1546</v>
      </c>
      <c r="B236" s="13">
        <v>46109.8066435185</v>
      </c>
      <c r="C236" s="4" t="s">
        <v>1547</v>
      </c>
      <c r="D236" s="4" t="s">
        <v>1086</v>
      </c>
      <c r="E236" s="4" t="s">
        <v>1064</v>
      </c>
      <c r="F236" s="4"/>
      <c r="G236" s="4"/>
      <c r="H236" s="4"/>
      <c r="I236" s="4" t="s">
        <v>1028</v>
      </c>
    </row>
    <row r="237" ht="15.75" customHeight="1">
      <c r="A237" s="4" t="s">
        <v>1548</v>
      </c>
      <c r="B237" s="13">
        <v>46083.8468287037</v>
      </c>
      <c r="C237" s="4" t="s">
        <v>1549</v>
      </c>
      <c r="D237" s="4" t="s">
        <v>1104</v>
      </c>
      <c r="E237" s="4" t="s">
        <v>1105</v>
      </c>
      <c r="F237" s="4" t="s">
        <v>63</v>
      </c>
      <c r="G237" s="4"/>
      <c r="H237" s="4"/>
      <c r="I237" s="4" t="s">
        <v>1035</v>
      </c>
    </row>
    <row r="238" ht="15.75" customHeight="1">
      <c r="A238" s="4" t="s">
        <v>1550</v>
      </c>
      <c r="B238" s="13">
        <v>46116.4744791667</v>
      </c>
      <c r="C238" s="4" t="s">
        <v>1551</v>
      </c>
      <c r="D238" s="4" t="s">
        <v>1110</v>
      </c>
      <c r="E238" s="4" t="s">
        <v>1064</v>
      </c>
      <c r="F238" s="4"/>
      <c r="G238" s="4" t="s">
        <v>107</v>
      </c>
      <c r="H238" s="10">
        <v>98.29</v>
      </c>
      <c r="I238" s="4" t="s">
        <v>427</v>
      </c>
    </row>
    <row r="239" ht="15.75" customHeight="1">
      <c r="A239" s="4" t="s">
        <v>1552</v>
      </c>
      <c r="B239" s="13">
        <v>46101.4053703704</v>
      </c>
      <c r="C239" s="4" t="s">
        <v>1553</v>
      </c>
      <c r="D239" s="4" t="s">
        <v>1093</v>
      </c>
      <c r="E239" s="4" t="s">
        <v>1064</v>
      </c>
      <c r="F239" s="4"/>
      <c r="G239" s="4"/>
      <c r="H239" s="4"/>
      <c r="I239" s="4" t="s">
        <v>1042</v>
      </c>
    </row>
    <row r="240" ht="15.75" customHeight="1">
      <c r="A240" s="4" t="s">
        <v>1554</v>
      </c>
      <c r="B240" s="13">
        <v>46053.6237615741</v>
      </c>
      <c r="C240" s="4" t="s">
        <v>1555</v>
      </c>
      <c r="D240" s="4" t="s">
        <v>1078</v>
      </c>
      <c r="E240" s="4" t="s">
        <v>1064</v>
      </c>
      <c r="F240" s="4"/>
      <c r="G240" s="4" t="s">
        <v>93</v>
      </c>
      <c r="H240" s="10">
        <v>161.59</v>
      </c>
      <c r="I240" s="4" t="s">
        <v>1030</v>
      </c>
    </row>
    <row r="241" ht="15.75" customHeight="1">
      <c r="A241" s="4" t="s">
        <v>1556</v>
      </c>
      <c r="B241" s="13">
        <v>46116.6605208333</v>
      </c>
      <c r="C241" s="4" t="s">
        <v>1557</v>
      </c>
      <c r="D241" s="4" t="s">
        <v>1075</v>
      </c>
      <c r="E241" s="4" t="s">
        <v>1064</v>
      </c>
      <c r="F241" s="4"/>
      <c r="G241" s="4"/>
      <c r="H241" s="4"/>
      <c r="I241" s="4" t="s">
        <v>1046</v>
      </c>
    </row>
    <row r="242" ht="15.75" customHeight="1">
      <c r="A242" s="4" t="s">
        <v>1558</v>
      </c>
      <c r="B242" s="13">
        <v>46082.4819791667</v>
      </c>
      <c r="C242" s="4" t="s">
        <v>1559</v>
      </c>
      <c r="D242" s="4" t="s">
        <v>1163</v>
      </c>
      <c r="E242" s="4" t="s">
        <v>1119</v>
      </c>
      <c r="F242" s="4"/>
      <c r="G242" s="4"/>
      <c r="H242" s="4"/>
      <c r="I242" s="4" t="s">
        <v>1052</v>
      </c>
    </row>
    <row r="243" ht="15.75" customHeight="1">
      <c r="A243" s="4" t="s">
        <v>1560</v>
      </c>
      <c r="B243" s="13">
        <v>46050.5178356482</v>
      </c>
      <c r="C243" s="4" t="s">
        <v>1561</v>
      </c>
      <c r="D243" s="4" t="s">
        <v>1093</v>
      </c>
      <c r="E243" s="4" t="s">
        <v>1064</v>
      </c>
      <c r="F243" s="4"/>
      <c r="G243" s="4"/>
      <c r="H243" s="4"/>
      <c r="I243" s="4" t="s">
        <v>1042</v>
      </c>
    </row>
    <row r="244" ht="15.75" customHeight="1">
      <c r="A244" s="4" t="s">
        <v>1562</v>
      </c>
      <c r="B244" s="13">
        <v>46032.4575</v>
      </c>
      <c r="C244" s="4" t="s">
        <v>1563</v>
      </c>
      <c r="D244" s="4" t="s">
        <v>1086</v>
      </c>
      <c r="E244" s="4" t="s">
        <v>1064</v>
      </c>
      <c r="F244" s="4"/>
      <c r="G244" s="4"/>
      <c r="H244" s="4"/>
      <c r="I244" s="4" t="s">
        <v>1030</v>
      </c>
    </row>
    <row r="245" ht="15.75" customHeight="1">
      <c r="A245" s="4" t="s">
        <v>1564</v>
      </c>
      <c r="B245" s="13">
        <v>46087.9094328704</v>
      </c>
      <c r="C245" s="4" t="s">
        <v>1565</v>
      </c>
      <c r="D245" s="4" t="s">
        <v>1093</v>
      </c>
      <c r="E245" s="4" t="s">
        <v>1064</v>
      </c>
      <c r="F245" s="4"/>
      <c r="G245" s="4"/>
      <c r="H245" s="4"/>
      <c r="I245" s="4" t="s">
        <v>587</v>
      </c>
    </row>
    <row r="246" ht="15.75" customHeight="1">
      <c r="A246" s="4" t="s">
        <v>1566</v>
      </c>
      <c r="B246" s="13">
        <v>46126.3590972222</v>
      </c>
      <c r="C246" s="4" t="s">
        <v>1567</v>
      </c>
      <c r="D246" s="4" t="s">
        <v>1089</v>
      </c>
      <c r="E246" s="4" t="s">
        <v>1090</v>
      </c>
      <c r="F246" s="4" t="s">
        <v>807</v>
      </c>
      <c r="G246" s="4"/>
      <c r="H246" s="4"/>
      <c r="I246" s="4" t="s">
        <v>1042</v>
      </c>
    </row>
    <row r="247" ht="15.75" customHeight="1">
      <c r="A247" s="4" t="s">
        <v>1568</v>
      </c>
      <c r="B247" s="13">
        <v>46111.8482638889</v>
      </c>
      <c r="C247" s="4" t="s">
        <v>1569</v>
      </c>
      <c r="D247" s="4" t="s">
        <v>1110</v>
      </c>
      <c r="E247" s="4" t="s">
        <v>1064</v>
      </c>
      <c r="F247" s="4"/>
      <c r="G247" s="4" t="s">
        <v>190</v>
      </c>
      <c r="H247" s="10">
        <v>231.6</v>
      </c>
      <c r="I247" s="4" t="s">
        <v>1031</v>
      </c>
    </row>
    <row r="248" ht="15.75" customHeight="1">
      <c r="A248" s="4" t="s">
        <v>1570</v>
      </c>
      <c r="B248" s="13">
        <v>46102.6009606482</v>
      </c>
      <c r="C248" s="4" t="s">
        <v>1571</v>
      </c>
      <c r="D248" s="4" t="s">
        <v>1089</v>
      </c>
      <c r="E248" s="4" t="s">
        <v>1105</v>
      </c>
      <c r="F248" s="4" t="s">
        <v>87</v>
      </c>
      <c r="G248" s="4"/>
      <c r="H248" s="4"/>
      <c r="I248" s="4" t="s">
        <v>1035</v>
      </c>
    </row>
    <row r="249" ht="15.75" customHeight="1">
      <c r="A249" s="4" t="s">
        <v>1572</v>
      </c>
      <c r="B249" s="13">
        <v>46090.7128935185</v>
      </c>
      <c r="C249" s="4" t="s">
        <v>1573</v>
      </c>
      <c r="D249" s="4" t="s">
        <v>1104</v>
      </c>
      <c r="E249" s="4" t="s">
        <v>1105</v>
      </c>
      <c r="F249" s="4" t="s">
        <v>63</v>
      </c>
      <c r="G249" s="4"/>
      <c r="H249" s="4"/>
      <c r="I249" s="4" t="s">
        <v>1036</v>
      </c>
    </row>
    <row r="250" ht="15.75" customHeight="1">
      <c r="A250" s="4" t="s">
        <v>1574</v>
      </c>
      <c r="B250" s="13">
        <v>46119.8834490741</v>
      </c>
      <c r="C250" s="4" t="s">
        <v>1575</v>
      </c>
      <c r="D250" s="4" t="s">
        <v>1128</v>
      </c>
      <c r="E250" s="4" t="s">
        <v>1105</v>
      </c>
      <c r="F250" s="4" t="s">
        <v>158</v>
      </c>
      <c r="G250" s="4"/>
      <c r="H250" s="4"/>
      <c r="I250" s="4" t="s">
        <v>1046</v>
      </c>
    </row>
    <row r="251" ht="15.75" customHeight="1">
      <c r="A251" s="4" t="s">
        <v>1576</v>
      </c>
      <c r="B251" s="13">
        <v>46065.7681018519</v>
      </c>
      <c r="C251" s="4" t="s">
        <v>1577</v>
      </c>
      <c r="D251" s="4" t="s">
        <v>1078</v>
      </c>
      <c r="E251" s="4" t="s">
        <v>1064</v>
      </c>
      <c r="F251" s="4"/>
      <c r="G251" s="4" t="s">
        <v>84</v>
      </c>
      <c r="H251" s="10">
        <v>42.55</v>
      </c>
      <c r="I251" s="4" t="s">
        <v>1048</v>
      </c>
    </row>
    <row r="252" ht="15.75" customHeight="1">
      <c r="A252" s="4" t="s">
        <v>1578</v>
      </c>
      <c r="B252" s="13">
        <v>46118.4120717593</v>
      </c>
      <c r="C252" s="4" t="s">
        <v>1579</v>
      </c>
      <c r="D252" s="4" t="s">
        <v>1075</v>
      </c>
      <c r="E252" s="4" t="s">
        <v>1064</v>
      </c>
      <c r="F252" s="4"/>
      <c r="G252" s="4"/>
      <c r="H252" s="4"/>
      <c r="I252" s="4" t="s">
        <v>1031</v>
      </c>
    </row>
    <row r="253" ht="15.75" customHeight="1">
      <c r="A253" s="4" t="s">
        <v>1580</v>
      </c>
      <c r="B253" s="13">
        <v>46124.3984259259</v>
      </c>
      <c r="C253" s="4" t="s">
        <v>1581</v>
      </c>
      <c r="D253" s="4" t="s">
        <v>1075</v>
      </c>
      <c r="E253" s="4" t="s">
        <v>1064</v>
      </c>
      <c r="F253" s="4"/>
      <c r="G253" s="4"/>
      <c r="H253" s="4"/>
      <c r="I253" s="4" t="s">
        <v>1035</v>
      </c>
    </row>
    <row r="254" ht="15.75" customHeight="1">
      <c r="A254" s="4" t="s">
        <v>1582</v>
      </c>
      <c r="B254" s="13">
        <v>46028.6215625</v>
      </c>
      <c r="C254" s="4" t="s">
        <v>1583</v>
      </c>
      <c r="D254" s="4" t="s">
        <v>1089</v>
      </c>
      <c r="E254" s="4" t="s">
        <v>1090</v>
      </c>
      <c r="F254" s="4" t="s">
        <v>778</v>
      </c>
      <c r="G254" s="4"/>
      <c r="H254" s="4"/>
      <c r="I254" s="4" t="s">
        <v>587</v>
      </c>
    </row>
    <row r="255" ht="15.75" customHeight="1">
      <c r="A255" s="4" t="s">
        <v>1584</v>
      </c>
      <c r="B255" s="13">
        <v>46072.5301967593</v>
      </c>
      <c r="C255" s="4" t="s">
        <v>1585</v>
      </c>
      <c r="D255" s="4" t="s">
        <v>1089</v>
      </c>
      <c r="E255" s="4" t="s">
        <v>1105</v>
      </c>
      <c r="F255" s="4" t="s">
        <v>132</v>
      </c>
      <c r="G255" s="4"/>
      <c r="H255" s="4"/>
      <c r="I255" s="4" t="s">
        <v>1035</v>
      </c>
    </row>
    <row r="256" ht="15.75" customHeight="1">
      <c r="A256" s="4" t="s">
        <v>1586</v>
      </c>
      <c r="B256" s="13">
        <v>46055.7653125</v>
      </c>
      <c r="C256" s="4" t="s">
        <v>1587</v>
      </c>
      <c r="D256" s="4" t="s">
        <v>1110</v>
      </c>
      <c r="E256" s="4" t="s">
        <v>1064</v>
      </c>
      <c r="F256" s="4"/>
      <c r="G256" s="4" t="s">
        <v>190</v>
      </c>
      <c r="H256" s="10">
        <v>130.9</v>
      </c>
      <c r="I256" s="4" t="s">
        <v>587</v>
      </c>
    </row>
    <row r="257" ht="15.75" customHeight="1">
      <c r="A257" s="4" t="s">
        <v>1588</v>
      </c>
      <c r="B257" s="13">
        <v>46077.5272337963</v>
      </c>
      <c r="C257" s="4" t="s">
        <v>1589</v>
      </c>
      <c r="D257" s="4" t="s">
        <v>1093</v>
      </c>
      <c r="E257" s="4" t="s">
        <v>1064</v>
      </c>
      <c r="F257" s="4"/>
      <c r="G257" s="4"/>
      <c r="H257" s="4"/>
      <c r="I257" s="4" t="s">
        <v>1030</v>
      </c>
    </row>
    <row r="258" ht="15.75" customHeight="1">
      <c r="A258" s="4" t="s">
        <v>1590</v>
      </c>
      <c r="B258" s="13">
        <v>46061.3684375</v>
      </c>
      <c r="C258" s="4" t="s">
        <v>1591</v>
      </c>
      <c r="D258" s="4" t="s">
        <v>1110</v>
      </c>
      <c r="E258" s="4" t="s">
        <v>1064</v>
      </c>
      <c r="F258" s="4"/>
      <c r="G258" s="4" t="s">
        <v>137</v>
      </c>
      <c r="H258" s="10">
        <v>210.92</v>
      </c>
      <c r="I258" s="4" t="s">
        <v>1048</v>
      </c>
    </row>
    <row r="259" ht="15.75" customHeight="1">
      <c r="A259" s="4" t="s">
        <v>1592</v>
      </c>
      <c r="B259" s="13">
        <v>46090.5180787037</v>
      </c>
      <c r="C259" s="4" t="s">
        <v>1593</v>
      </c>
      <c r="D259" s="4" t="s">
        <v>1086</v>
      </c>
      <c r="E259" s="4" t="s">
        <v>1064</v>
      </c>
      <c r="F259" s="4"/>
      <c r="G259" s="4"/>
      <c r="H259" s="4"/>
      <c r="I259" s="4" t="s">
        <v>1039</v>
      </c>
    </row>
    <row r="260" ht="15.75" customHeight="1">
      <c r="A260" s="4" t="s">
        <v>1594</v>
      </c>
      <c r="B260" s="13">
        <v>46029.4877662037</v>
      </c>
      <c r="C260" s="4" t="s">
        <v>1595</v>
      </c>
      <c r="D260" s="4" t="s">
        <v>1104</v>
      </c>
      <c r="E260" s="4" t="s">
        <v>1105</v>
      </c>
      <c r="F260" s="4" t="s">
        <v>251</v>
      </c>
      <c r="G260" s="4"/>
      <c r="H260" s="4"/>
      <c r="I260" s="4" t="s">
        <v>1036</v>
      </c>
    </row>
    <row r="261" ht="15.75" customHeight="1">
      <c r="A261" s="4" t="s">
        <v>1596</v>
      </c>
      <c r="B261" s="13">
        <v>46031.72125</v>
      </c>
      <c r="C261" s="4" t="s">
        <v>1597</v>
      </c>
      <c r="D261" s="4" t="s">
        <v>1086</v>
      </c>
      <c r="E261" s="4" t="s">
        <v>1064</v>
      </c>
      <c r="F261" s="4"/>
      <c r="G261" s="4"/>
      <c r="H261" s="4"/>
      <c r="I261" s="4" t="s">
        <v>1036</v>
      </c>
    </row>
    <row r="262" ht="15.75" customHeight="1">
      <c r="A262" s="4" t="s">
        <v>1598</v>
      </c>
      <c r="B262" s="13">
        <v>46074.9094791667</v>
      </c>
      <c r="C262" s="4" t="s">
        <v>1599</v>
      </c>
      <c r="D262" s="4" t="s">
        <v>1128</v>
      </c>
      <c r="E262" s="4" t="s">
        <v>1090</v>
      </c>
      <c r="F262" s="4" t="s">
        <v>815</v>
      </c>
      <c r="G262" s="4"/>
      <c r="H262" s="4"/>
      <c r="I262" s="4" t="s">
        <v>1036</v>
      </c>
    </row>
    <row r="263" ht="15.75" customHeight="1">
      <c r="A263" s="4" t="s">
        <v>1600</v>
      </c>
      <c r="B263" s="13">
        <v>46118.920787037</v>
      </c>
      <c r="C263" s="4" t="s">
        <v>1601</v>
      </c>
      <c r="D263" s="4" t="s">
        <v>1071</v>
      </c>
      <c r="E263" s="4" t="s">
        <v>1072</v>
      </c>
      <c r="F263" s="4"/>
      <c r="G263" s="4"/>
      <c r="H263" s="4"/>
      <c r="I263" s="4" t="s">
        <v>1031</v>
      </c>
    </row>
    <row r="264" ht="15.75" customHeight="1">
      <c r="A264" s="4" t="s">
        <v>1602</v>
      </c>
      <c r="B264" s="13">
        <v>46095.6314930556</v>
      </c>
      <c r="C264" s="4" t="s">
        <v>1603</v>
      </c>
      <c r="D264" s="4" t="s">
        <v>1081</v>
      </c>
      <c r="E264" s="4" t="s">
        <v>1064</v>
      </c>
      <c r="F264" s="4"/>
      <c r="G264" s="4"/>
      <c r="H264" s="4"/>
      <c r="I264" s="4" t="s">
        <v>1048</v>
      </c>
    </row>
    <row r="265" ht="15.75" customHeight="1">
      <c r="A265" s="4" t="s">
        <v>1604</v>
      </c>
      <c r="B265" s="13">
        <v>46095.5916203704</v>
      </c>
      <c r="C265" s="4" t="s">
        <v>1605</v>
      </c>
      <c r="D265" s="4" t="s">
        <v>1078</v>
      </c>
      <c r="E265" s="4" t="s">
        <v>1064</v>
      </c>
      <c r="F265" s="4"/>
      <c r="G265" s="4" t="s">
        <v>232</v>
      </c>
      <c r="H265" s="10">
        <v>144.65</v>
      </c>
      <c r="I265" s="4" t="s">
        <v>1031</v>
      </c>
    </row>
    <row r="266" ht="15.75" customHeight="1">
      <c r="A266" s="4" t="s">
        <v>1606</v>
      </c>
      <c r="B266" s="13">
        <v>46095.3935069444</v>
      </c>
      <c r="C266" s="4" t="s">
        <v>1607</v>
      </c>
      <c r="D266" s="4" t="s">
        <v>1075</v>
      </c>
      <c r="E266" s="4" t="s">
        <v>1064</v>
      </c>
      <c r="F266" s="4"/>
      <c r="G266" s="4"/>
      <c r="H266" s="4"/>
      <c r="I266" s="4" t="s">
        <v>1028</v>
      </c>
    </row>
    <row r="267" ht="15.75" customHeight="1">
      <c r="A267" s="4" t="s">
        <v>1608</v>
      </c>
      <c r="B267" s="13">
        <v>46081.9145949074</v>
      </c>
      <c r="C267" s="4" t="s">
        <v>1609</v>
      </c>
      <c r="D267" s="4" t="s">
        <v>1104</v>
      </c>
      <c r="E267" s="4" t="s">
        <v>1105</v>
      </c>
      <c r="F267" s="4" t="s">
        <v>289</v>
      </c>
      <c r="G267" s="4"/>
      <c r="H267" s="4"/>
      <c r="I267" s="4" t="s">
        <v>1052</v>
      </c>
    </row>
    <row r="268" ht="15.75" customHeight="1">
      <c r="A268" s="4" t="s">
        <v>1610</v>
      </c>
      <c r="B268" s="13">
        <v>46100.639375</v>
      </c>
      <c r="C268" s="4" t="s">
        <v>1611</v>
      </c>
      <c r="D268" s="4" t="s">
        <v>1163</v>
      </c>
      <c r="E268" s="4" t="s">
        <v>1072</v>
      </c>
      <c r="F268" s="4"/>
      <c r="G268" s="4"/>
      <c r="H268" s="4"/>
      <c r="I268" s="4" t="s">
        <v>1048</v>
      </c>
    </row>
    <row r="269" ht="15.75" customHeight="1">
      <c r="A269" s="4" t="s">
        <v>1612</v>
      </c>
      <c r="B269" s="13">
        <v>46130.7444444444</v>
      </c>
      <c r="C269" s="4" t="s">
        <v>1613</v>
      </c>
      <c r="D269" s="4" t="s">
        <v>1089</v>
      </c>
      <c r="E269" s="4" t="s">
        <v>1090</v>
      </c>
      <c r="F269" s="4" t="s">
        <v>831</v>
      </c>
      <c r="G269" s="4"/>
      <c r="H269" s="4"/>
      <c r="I269" s="4" t="s">
        <v>1039</v>
      </c>
    </row>
    <row r="270" ht="15.75" customHeight="1">
      <c r="A270" s="4" t="s">
        <v>1614</v>
      </c>
      <c r="B270" s="13">
        <v>46101.8895949074</v>
      </c>
      <c r="C270" s="4" t="s">
        <v>1615</v>
      </c>
      <c r="D270" s="4" t="s">
        <v>1071</v>
      </c>
      <c r="E270" s="4" t="s">
        <v>1072</v>
      </c>
      <c r="F270" s="4"/>
      <c r="G270" s="4"/>
      <c r="H270" s="4"/>
      <c r="I270" s="4" t="s">
        <v>1028</v>
      </c>
    </row>
    <row r="271" ht="15.75" customHeight="1">
      <c r="A271" s="4" t="s">
        <v>1616</v>
      </c>
      <c r="B271" s="13">
        <v>46078.6707175926</v>
      </c>
      <c r="C271" s="4" t="s">
        <v>1617</v>
      </c>
      <c r="D271" s="4" t="s">
        <v>1128</v>
      </c>
      <c r="E271" s="4" t="s">
        <v>1105</v>
      </c>
      <c r="F271" s="4" t="s">
        <v>87</v>
      </c>
      <c r="G271" s="4"/>
      <c r="H271" s="4"/>
      <c r="I271" s="4" t="s">
        <v>587</v>
      </c>
    </row>
    <row r="272" ht="15.75" customHeight="1">
      <c r="A272" s="4" t="s">
        <v>1618</v>
      </c>
      <c r="B272" s="13">
        <v>46024.9940625</v>
      </c>
      <c r="C272" s="4" t="s">
        <v>1619</v>
      </c>
      <c r="D272" s="4" t="s">
        <v>1110</v>
      </c>
      <c r="E272" s="4" t="s">
        <v>1064</v>
      </c>
      <c r="F272" s="4"/>
      <c r="G272" s="4" t="s">
        <v>244</v>
      </c>
      <c r="H272" s="10">
        <v>94.5</v>
      </c>
      <c r="I272" s="4" t="s">
        <v>1034</v>
      </c>
    </row>
    <row r="273" ht="15.75" customHeight="1">
      <c r="A273" s="4" t="s">
        <v>1620</v>
      </c>
      <c r="B273" s="13">
        <v>46055.6175578704</v>
      </c>
      <c r="C273" s="4" t="s">
        <v>1621</v>
      </c>
      <c r="D273" s="4" t="s">
        <v>1104</v>
      </c>
      <c r="E273" s="4" t="s">
        <v>1090</v>
      </c>
      <c r="F273" s="4" t="s">
        <v>792</v>
      </c>
      <c r="G273" s="4"/>
      <c r="H273" s="4"/>
      <c r="I273" s="4" t="s">
        <v>587</v>
      </c>
    </row>
    <row r="274" ht="15.75" customHeight="1">
      <c r="A274" s="4" t="s">
        <v>1622</v>
      </c>
      <c r="B274" s="13">
        <v>46057.4125115741</v>
      </c>
      <c r="C274" s="4" t="s">
        <v>1623</v>
      </c>
      <c r="D274" s="4" t="s">
        <v>1163</v>
      </c>
      <c r="E274" s="4" t="s">
        <v>1072</v>
      </c>
      <c r="F274" s="4"/>
      <c r="G274" s="4"/>
      <c r="H274" s="4"/>
      <c r="I274" s="4" t="s">
        <v>587</v>
      </c>
    </row>
    <row r="275" ht="15.75" customHeight="1">
      <c r="A275" s="4" t="s">
        <v>1624</v>
      </c>
      <c r="B275" s="13">
        <v>46078.8742592593</v>
      </c>
      <c r="C275" s="4" t="s">
        <v>1625</v>
      </c>
      <c r="D275" s="4" t="s">
        <v>1163</v>
      </c>
      <c r="E275" s="4" t="s">
        <v>1119</v>
      </c>
      <c r="F275" s="4"/>
      <c r="G275" s="4"/>
      <c r="H275" s="4"/>
      <c r="I275" s="4" t="s">
        <v>1031</v>
      </c>
    </row>
    <row r="276" ht="15.75" customHeight="1">
      <c r="A276" s="4" t="s">
        <v>1626</v>
      </c>
      <c r="B276" s="13">
        <v>46048.420625</v>
      </c>
      <c r="C276" s="4" t="s">
        <v>1627</v>
      </c>
      <c r="D276" s="4" t="s">
        <v>1163</v>
      </c>
      <c r="E276" s="4" t="s">
        <v>1119</v>
      </c>
      <c r="F276" s="4"/>
      <c r="G276" s="4"/>
      <c r="H276" s="4"/>
      <c r="I276" s="4" t="s">
        <v>1031</v>
      </c>
    </row>
    <row r="277" ht="15.75" customHeight="1">
      <c r="A277" s="4" t="s">
        <v>1628</v>
      </c>
      <c r="B277" s="13">
        <v>46030.6703472222</v>
      </c>
      <c r="C277" s="4" t="s">
        <v>1629</v>
      </c>
      <c r="D277" s="4" t="s">
        <v>1163</v>
      </c>
      <c r="E277" s="4" t="s">
        <v>1072</v>
      </c>
      <c r="F277" s="4"/>
      <c r="G277" s="4"/>
      <c r="H277" s="4"/>
      <c r="I277" s="4" t="s">
        <v>1031</v>
      </c>
    </row>
    <row r="278" ht="15.75" customHeight="1">
      <c r="A278" s="4" t="s">
        <v>1630</v>
      </c>
      <c r="B278" s="13">
        <v>46103.6219560185</v>
      </c>
      <c r="C278" s="4" t="s">
        <v>1631</v>
      </c>
      <c r="D278" s="4" t="s">
        <v>1128</v>
      </c>
      <c r="E278" s="4" t="s">
        <v>1090</v>
      </c>
      <c r="F278" s="4" t="s">
        <v>788</v>
      </c>
      <c r="G278" s="4"/>
      <c r="H278" s="4"/>
      <c r="I278" s="4" t="s">
        <v>1028</v>
      </c>
    </row>
    <row r="279" ht="15.75" customHeight="1">
      <c r="A279" s="4" t="s">
        <v>1632</v>
      </c>
      <c r="B279" s="13">
        <v>46057.373275463</v>
      </c>
      <c r="C279" s="4" t="s">
        <v>1633</v>
      </c>
      <c r="D279" s="4" t="s">
        <v>1078</v>
      </c>
      <c r="E279" s="4" t="s">
        <v>1064</v>
      </c>
      <c r="F279" s="4"/>
      <c r="G279" s="4" t="s">
        <v>150</v>
      </c>
      <c r="H279" s="10">
        <v>31.19</v>
      </c>
      <c r="I279" s="4" t="s">
        <v>1046</v>
      </c>
    </row>
    <row r="280" ht="15.75" customHeight="1">
      <c r="A280" s="4" t="s">
        <v>1634</v>
      </c>
      <c r="B280" s="13">
        <v>46115.8673032407</v>
      </c>
      <c r="C280" s="4" t="s">
        <v>1635</v>
      </c>
      <c r="D280" s="4" t="s">
        <v>1128</v>
      </c>
      <c r="E280" s="4" t="s">
        <v>1105</v>
      </c>
      <c r="F280" s="4" t="s">
        <v>95</v>
      </c>
      <c r="G280" s="4"/>
      <c r="H280" s="4"/>
      <c r="I280" s="4" t="s">
        <v>1039</v>
      </c>
    </row>
    <row r="281" ht="15.75" customHeight="1">
      <c r="A281" s="4" t="s">
        <v>1636</v>
      </c>
      <c r="B281" s="13">
        <v>46115.9995833333</v>
      </c>
      <c r="C281" s="4" t="s">
        <v>1637</v>
      </c>
      <c r="D281" s="4" t="s">
        <v>1093</v>
      </c>
      <c r="E281" s="4" t="s">
        <v>1064</v>
      </c>
      <c r="F281" s="4"/>
      <c r="G281" s="4"/>
      <c r="H281" s="4"/>
      <c r="I281" s="4" t="s">
        <v>1030</v>
      </c>
    </row>
    <row r="282" ht="15.75" customHeight="1">
      <c r="A282" s="4" t="s">
        <v>1638</v>
      </c>
      <c r="B282" s="13">
        <v>46025.8746875</v>
      </c>
      <c r="C282" s="4" t="s">
        <v>1639</v>
      </c>
      <c r="D282" s="4" t="s">
        <v>1078</v>
      </c>
      <c r="E282" s="4" t="s">
        <v>1064</v>
      </c>
      <c r="F282" s="4"/>
      <c r="G282" s="4" t="s">
        <v>112</v>
      </c>
      <c r="H282" s="10">
        <v>93.71</v>
      </c>
      <c r="I282" s="4" t="s">
        <v>1030</v>
      </c>
    </row>
    <row r="283" ht="15.75" customHeight="1">
      <c r="A283" s="4" t="s">
        <v>1640</v>
      </c>
      <c r="B283" s="13">
        <v>46063.823599537</v>
      </c>
      <c r="C283" s="4" t="s">
        <v>1641</v>
      </c>
      <c r="D283" s="4" t="s">
        <v>1128</v>
      </c>
      <c r="E283" s="4" t="s">
        <v>1105</v>
      </c>
      <c r="F283" s="4" t="s">
        <v>95</v>
      </c>
      <c r="G283" s="4"/>
      <c r="H283" s="4"/>
      <c r="I283" s="4" t="s">
        <v>1046</v>
      </c>
    </row>
    <row r="284" ht="15.75" customHeight="1">
      <c r="A284" s="4" t="s">
        <v>1642</v>
      </c>
      <c r="B284" s="13">
        <v>46049.5715972222</v>
      </c>
      <c r="C284" s="4" t="s">
        <v>1643</v>
      </c>
      <c r="D284" s="4" t="s">
        <v>1089</v>
      </c>
      <c r="E284" s="4" t="s">
        <v>1105</v>
      </c>
      <c r="F284" s="4" t="s">
        <v>297</v>
      </c>
      <c r="G284" s="4"/>
      <c r="H284" s="4"/>
      <c r="I284" s="4" t="s">
        <v>1031</v>
      </c>
    </row>
    <row r="285" ht="15.75" customHeight="1">
      <c r="A285" s="4" t="s">
        <v>1644</v>
      </c>
      <c r="B285" s="13">
        <v>46128.7558912037</v>
      </c>
      <c r="C285" s="4" t="s">
        <v>1645</v>
      </c>
      <c r="D285" s="4" t="s">
        <v>1110</v>
      </c>
      <c r="E285" s="4" t="s">
        <v>1064</v>
      </c>
      <c r="F285" s="4"/>
      <c r="G285" s="4" t="s">
        <v>190</v>
      </c>
      <c r="H285" s="10">
        <v>68.36</v>
      </c>
      <c r="I285" s="4" t="s">
        <v>1046</v>
      </c>
    </row>
    <row r="286" ht="15.75" customHeight="1">
      <c r="A286" s="4" t="s">
        <v>1646</v>
      </c>
      <c r="B286" s="13">
        <v>46108.721712963</v>
      </c>
      <c r="C286" s="4" t="s">
        <v>1647</v>
      </c>
      <c r="D286" s="4" t="s">
        <v>1104</v>
      </c>
      <c r="E286" s="4" t="s">
        <v>1105</v>
      </c>
      <c r="F286" s="4" t="s">
        <v>121</v>
      </c>
      <c r="G286" s="4"/>
      <c r="H286" s="4"/>
      <c r="I286" s="4" t="s">
        <v>587</v>
      </c>
    </row>
    <row r="287" ht="15.75" customHeight="1">
      <c r="A287" s="4" t="s">
        <v>1648</v>
      </c>
      <c r="B287" s="13">
        <v>46060.4111805556</v>
      </c>
      <c r="C287" s="4" t="s">
        <v>1649</v>
      </c>
      <c r="D287" s="4" t="s">
        <v>1075</v>
      </c>
      <c r="E287" s="4" t="s">
        <v>1064</v>
      </c>
      <c r="F287" s="4"/>
      <c r="G287" s="4"/>
      <c r="H287" s="4"/>
      <c r="I287" s="4" t="s">
        <v>1046</v>
      </c>
    </row>
    <row r="288" ht="15.75" customHeight="1">
      <c r="A288" s="4" t="s">
        <v>1650</v>
      </c>
      <c r="B288" s="13">
        <v>46110.7035416667</v>
      </c>
      <c r="C288" s="4" t="s">
        <v>1651</v>
      </c>
      <c r="D288" s="4" t="s">
        <v>1110</v>
      </c>
      <c r="E288" s="4" t="s">
        <v>1064</v>
      </c>
      <c r="F288" s="4"/>
      <c r="G288" s="4" t="s">
        <v>69</v>
      </c>
      <c r="H288" s="10">
        <v>185.07</v>
      </c>
      <c r="I288" s="4" t="s">
        <v>1046</v>
      </c>
    </row>
    <row r="289" ht="15.75" customHeight="1">
      <c r="A289" s="4" t="s">
        <v>1652</v>
      </c>
      <c r="B289" s="13">
        <v>46088.5820717593</v>
      </c>
      <c r="C289" s="4" t="s">
        <v>1653</v>
      </c>
      <c r="D289" s="4" t="s">
        <v>1081</v>
      </c>
      <c r="E289" s="4" t="s">
        <v>1064</v>
      </c>
      <c r="F289" s="4"/>
      <c r="G289" s="4"/>
      <c r="H289" s="4"/>
      <c r="I289" s="4" t="s">
        <v>1030</v>
      </c>
    </row>
    <row r="290" ht="15.75" customHeight="1">
      <c r="A290" s="4" t="s">
        <v>1654</v>
      </c>
      <c r="B290" s="13">
        <v>46128.5462962963</v>
      </c>
      <c r="C290" s="4" t="s">
        <v>1655</v>
      </c>
      <c r="D290" s="4" t="s">
        <v>1093</v>
      </c>
      <c r="E290" s="4" t="s">
        <v>1064</v>
      </c>
      <c r="F290" s="4"/>
      <c r="G290" s="4"/>
      <c r="H290" s="4"/>
      <c r="I290" s="4" t="s">
        <v>1036</v>
      </c>
    </row>
    <row r="291" ht="15.75" customHeight="1">
      <c r="A291" s="4" t="s">
        <v>1656</v>
      </c>
      <c r="B291" s="13">
        <v>46066.993587963</v>
      </c>
      <c r="C291" s="4" t="s">
        <v>1657</v>
      </c>
      <c r="D291" s="4" t="s">
        <v>1163</v>
      </c>
      <c r="E291" s="4" t="s">
        <v>1072</v>
      </c>
      <c r="F291" s="4"/>
      <c r="G291" s="4"/>
      <c r="H291" s="4"/>
      <c r="I291" s="4" t="s">
        <v>587</v>
      </c>
    </row>
    <row r="292" ht="15.75" customHeight="1">
      <c r="A292" s="4" t="s">
        <v>1658</v>
      </c>
      <c r="B292" s="13">
        <v>46054.4962037037</v>
      </c>
      <c r="C292" s="4" t="s">
        <v>1659</v>
      </c>
      <c r="D292" s="4" t="s">
        <v>1163</v>
      </c>
      <c r="E292" s="4" t="s">
        <v>1072</v>
      </c>
      <c r="F292" s="4"/>
      <c r="G292" s="4"/>
      <c r="H292" s="4"/>
      <c r="I292" s="4" t="s">
        <v>1052</v>
      </c>
    </row>
    <row r="293" ht="15.75" customHeight="1">
      <c r="A293" s="4" t="s">
        <v>1660</v>
      </c>
      <c r="B293" s="13">
        <v>46119.9493171296</v>
      </c>
      <c r="C293" s="4" t="s">
        <v>1661</v>
      </c>
      <c r="D293" s="4" t="s">
        <v>1071</v>
      </c>
      <c r="E293" s="4" t="s">
        <v>1072</v>
      </c>
      <c r="F293" s="4"/>
      <c r="G293" s="4"/>
      <c r="H293" s="4"/>
      <c r="I293" s="4" t="s">
        <v>1028</v>
      </c>
    </row>
    <row r="294" ht="15.75" customHeight="1">
      <c r="A294" s="4" t="s">
        <v>1662</v>
      </c>
      <c r="B294" s="13">
        <v>46081.9889236111</v>
      </c>
      <c r="C294" s="4" t="s">
        <v>1663</v>
      </c>
      <c r="D294" s="4" t="s">
        <v>1104</v>
      </c>
      <c r="E294" s="4" t="s">
        <v>1090</v>
      </c>
      <c r="F294" s="4" t="s">
        <v>782</v>
      </c>
      <c r="G294" s="4"/>
      <c r="H294" s="4"/>
      <c r="I294" s="4" t="s">
        <v>587</v>
      </c>
    </row>
    <row r="295" ht="15.75" customHeight="1">
      <c r="A295" s="4" t="s">
        <v>1664</v>
      </c>
      <c r="B295" s="13">
        <v>46069.3503935185</v>
      </c>
      <c r="C295" s="4" t="s">
        <v>1665</v>
      </c>
      <c r="D295" s="4" t="s">
        <v>1089</v>
      </c>
      <c r="E295" s="4" t="s">
        <v>1105</v>
      </c>
      <c r="F295" s="4" t="s">
        <v>192</v>
      </c>
      <c r="G295" s="4"/>
      <c r="H295" s="4"/>
      <c r="I295" s="4" t="s">
        <v>1034</v>
      </c>
    </row>
    <row r="296" ht="15.75" customHeight="1">
      <c r="A296" s="4" t="s">
        <v>1666</v>
      </c>
      <c r="B296" s="13">
        <v>46043.434525463</v>
      </c>
      <c r="C296" s="4" t="s">
        <v>1667</v>
      </c>
      <c r="D296" s="4" t="s">
        <v>1081</v>
      </c>
      <c r="E296" s="4" t="s">
        <v>1064</v>
      </c>
      <c r="F296" s="4"/>
      <c r="G296" s="4"/>
      <c r="H296" s="4"/>
      <c r="I296" s="4" t="s">
        <v>1046</v>
      </c>
    </row>
    <row r="297" ht="15.75" customHeight="1">
      <c r="A297" s="4" t="s">
        <v>1668</v>
      </c>
      <c r="B297" s="13">
        <v>46110.6844444444</v>
      </c>
      <c r="C297" s="4" t="s">
        <v>1669</v>
      </c>
      <c r="D297" s="4" t="s">
        <v>1104</v>
      </c>
      <c r="E297" s="4" t="s">
        <v>1090</v>
      </c>
      <c r="F297" s="4" t="s">
        <v>778</v>
      </c>
      <c r="G297" s="4"/>
      <c r="H297" s="4"/>
      <c r="I297" s="4" t="s">
        <v>1036</v>
      </c>
    </row>
    <row r="298" ht="15.75" customHeight="1">
      <c r="A298" s="4" t="s">
        <v>1670</v>
      </c>
      <c r="B298" s="13">
        <v>46064.8540277778</v>
      </c>
      <c r="C298" s="4" t="s">
        <v>1671</v>
      </c>
      <c r="D298" s="4" t="s">
        <v>1128</v>
      </c>
      <c r="E298" s="4" t="s">
        <v>1090</v>
      </c>
      <c r="F298" s="4" t="s">
        <v>790</v>
      </c>
      <c r="G298" s="4"/>
      <c r="H298" s="4"/>
      <c r="I298" s="4" t="s">
        <v>1052</v>
      </c>
    </row>
    <row r="299" ht="15.75" customHeight="1">
      <c r="A299" s="4" t="s">
        <v>1672</v>
      </c>
      <c r="B299" s="13">
        <v>46102.7434490741</v>
      </c>
      <c r="C299" s="4" t="s">
        <v>1673</v>
      </c>
      <c r="D299" s="4" t="s">
        <v>1075</v>
      </c>
      <c r="E299" s="4" t="s">
        <v>1064</v>
      </c>
      <c r="F299" s="4"/>
      <c r="G299" s="4"/>
      <c r="H299" s="4"/>
      <c r="I299" s="4" t="s">
        <v>1034</v>
      </c>
    </row>
    <row r="300" ht="15.75" customHeight="1">
      <c r="A300" s="4" t="s">
        <v>1674</v>
      </c>
      <c r="B300" s="13">
        <v>46100.6547800926</v>
      </c>
      <c r="C300" s="4" t="s">
        <v>1675</v>
      </c>
      <c r="D300" s="4" t="s">
        <v>1089</v>
      </c>
      <c r="E300" s="4" t="s">
        <v>1090</v>
      </c>
      <c r="F300" s="4" t="s">
        <v>790</v>
      </c>
      <c r="G300" s="4"/>
      <c r="H300" s="4"/>
      <c r="I300" s="4" t="s">
        <v>1048</v>
      </c>
    </row>
    <row r="301" ht="15.75" customHeight="1">
      <c r="A301" s="4" t="s">
        <v>1676</v>
      </c>
      <c r="B301" s="13">
        <v>46105.5138425926</v>
      </c>
      <c r="C301" s="4" t="s">
        <v>1677</v>
      </c>
      <c r="D301" s="4" t="s">
        <v>1078</v>
      </c>
      <c r="E301" s="4" t="s">
        <v>1064</v>
      </c>
      <c r="F301" s="4"/>
      <c r="G301" s="4" t="s">
        <v>244</v>
      </c>
      <c r="H301" s="10">
        <v>109.46</v>
      </c>
      <c r="I301" s="4" t="s">
        <v>1030</v>
      </c>
    </row>
    <row r="302" ht="15.75" customHeight="1">
      <c r="A302" s="4" t="s">
        <v>1678</v>
      </c>
      <c r="B302" s="13">
        <v>46033.7239351852</v>
      </c>
      <c r="C302" s="4" t="s">
        <v>1679</v>
      </c>
      <c r="D302" s="4" t="s">
        <v>1081</v>
      </c>
      <c r="E302" s="4" t="s">
        <v>1064</v>
      </c>
      <c r="F302" s="4"/>
      <c r="G302" s="4"/>
      <c r="H302" s="4"/>
      <c r="I302" s="4" t="s">
        <v>1028</v>
      </c>
    </row>
    <row r="303" ht="15.75" customHeight="1">
      <c r="A303" s="4" t="s">
        <v>1680</v>
      </c>
      <c r="B303" s="13">
        <v>46034.8327662037</v>
      </c>
      <c r="C303" s="4" t="s">
        <v>1681</v>
      </c>
      <c r="D303" s="4" t="s">
        <v>1093</v>
      </c>
      <c r="E303" s="4" t="s">
        <v>1064</v>
      </c>
      <c r="F303" s="4"/>
      <c r="G303" s="4"/>
      <c r="H303" s="4"/>
      <c r="I303" s="4" t="s">
        <v>1046</v>
      </c>
    </row>
    <row r="304" ht="15.75" customHeight="1">
      <c r="A304" s="4" t="s">
        <v>1682</v>
      </c>
      <c r="B304" s="13">
        <v>46092.5430439815</v>
      </c>
      <c r="C304" s="4" t="s">
        <v>1683</v>
      </c>
      <c r="D304" s="4" t="s">
        <v>1110</v>
      </c>
      <c r="E304" s="4" t="s">
        <v>1064</v>
      </c>
      <c r="F304" s="4"/>
      <c r="G304" s="4" t="s">
        <v>227</v>
      </c>
      <c r="H304" s="10">
        <v>232.27</v>
      </c>
      <c r="I304" s="4" t="s">
        <v>1030</v>
      </c>
    </row>
    <row r="305" ht="15.75" customHeight="1">
      <c r="A305" s="4" t="s">
        <v>1684</v>
      </c>
      <c r="B305" s="13">
        <v>46103.9386458333</v>
      </c>
      <c r="C305" s="4" t="s">
        <v>1685</v>
      </c>
      <c r="D305" s="4" t="s">
        <v>1086</v>
      </c>
      <c r="E305" s="4" t="s">
        <v>1064</v>
      </c>
      <c r="F305" s="4"/>
      <c r="G305" s="4"/>
      <c r="H305" s="4"/>
      <c r="I305" s="4" t="s">
        <v>587</v>
      </c>
    </row>
    <row r="306" ht="15.75" customHeight="1">
      <c r="A306" s="4" t="s">
        <v>1686</v>
      </c>
      <c r="B306" s="13">
        <v>46096.8975810185</v>
      </c>
      <c r="C306" s="4" t="s">
        <v>1687</v>
      </c>
      <c r="D306" s="4" t="s">
        <v>1071</v>
      </c>
      <c r="E306" s="4" t="s">
        <v>1072</v>
      </c>
      <c r="F306" s="4"/>
      <c r="G306" s="4"/>
      <c r="H306" s="4"/>
      <c r="I306" s="4" t="s">
        <v>1039</v>
      </c>
    </row>
    <row r="307" ht="15.75" customHeight="1">
      <c r="A307" s="4" t="s">
        <v>1688</v>
      </c>
      <c r="B307" s="13">
        <v>46124.7802430556</v>
      </c>
      <c r="C307" s="4" t="s">
        <v>1689</v>
      </c>
      <c r="D307" s="4" t="s">
        <v>1089</v>
      </c>
      <c r="E307" s="4" t="s">
        <v>1090</v>
      </c>
      <c r="F307" s="4" t="s">
        <v>788</v>
      </c>
      <c r="G307" s="4"/>
      <c r="H307" s="4"/>
      <c r="I307" s="4" t="s">
        <v>1034</v>
      </c>
    </row>
    <row r="308" ht="15.75" customHeight="1">
      <c r="A308" s="4" t="s">
        <v>1690</v>
      </c>
      <c r="B308" s="13">
        <v>46112.7055671296</v>
      </c>
      <c r="C308" s="4" t="s">
        <v>1691</v>
      </c>
      <c r="D308" s="4" t="s">
        <v>1089</v>
      </c>
      <c r="E308" s="4" t="s">
        <v>1105</v>
      </c>
      <c r="F308" s="4" t="s">
        <v>221</v>
      </c>
      <c r="G308" s="4"/>
      <c r="H308" s="4"/>
      <c r="I308" s="4" t="s">
        <v>1036</v>
      </c>
    </row>
    <row r="309" ht="15.75" customHeight="1">
      <c r="A309" s="4" t="s">
        <v>1692</v>
      </c>
      <c r="B309" s="13">
        <v>46026.465474537</v>
      </c>
      <c r="C309" s="4" t="s">
        <v>1693</v>
      </c>
      <c r="D309" s="4" t="s">
        <v>1089</v>
      </c>
      <c r="E309" s="4" t="s">
        <v>1090</v>
      </c>
      <c r="F309" s="4" t="s">
        <v>790</v>
      </c>
      <c r="G309" s="4"/>
      <c r="H309" s="4"/>
      <c r="I309" s="4" t="s">
        <v>1050</v>
      </c>
    </row>
    <row r="310" ht="15.75" customHeight="1">
      <c r="A310" s="4" t="s">
        <v>1694</v>
      </c>
      <c r="B310" s="13">
        <v>46090.853900463</v>
      </c>
      <c r="C310" s="4" t="s">
        <v>1695</v>
      </c>
      <c r="D310" s="4" t="s">
        <v>1128</v>
      </c>
      <c r="E310" s="4" t="s">
        <v>1090</v>
      </c>
      <c r="F310" s="4" t="s">
        <v>792</v>
      </c>
      <c r="G310" s="4"/>
      <c r="H310" s="4"/>
      <c r="I310" s="4" t="s">
        <v>427</v>
      </c>
    </row>
    <row r="311" ht="15.75" customHeight="1">
      <c r="A311" s="4" t="s">
        <v>1696</v>
      </c>
      <c r="B311" s="13">
        <v>46054.5302546296</v>
      </c>
      <c r="C311" s="4" t="s">
        <v>1697</v>
      </c>
      <c r="D311" s="4" t="s">
        <v>1081</v>
      </c>
      <c r="E311" s="4" t="s">
        <v>1064</v>
      </c>
      <c r="F311" s="4"/>
      <c r="G311" s="4"/>
      <c r="H311" s="4"/>
      <c r="I311" s="4" t="s">
        <v>587</v>
      </c>
    </row>
    <row r="312" ht="15.75" customHeight="1">
      <c r="A312" s="4" t="s">
        <v>1698</v>
      </c>
      <c r="B312" s="13">
        <v>46047.4732060185</v>
      </c>
      <c r="C312" s="4" t="s">
        <v>1699</v>
      </c>
      <c r="D312" s="4" t="s">
        <v>1110</v>
      </c>
      <c r="E312" s="4" t="s">
        <v>1064</v>
      </c>
      <c r="F312" s="4"/>
      <c r="G312" s="4" t="s">
        <v>93</v>
      </c>
      <c r="H312" s="10">
        <v>67.56</v>
      </c>
      <c r="I312" s="4" t="s">
        <v>1035</v>
      </c>
    </row>
    <row r="313" ht="15.75" customHeight="1">
      <c r="A313" s="4" t="s">
        <v>1700</v>
      </c>
      <c r="B313" s="13">
        <v>46115.9666435185</v>
      </c>
      <c r="C313" s="4" t="s">
        <v>1701</v>
      </c>
      <c r="D313" s="4" t="s">
        <v>1063</v>
      </c>
      <c r="E313" s="4" t="s">
        <v>1064</v>
      </c>
      <c r="F313" s="4"/>
      <c r="G313" s="4" t="s">
        <v>77</v>
      </c>
      <c r="H313" s="4"/>
      <c r="I313" s="4" t="s">
        <v>1036</v>
      </c>
    </row>
    <row r="314" ht="15.75" customHeight="1">
      <c r="A314" s="4" t="s">
        <v>1702</v>
      </c>
      <c r="B314" s="13">
        <v>46111.6399652778</v>
      </c>
      <c r="C314" s="4" t="s">
        <v>1703</v>
      </c>
      <c r="D314" s="4" t="s">
        <v>1110</v>
      </c>
      <c r="E314" s="4" t="s">
        <v>1064</v>
      </c>
      <c r="F314" s="4"/>
      <c r="G314" s="4" t="s">
        <v>190</v>
      </c>
      <c r="H314" s="10">
        <v>146.71</v>
      </c>
      <c r="I314" s="4" t="s">
        <v>1031</v>
      </c>
    </row>
    <row r="315" ht="15.75" customHeight="1">
      <c r="A315" s="4" t="s">
        <v>1704</v>
      </c>
      <c r="B315" s="13">
        <v>46069.3621643519</v>
      </c>
      <c r="C315" s="4" t="s">
        <v>1705</v>
      </c>
      <c r="D315" s="4" t="s">
        <v>1063</v>
      </c>
      <c r="E315" s="4" t="s">
        <v>1064</v>
      </c>
      <c r="F315" s="4"/>
      <c r="G315" s="4" t="s">
        <v>93</v>
      </c>
      <c r="H315" s="4"/>
      <c r="I315" s="4" t="s">
        <v>1042</v>
      </c>
    </row>
    <row r="316" ht="15.75" customHeight="1">
      <c r="A316" s="4" t="s">
        <v>1706</v>
      </c>
      <c r="B316" s="13">
        <v>46064.9928587963</v>
      </c>
      <c r="C316" s="4" t="s">
        <v>1707</v>
      </c>
      <c r="D316" s="4" t="s">
        <v>1071</v>
      </c>
      <c r="E316" s="4" t="s">
        <v>1072</v>
      </c>
      <c r="F316" s="4"/>
      <c r="G316" s="4"/>
      <c r="H316" s="4"/>
      <c r="I316" s="4" t="s">
        <v>1036</v>
      </c>
    </row>
    <row r="317" ht="15.75" customHeight="1">
      <c r="A317" s="4" t="s">
        <v>1708</v>
      </c>
      <c r="B317" s="13">
        <v>46109.4582523148</v>
      </c>
      <c r="C317" s="4" t="s">
        <v>1709</v>
      </c>
      <c r="D317" s="4" t="s">
        <v>1104</v>
      </c>
      <c r="E317" s="4" t="s">
        <v>1105</v>
      </c>
      <c r="F317" s="4" t="s">
        <v>238</v>
      </c>
      <c r="G317" s="4"/>
      <c r="H317" s="4"/>
      <c r="I317" s="4" t="s">
        <v>587</v>
      </c>
    </row>
    <row r="318" ht="15.75" customHeight="1">
      <c r="A318" s="4" t="s">
        <v>1710</v>
      </c>
      <c r="B318" s="13">
        <v>46065.6373842593</v>
      </c>
      <c r="C318" s="4" t="s">
        <v>1711</v>
      </c>
      <c r="D318" s="4" t="s">
        <v>1086</v>
      </c>
      <c r="E318" s="4" t="s">
        <v>1064</v>
      </c>
      <c r="F318" s="4"/>
      <c r="G318" s="4"/>
      <c r="H318" s="4"/>
      <c r="I318" s="4" t="s">
        <v>1031</v>
      </c>
    </row>
    <row r="319" ht="15.75" customHeight="1">
      <c r="A319" s="4" t="s">
        <v>1712</v>
      </c>
      <c r="B319" s="13">
        <v>46034.7628356482</v>
      </c>
      <c r="C319" s="4" t="s">
        <v>1713</v>
      </c>
      <c r="D319" s="4" t="s">
        <v>1078</v>
      </c>
      <c r="E319" s="4" t="s">
        <v>1064</v>
      </c>
      <c r="F319" s="4"/>
      <c r="G319" s="4" t="s">
        <v>190</v>
      </c>
      <c r="H319" s="10">
        <v>56.22</v>
      </c>
      <c r="I319" s="4" t="s">
        <v>427</v>
      </c>
    </row>
    <row r="320" ht="15.75" customHeight="1">
      <c r="A320" s="4" t="s">
        <v>1714</v>
      </c>
      <c r="B320" s="13">
        <v>46102.6197453704</v>
      </c>
      <c r="C320" s="4" t="s">
        <v>1715</v>
      </c>
      <c r="D320" s="4" t="s">
        <v>1063</v>
      </c>
      <c r="E320" s="4" t="s">
        <v>1064</v>
      </c>
      <c r="F320" s="4"/>
      <c r="G320" s="4" t="s">
        <v>61</v>
      </c>
      <c r="H320" s="4"/>
      <c r="I320" s="4" t="s">
        <v>1046</v>
      </c>
    </row>
    <row r="321" ht="15.75" customHeight="1">
      <c r="A321" s="4" t="s">
        <v>1716</v>
      </c>
      <c r="B321" s="13">
        <v>46028.3606134259</v>
      </c>
      <c r="C321" s="4" t="s">
        <v>1717</v>
      </c>
      <c r="D321" s="4" t="s">
        <v>1063</v>
      </c>
      <c r="E321" s="4" t="s">
        <v>1064</v>
      </c>
      <c r="F321" s="4"/>
      <c r="G321" s="4" t="s">
        <v>195</v>
      </c>
      <c r="H321" s="4"/>
      <c r="I321" s="4" t="s">
        <v>427</v>
      </c>
    </row>
    <row r="322" ht="15.75" customHeight="1">
      <c r="A322" s="4" t="s">
        <v>1718</v>
      </c>
      <c r="B322" s="13">
        <v>46072.4893171296</v>
      </c>
      <c r="C322" s="4" t="s">
        <v>1719</v>
      </c>
      <c r="D322" s="4" t="s">
        <v>1093</v>
      </c>
      <c r="E322" s="4" t="s">
        <v>1064</v>
      </c>
      <c r="F322" s="4"/>
      <c r="G322" s="4"/>
      <c r="H322" s="4"/>
      <c r="I322" s="4" t="s">
        <v>1039</v>
      </c>
    </row>
    <row r="323" ht="15.75" customHeight="1">
      <c r="A323" s="4" t="s">
        <v>1720</v>
      </c>
      <c r="B323" s="13">
        <v>46119.9585300926</v>
      </c>
      <c r="C323" s="4" t="s">
        <v>1721</v>
      </c>
      <c r="D323" s="4" t="s">
        <v>1128</v>
      </c>
      <c r="E323" s="4" t="s">
        <v>1105</v>
      </c>
      <c r="F323" s="4" t="s">
        <v>302</v>
      </c>
      <c r="G323" s="4"/>
      <c r="H323" s="4"/>
      <c r="I323" s="4" t="s">
        <v>1034</v>
      </c>
    </row>
    <row r="324" ht="15.75" customHeight="1">
      <c r="A324" s="4" t="s">
        <v>1722</v>
      </c>
      <c r="B324" s="13">
        <v>46043.5412152778</v>
      </c>
      <c r="C324" s="4" t="s">
        <v>1723</v>
      </c>
      <c r="D324" s="4" t="s">
        <v>1075</v>
      </c>
      <c r="E324" s="4" t="s">
        <v>1064</v>
      </c>
      <c r="F324" s="4"/>
      <c r="G324" s="4"/>
      <c r="H324" s="4"/>
      <c r="I324" s="4" t="s">
        <v>587</v>
      </c>
    </row>
    <row r="325" ht="15.75" customHeight="1">
      <c r="A325" s="4" t="s">
        <v>1724</v>
      </c>
      <c r="B325" s="13">
        <v>46087.9102777778</v>
      </c>
      <c r="C325" s="4" t="s">
        <v>1725</v>
      </c>
      <c r="D325" s="4" t="s">
        <v>1071</v>
      </c>
      <c r="E325" s="4" t="s">
        <v>1119</v>
      </c>
      <c r="F325" s="4"/>
      <c r="G325" s="4"/>
      <c r="H325" s="4"/>
      <c r="I325" s="4" t="s">
        <v>427</v>
      </c>
    </row>
    <row r="326" ht="15.75" customHeight="1">
      <c r="A326" s="4" t="s">
        <v>1726</v>
      </c>
      <c r="B326" s="13">
        <v>46113.7724652778</v>
      </c>
      <c r="C326" s="4" t="s">
        <v>1727</v>
      </c>
      <c r="D326" s="4" t="s">
        <v>1093</v>
      </c>
      <c r="E326" s="4" t="s">
        <v>1064</v>
      </c>
      <c r="F326" s="4"/>
      <c r="G326" s="4"/>
      <c r="H326" s="4"/>
      <c r="I326" s="4" t="s">
        <v>1036</v>
      </c>
    </row>
    <row r="327" ht="15.75" customHeight="1">
      <c r="A327" s="4" t="s">
        <v>1728</v>
      </c>
      <c r="B327" s="13">
        <v>46069.7852430556</v>
      </c>
      <c r="C327" s="4" t="s">
        <v>1729</v>
      </c>
      <c r="D327" s="4" t="s">
        <v>1075</v>
      </c>
      <c r="E327" s="4" t="s">
        <v>1064</v>
      </c>
      <c r="F327" s="4"/>
      <c r="G327" s="4"/>
      <c r="H327" s="4"/>
      <c r="I327" s="4" t="s">
        <v>1050</v>
      </c>
    </row>
    <row r="328" ht="15.75" customHeight="1">
      <c r="A328" s="4" t="s">
        <v>1730</v>
      </c>
      <c r="B328" s="13">
        <v>46038.4525925926</v>
      </c>
      <c r="C328" s="4" t="s">
        <v>1731</v>
      </c>
      <c r="D328" s="4" t="s">
        <v>1071</v>
      </c>
      <c r="E328" s="4" t="s">
        <v>1072</v>
      </c>
      <c r="F328" s="4"/>
      <c r="G328" s="4"/>
      <c r="H328" s="4"/>
      <c r="I328" s="4" t="s">
        <v>1042</v>
      </c>
    </row>
    <row r="329" ht="15.75" customHeight="1">
      <c r="A329" s="4" t="s">
        <v>1732</v>
      </c>
      <c r="B329" s="13">
        <v>46042.7247685185</v>
      </c>
      <c r="C329" s="4" t="s">
        <v>1733</v>
      </c>
      <c r="D329" s="4" t="s">
        <v>1089</v>
      </c>
      <c r="E329" s="4" t="s">
        <v>1090</v>
      </c>
      <c r="F329" s="4" t="s">
        <v>782</v>
      </c>
      <c r="G329" s="4"/>
      <c r="H329" s="4"/>
      <c r="I329" s="4" t="s">
        <v>1028</v>
      </c>
    </row>
    <row r="330" ht="15.75" customHeight="1">
      <c r="A330" s="4" t="s">
        <v>1734</v>
      </c>
      <c r="B330" s="13">
        <v>46125.7884259259</v>
      </c>
      <c r="C330" s="4" t="s">
        <v>1735</v>
      </c>
      <c r="D330" s="4" t="s">
        <v>1104</v>
      </c>
      <c r="E330" s="4" t="s">
        <v>1105</v>
      </c>
      <c r="F330" s="4" t="s">
        <v>238</v>
      </c>
      <c r="G330" s="4"/>
      <c r="H330" s="4"/>
      <c r="I330" s="4" t="s">
        <v>1052</v>
      </c>
    </row>
    <row r="331" ht="15.75" customHeight="1">
      <c r="A331" s="4" t="s">
        <v>1736</v>
      </c>
      <c r="B331" s="13">
        <v>46104.899849537</v>
      </c>
      <c r="C331" s="4" t="s">
        <v>1737</v>
      </c>
      <c r="D331" s="4" t="s">
        <v>1081</v>
      </c>
      <c r="E331" s="4" t="s">
        <v>1064</v>
      </c>
      <c r="F331" s="4"/>
      <c r="G331" s="4"/>
      <c r="H331" s="4"/>
      <c r="I331" s="4" t="s">
        <v>587</v>
      </c>
    </row>
    <row r="332" ht="15.75" customHeight="1">
      <c r="A332" s="4" t="s">
        <v>1738</v>
      </c>
      <c r="B332" s="13">
        <v>46090.8504282407</v>
      </c>
      <c r="C332" s="4" t="s">
        <v>1739</v>
      </c>
      <c r="D332" s="4" t="s">
        <v>1163</v>
      </c>
      <c r="E332" s="4" t="s">
        <v>1119</v>
      </c>
      <c r="F332" s="4"/>
      <c r="G332" s="4"/>
      <c r="H332" s="4"/>
      <c r="I332" s="4" t="s">
        <v>1052</v>
      </c>
    </row>
    <row r="333" ht="15.75" customHeight="1">
      <c r="A333" s="4" t="s">
        <v>1740</v>
      </c>
      <c r="B333" s="13">
        <v>46080.9488194444</v>
      </c>
      <c r="C333" s="4" t="s">
        <v>1741</v>
      </c>
      <c r="D333" s="4" t="s">
        <v>1075</v>
      </c>
      <c r="E333" s="4" t="s">
        <v>1064</v>
      </c>
      <c r="F333" s="4"/>
      <c r="G333" s="4"/>
      <c r="H333" s="4"/>
      <c r="I333" s="4" t="s">
        <v>1034</v>
      </c>
    </row>
    <row r="334" ht="15.75" customHeight="1">
      <c r="A334" s="4" t="s">
        <v>1742</v>
      </c>
      <c r="B334" s="13">
        <v>46117.5822106482</v>
      </c>
      <c r="C334" s="4" t="s">
        <v>1743</v>
      </c>
      <c r="D334" s="4" t="s">
        <v>1163</v>
      </c>
      <c r="E334" s="4" t="s">
        <v>1072</v>
      </c>
      <c r="F334" s="4"/>
      <c r="G334" s="4"/>
      <c r="H334" s="4"/>
      <c r="I334" s="4" t="s">
        <v>587</v>
      </c>
    </row>
    <row r="335" ht="15.75" customHeight="1">
      <c r="A335" s="4" t="s">
        <v>1744</v>
      </c>
      <c r="B335" s="13">
        <v>46113.4910648148</v>
      </c>
      <c r="C335" s="4" t="s">
        <v>1745</v>
      </c>
      <c r="D335" s="4" t="s">
        <v>1128</v>
      </c>
      <c r="E335" s="4" t="s">
        <v>1105</v>
      </c>
      <c r="F335" s="4" t="s">
        <v>269</v>
      </c>
      <c r="G335" s="4"/>
      <c r="H335" s="4"/>
      <c r="I335" s="4" t="s">
        <v>1042</v>
      </c>
    </row>
    <row r="336" ht="15.75" customHeight="1">
      <c r="A336" s="4" t="s">
        <v>1746</v>
      </c>
      <c r="B336" s="13">
        <v>46062.4190277778</v>
      </c>
      <c r="C336" s="4" t="s">
        <v>1747</v>
      </c>
      <c r="D336" s="4" t="s">
        <v>1081</v>
      </c>
      <c r="E336" s="4" t="s">
        <v>1064</v>
      </c>
      <c r="F336" s="4"/>
      <c r="G336" s="4"/>
      <c r="H336" s="4"/>
      <c r="I336" s="4" t="s">
        <v>1050</v>
      </c>
    </row>
    <row r="337" ht="15.75" customHeight="1">
      <c r="A337" s="4" t="s">
        <v>1748</v>
      </c>
      <c r="B337" s="13">
        <v>46043.6149884259</v>
      </c>
      <c r="C337" s="4" t="s">
        <v>1749</v>
      </c>
      <c r="D337" s="4" t="s">
        <v>1093</v>
      </c>
      <c r="E337" s="4" t="s">
        <v>1064</v>
      </c>
      <c r="F337" s="4"/>
      <c r="G337" s="4"/>
      <c r="H337" s="4"/>
      <c r="I337" s="4" t="s">
        <v>1035</v>
      </c>
    </row>
    <row r="338" ht="15.75" customHeight="1">
      <c r="A338" s="4" t="s">
        <v>1750</v>
      </c>
      <c r="B338" s="13">
        <v>46074.4461689815</v>
      </c>
      <c r="C338" s="4" t="s">
        <v>1751</v>
      </c>
      <c r="D338" s="4" t="s">
        <v>1093</v>
      </c>
      <c r="E338" s="4" t="s">
        <v>1064</v>
      </c>
      <c r="F338" s="4"/>
      <c r="G338" s="4"/>
      <c r="H338" s="4"/>
      <c r="I338" s="4" t="s">
        <v>1046</v>
      </c>
    </row>
    <row r="339" ht="15.75" customHeight="1">
      <c r="A339" s="4" t="s">
        <v>1752</v>
      </c>
      <c r="B339" s="13">
        <v>46056.8164351852</v>
      </c>
      <c r="C339" s="4" t="s">
        <v>1753</v>
      </c>
      <c r="D339" s="4" t="s">
        <v>1063</v>
      </c>
      <c r="E339" s="4" t="s">
        <v>1064</v>
      </c>
      <c r="F339" s="4"/>
      <c r="G339" s="4" t="s">
        <v>100</v>
      </c>
      <c r="H339" s="4"/>
      <c r="I339" s="4" t="s">
        <v>1034</v>
      </c>
    </row>
    <row r="340" ht="15.75" customHeight="1">
      <c r="A340" s="4" t="s">
        <v>1754</v>
      </c>
      <c r="B340" s="13">
        <v>46102.4394907407</v>
      </c>
      <c r="C340" s="4" t="s">
        <v>1755</v>
      </c>
      <c r="D340" s="4" t="s">
        <v>1128</v>
      </c>
      <c r="E340" s="4" t="s">
        <v>1105</v>
      </c>
      <c r="F340" s="4" t="s">
        <v>102</v>
      </c>
      <c r="G340" s="4"/>
      <c r="H340" s="4"/>
      <c r="I340" s="4" t="s">
        <v>1031</v>
      </c>
    </row>
    <row r="341" ht="15.75" customHeight="1">
      <c r="A341" s="4" t="s">
        <v>1756</v>
      </c>
      <c r="B341" s="13">
        <v>46093.5732407407</v>
      </c>
      <c r="C341" s="4" t="s">
        <v>1757</v>
      </c>
      <c r="D341" s="4" t="s">
        <v>1089</v>
      </c>
      <c r="E341" s="4" t="s">
        <v>1090</v>
      </c>
      <c r="F341" s="4" t="s">
        <v>786</v>
      </c>
      <c r="G341" s="4"/>
      <c r="H341" s="4"/>
      <c r="I341" s="4" t="s">
        <v>1046</v>
      </c>
    </row>
    <row r="342" ht="15.75" customHeight="1">
      <c r="A342" s="4" t="s">
        <v>1758</v>
      </c>
      <c r="B342" s="13">
        <v>46116.6247222222</v>
      </c>
      <c r="C342" s="4" t="s">
        <v>1759</v>
      </c>
      <c r="D342" s="4" t="s">
        <v>1086</v>
      </c>
      <c r="E342" s="4" t="s">
        <v>1064</v>
      </c>
      <c r="F342" s="4"/>
      <c r="G342" s="4"/>
      <c r="H342" s="4"/>
      <c r="I342" s="4" t="s">
        <v>427</v>
      </c>
    </row>
    <row r="343" ht="15.75" customHeight="1">
      <c r="A343" s="4" t="s">
        <v>1760</v>
      </c>
      <c r="B343" s="13">
        <v>46042.6162731482</v>
      </c>
      <c r="C343" s="4" t="s">
        <v>1761</v>
      </c>
      <c r="D343" s="4" t="s">
        <v>1128</v>
      </c>
      <c r="E343" s="4" t="s">
        <v>1105</v>
      </c>
      <c r="F343" s="4" t="s">
        <v>253</v>
      </c>
      <c r="G343" s="4"/>
      <c r="H343" s="4"/>
      <c r="I343" s="4" t="s">
        <v>1030</v>
      </c>
    </row>
    <row r="344" ht="15.75" customHeight="1">
      <c r="A344" s="4" t="s">
        <v>1762</v>
      </c>
      <c r="B344" s="13">
        <v>46061.6497106482</v>
      </c>
      <c r="C344" s="4" t="s">
        <v>1763</v>
      </c>
      <c r="D344" s="4" t="s">
        <v>1081</v>
      </c>
      <c r="E344" s="4" t="s">
        <v>1064</v>
      </c>
      <c r="F344" s="4"/>
      <c r="G344" s="4"/>
      <c r="H344" s="4"/>
      <c r="I344" s="4" t="s">
        <v>1028</v>
      </c>
    </row>
    <row r="345" ht="15.75" customHeight="1">
      <c r="A345" s="4" t="s">
        <v>1764</v>
      </c>
      <c r="B345" s="13">
        <v>46112.6601388889</v>
      </c>
      <c r="C345" s="4" t="s">
        <v>1765</v>
      </c>
      <c r="D345" s="4" t="s">
        <v>1063</v>
      </c>
      <c r="E345" s="4" t="s">
        <v>1064</v>
      </c>
      <c r="F345" s="4"/>
      <c r="G345" s="4" t="s">
        <v>107</v>
      </c>
      <c r="H345" s="4"/>
      <c r="I345" s="4" t="s">
        <v>1031</v>
      </c>
    </row>
    <row r="346" ht="15.75" customHeight="1">
      <c r="A346" s="4" t="s">
        <v>1766</v>
      </c>
      <c r="B346" s="13">
        <v>46085.949849537</v>
      </c>
      <c r="C346" s="4" t="s">
        <v>1767</v>
      </c>
      <c r="D346" s="4" t="s">
        <v>1104</v>
      </c>
      <c r="E346" s="4" t="s">
        <v>1105</v>
      </c>
      <c r="F346" s="4" t="s">
        <v>63</v>
      </c>
      <c r="G346" s="4"/>
      <c r="H346" s="4"/>
      <c r="I346" s="4" t="s">
        <v>1036</v>
      </c>
    </row>
    <row r="347" ht="15.75" customHeight="1">
      <c r="A347" s="4" t="s">
        <v>1768</v>
      </c>
      <c r="B347" s="13">
        <v>46056.6922569444</v>
      </c>
      <c r="C347" s="4" t="s">
        <v>1769</v>
      </c>
      <c r="D347" s="4" t="s">
        <v>1063</v>
      </c>
      <c r="E347" s="4" t="s">
        <v>1064</v>
      </c>
      <c r="F347" s="4"/>
      <c r="G347" s="4" t="s">
        <v>150</v>
      </c>
      <c r="H347" s="4"/>
      <c r="I347" s="4" t="s">
        <v>1046</v>
      </c>
    </row>
    <row r="348" ht="15.75" customHeight="1">
      <c r="A348" s="4" t="s">
        <v>1770</v>
      </c>
      <c r="B348" s="13">
        <v>46128.9167939815</v>
      </c>
      <c r="C348" s="4" t="s">
        <v>1771</v>
      </c>
      <c r="D348" s="4" t="s">
        <v>1071</v>
      </c>
      <c r="E348" s="4" t="s">
        <v>1072</v>
      </c>
      <c r="F348" s="4"/>
      <c r="G348" s="4"/>
      <c r="H348" s="4"/>
      <c r="I348" s="4" t="s">
        <v>1052</v>
      </c>
    </row>
    <row r="349" ht="15.75" customHeight="1">
      <c r="A349" s="4" t="s">
        <v>1772</v>
      </c>
      <c r="B349" s="13">
        <v>46099.9503819444</v>
      </c>
      <c r="C349" s="4" t="s">
        <v>1773</v>
      </c>
      <c r="D349" s="4" t="s">
        <v>1081</v>
      </c>
      <c r="E349" s="4" t="s">
        <v>1064</v>
      </c>
      <c r="F349" s="4"/>
      <c r="G349" s="4"/>
      <c r="H349" s="4"/>
      <c r="I349" s="4" t="s">
        <v>587</v>
      </c>
    </row>
    <row r="350" ht="15.75" customHeight="1">
      <c r="A350" s="4" t="s">
        <v>1774</v>
      </c>
      <c r="B350" s="13">
        <v>46040.6306597222</v>
      </c>
      <c r="C350" s="4" t="s">
        <v>1775</v>
      </c>
      <c r="D350" s="4" t="s">
        <v>1063</v>
      </c>
      <c r="E350" s="4" t="s">
        <v>1064</v>
      </c>
      <c r="F350" s="4"/>
      <c r="G350" s="4" t="s">
        <v>100</v>
      </c>
      <c r="H350" s="4"/>
      <c r="I350" s="4" t="s">
        <v>1048</v>
      </c>
    </row>
    <row r="351" ht="15.75" customHeight="1">
      <c r="A351" s="4" t="s">
        <v>1776</v>
      </c>
      <c r="B351" s="13">
        <v>46045.413912037</v>
      </c>
      <c r="C351" s="4" t="s">
        <v>1777</v>
      </c>
      <c r="D351" s="4" t="s">
        <v>1110</v>
      </c>
      <c r="E351" s="4" t="s">
        <v>1064</v>
      </c>
      <c r="F351" s="4"/>
      <c r="G351" s="4" t="s">
        <v>69</v>
      </c>
      <c r="H351" s="10">
        <v>137.95</v>
      </c>
      <c r="I351" s="4" t="s">
        <v>1048</v>
      </c>
    </row>
    <row r="352" ht="15.75" customHeight="1">
      <c r="A352" s="4" t="s">
        <v>1778</v>
      </c>
      <c r="B352" s="13">
        <v>46079.8216782407</v>
      </c>
      <c r="C352" s="4" t="s">
        <v>1779</v>
      </c>
      <c r="D352" s="4" t="s">
        <v>1071</v>
      </c>
      <c r="E352" s="4" t="s">
        <v>1119</v>
      </c>
      <c r="F352" s="4"/>
      <c r="G352" s="4"/>
      <c r="H352" s="4"/>
      <c r="I352" s="4" t="s">
        <v>1031</v>
      </c>
    </row>
    <row r="353" ht="15.75" customHeight="1">
      <c r="A353" s="4" t="s">
        <v>1780</v>
      </c>
      <c r="B353" s="13">
        <v>46125.3833449074</v>
      </c>
      <c r="C353" s="4" t="s">
        <v>1781</v>
      </c>
      <c r="D353" s="4" t="s">
        <v>1089</v>
      </c>
      <c r="E353" s="4" t="s">
        <v>1105</v>
      </c>
      <c r="F353" s="4" t="s">
        <v>251</v>
      </c>
      <c r="G353" s="4"/>
      <c r="H353" s="4"/>
      <c r="I353" s="4" t="s">
        <v>587</v>
      </c>
    </row>
    <row r="354" ht="15.75" customHeight="1">
      <c r="A354" s="4" t="s">
        <v>1782</v>
      </c>
      <c r="B354" s="13">
        <v>46064.4785185185</v>
      </c>
      <c r="C354" s="4" t="s">
        <v>1783</v>
      </c>
      <c r="D354" s="4" t="s">
        <v>1071</v>
      </c>
      <c r="E354" s="4" t="s">
        <v>1119</v>
      </c>
      <c r="F354" s="4"/>
      <c r="G354" s="4"/>
      <c r="H354" s="4"/>
      <c r="I354" s="4" t="s">
        <v>587</v>
      </c>
    </row>
    <row r="355" ht="15.75" customHeight="1">
      <c r="A355" s="4" t="s">
        <v>1784</v>
      </c>
      <c r="B355" s="13">
        <v>46025.5288888889</v>
      </c>
      <c r="C355" s="4" t="s">
        <v>1785</v>
      </c>
      <c r="D355" s="4" t="s">
        <v>1104</v>
      </c>
      <c r="E355" s="4" t="s">
        <v>1105</v>
      </c>
      <c r="F355" s="4" t="s">
        <v>174</v>
      </c>
      <c r="G355" s="4"/>
      <c r="H355" s="4"/>
      <c r="I355" s="4" t="s">
        <v>1052</v>
      </c>
    </row>
    <row r="356" ht="15.75" customHeight="1">
      <c r="A356" s="4" t="s">
        <v>1786</v>
      </c>
      <c r="B356" s="13">
        <v>46058.5858680556</v>
      </c>
      <c r="C356" s="4" t="s">
        <v>1787</v>
      </c>
      <c r="D356" s="4" t="s">
        <v>1093</v>
      </c>
      <c r="E356" s="4" t="s">
        <v>1064</v>
      </c>
      <c r="F356" s="4"/>
      <c r="G356" s="4"/>
      <c r="H356" s="4"/>
      <c r="I356" s="4" t="s">
        <v>1030</v>
      </c>
    </row>
    <row r="357" ht="15.75" customHeight="1">
      <c r="A357" s="4" t="s">
        <v>1788</v>
      </c>
      <c r="B357" s="13">
        <v>46110.9622453704</v>
      </c>
      <c r="C357" s="4" t="s">
        <v>1789</v>
      </c>
      <c r="D357" s="4" t="s">
        <v>1110</v>
      </c>
      <c r="E357" s="4" t="s">
        <v>1064</v>
      </c>
      <c r="F357" s="4"/>
      <c r="G357" s="4" t="s">
        <v>232</v>
      </c>
      <c r="H357" s="10">
        <v>183.13</v>
      </c>
      <c r="I357" s="4" t="s">
        <v>1030</v>
      </c>
    </row>
    <row r="358" ht="15.75" customHeight="1">
      <c r="A358" s="4" t="s">
        <v>1790</v>
      </c>
      <c r="B358" s="13">
        <v>46043.497025463</v>
      </c>
      <c r="C358" s="4" t="s">
        <v>1791</v>
      </c>
      <c r="D358" s="4" t="s">
        <v>1110</v>
      </c>
      <c r="E358" s="4" t="s">
        <v>1064</v>
      </c>
      <c r="F358" s="4"/>
      <c r="G358" s="4" t="s">
        <v>100</v>
      </c>
      <c r="H358" s="10">
        <v>52.42</v>
      </c>
      <c r="I358" s="4" t="s">
        <v>1035</v>
      </c>
    </row>
    <row r="359" ht="15.75" customHeight="1">
      <c r="A359" s="4" t="s">
        <v>1792</v>
      </c>
      <c r="B359" s="13">
        <v>46109.4216087963</v>
      </c>
      <c r="C359" s="4" t="s">
        <v>1793</v>
      </c>
      <c r="D359" s="4" t="s">
        <v>1086</v>
      </c>
      <c r="E359" s="4" t="s">
        <v>1064</v>
      </c>
      <c r="F359" s="4"/>
      <c r="G359" s="4"/>
      <c r="H359" s="4"/>
      <c r="I359" s="4" t="s">
        <v>1042</v>
      </c>
    </row>
    <row r="360" ht="15.75" customHeight="1">
      <c r="A360" s="4" t="s">
        <v>1794</v>
      </c>
      <c r="B360" s="13">
        <v>46102.394537037</v>
      </c>
      <c r="C360" s="4" t="s">
        <v>1795</v>
      </c>
      <c r="D360" s="4" t="s">
        <v>1104</v>
      </c>
      <c r="E360" s="4" t="s">
        <v>1105</v>
      </c>
      <c r="F360" s="4" t="s">
        <v>261</v>
      </c>
      <c r="G360" s="4"/>
      <c r="H360" s="4"/>
      <c r="I360" s="4" t="s">
        <v>1039</v>
      </c>
    </row>
    <row r="361" ht="15.75" customHeight="1">
      <c r="A361" s="4" t="s">
        <v>1796</v>
      </c>
      <c r="B361" s="13">
        <v>46050.3879166667</v>
      </c>
      <c r="C361" s="4" t="s">
        <v>1797</v>
      </c>
      <c r="D361" s="4" t="s">
        <v>1086</v>
      </c>
      <c r="E361" s="4" t="s">
        <v>1064</v>
      </c>
      <c r="F361" s="4"/>
      <c r="G361" s="4"/>
      <c r="H361" s="4"/>
      <c r="I361" s="4" t="s">
        <v>1048</v>
      </c>
    </row>
    <row r="362" ht="15.75" customHeight="1">
      <c r="A362" s="4" t="s">
        <v>1798</v>
      </c>
      <c r="B362" s="13">
        <v>46107.5622800926</v>
      </c>
      <c r="C362" s="4" t="s">
        <v>1799</v>
      </c>
      <c r="D362" s="4" t="s">
        <v>1089</v>
      </c>
      <c r="E362" s="4" t="s">
        <v>1090</v>
      </c>
      <c r="F362" s="4" t="s">
        <v>784</v>
      </c>
      <c r="G362" s="4"/>
      <c r="H362" s="4"/>
      <c r="I362" s="4" t="s">
        <v>1030</v>
      </c>
    </row>
    <row r="363" ht="15.75" customHeight="1">
      <c r="A363" s="4" t="s">
        <v>1800</v>
      </c>
      <c r="B363" s="13">
        <v>46059.3684606482</v>
      </c>
      <c r="C363" s="4" t="s">
        <v>1801</v>
      </c>
      <c r="D363" s="4" t="s">
        <v>1104</v>
      </c>
      <c r="E363" s="4" t="s">
        <v>1105</v>
      </c>
      <c r="F363" s="4" t="s">
        <v>179</v>
      </c>
      <c r="G363" s="4"/>
      <c r="H363" s="4"/>
      <c r="I363" s="4" t="s">
        <v>427</v>
      </c>
    </row>
    <row r="364" ht="15.75" customHeight="1">
      <c r="A364" s="4" t="s">
        <v>1802</v>
      </c>
      <c r="B364" s="13">
        <v>46099.7250925926</v>
      </c>
      <c r="C364" s="4" t="s">
        <v>1803</v>
      </c>
      <c r="D364" s="4" t="s">
        <v>1128</v>
      </c>
      <c r="E364" s="4" t="s">
        <v>1105</v>
      </c>
      <c r="F364" s="4" t="s">
        <v>192</v>
      </c>
      <c r="G364" s="4"/>
      <c r="H364" s="4"/>
      <c r="I364" s="4" t="s">
        <v>1039</v>
      </c>
    </row>
    <row r="365" ht="15.75" customHeight="1">
      <c r="A365" s="4" t="s">
        <v>1804</v>
      </c>
      <c r="B365" s="13">
        <v>46130.4526273148</v>
      </c>
      <c r="C365" s="4" t="s">
        <v>1805</v>
      </c>
      <c r="D365" s="4" t="s">
        <v>1075</v>
      </c>
      <c r="E365" s="4" t="s">
        <v>1064</v>
      </c>
      <c r="F365" s="4"/>
      <c r="G365" s="4"/>
      <c r="H365" s="4"/>
      <c r="I365" s="4" t="s">
        <v>1036</v>
      </c>
    </row>
    <row r="366" ht="15.75" customHeight="1">
      <c r="A366" s="4" t="s">
        <v>1806</v>
      </c>
      <c r="B366" s="13">
        <v>46039.9944560185</v>
      </c>
      <c r="C366" s="4" t="s">
        <v>1807</v>
      </c>
      <c r="D366" s="4" t="s">
        <v>1063</v>
      </c>
      <c r="E366" s="4" t="s">
        <v>1064</v>
      </c>
      <c r="F366" s="4"/>
      <c r="G366" s="4" t="s">
        <v>232</v>
      </c>
      <c r="H366" s="4"/>
      <c r="I366" s="4" t="s">
        <v>1050</v>
      </c>
    </row>
    <row r="367" ht="15.75" customHeight="1">
      <c r="A367" s="4" t="s">
        <v>1808</v>
      </c>
      <c r="B367" s="13">
        <v>46077.8162037037</v>
      </c>
      <c r="C367" s="4" t="s">
        <v>1809</v>
      </c>
      <c r="D367" s="4" t="s">
        <v>1110</v>
      </c>
      <c r="E367" s="4" t="s">
        <v>1064</v>
      </c>
      <c r="F367" s="4"/>
      <c r="G367" s="4" t="s">
        <v>232</v>
      </c>
      <c r="H367" s="10">
        <v>72.95</v>
      </c>
      <c r="I367" s="4" t="s">
        <v>1042</v>
      </c>
    </row>
    <row r="368" ht="15.75" customHeight="1">
      <c r="A368" s="4" t="s">
        <v>1810</v>
      </c>
      <c r="B368" s="13">
        <v>46032.5007986111</v>
      </c>
      <c r="C368" s="4" t="s">
        <v>1811</v>
      </c>
      <c r="D368" s="4" t="s">
        <v>1078</v>
      </c>
      <c r="E368" s="4" t="s">
        <v>1064</v>
      </c>
      <c r="F368" s="4"/>
      <c r="G368" s="4" t="s">
        <v>150</v>
      </c>
      <c r="H368" s="10">
        <v>97.73</v>
      </c>
      <c r="I368" s="4" t="s">
        <v>1048</v>
      </c>
    </row>
    <row r="369" ht="15.75" customHeight="1">
      <c r="A369" s="4" t="s">
        <v>1812</v>
      </c>
      <c r="B369" s="13">
        <v>46058.3823842593</v>
      </c>
      <c r="C369" s="4" t="s">
        <v>1813</v>
      </c>
      <c r="D369" s="4" t="s">
        <v>1093</v>
      </c>
      <c r="E369" s="4" t="s">
        <v>1064</v>
      </c>
      <c r="F369" s="4"/>
      <c r="G369" s="4"/>
      <c r="H369" s="4"/>
      <c r="I369" s="4" t="s">
        <v>1030</v>
      </c>
    </row>
    <row r="370" ht="15.75" customHeight="1">
      <c r="A370" s="4" t="s">
        <v>1814</v>
      </c>
      <c r="B370" s="13">
        <v>46077.3515509259</v>
      </c>
      <c r="C370" s="4" t="s">
        <v>1815</v>
      </c>
      <c r="D370" s="4" t="s">
        <v>1075</v>
      </c>
      <c r="E370" s="4" t="s">
        <v>1064</v>
      </c>
      <c r="F370" s="4"/>
      <c r="G370" s="4"/>
      <c r="H370" s="4"/>
      <c r="I370" s="4" t="s">
        <v>1028</v>
      </c>
    </row>
    <row r="371" ht="15.75" customHeight="1">
      <c r="A371" s="4" t="s">
        <v>1816</v>
      </c>
      <c r="B371" s="13">
        <v>46066.7617476852</v>
      </c>
      <c r="C371" s="4" t="s">
        <v>1817</v>
      </c>
      <c r="D371" s="4" t="s">
        <v>1104</v>
      </c>
      <c r="E371" s="4" t="s">
        <v>1090</v>
      </c>
      <c r="F371" s="4" t="s">
        <v>775</v>
      </c>
      <c r="G371" s="4"/>
      <c r="H371" s="4"/>
      <c r="I371" s="4" t="s">
        <v>1052</v>
      </c>
    </row>
    <row r="372" ht="15.75" customHeight="1">
      <c r="A372" s="4" t="s">
        <v>1818</v>
      </c>
      <c r="B372" s="13">
        <v>46038.3606828704</v>
      </c>
      <c r="C372" s="4" t="s">
        <v>1819</v>
      </c>
      <c r="D372" s="4" t="s">
        <v>1089</v>
      </c>
      <c r="E372" s="4" t="s">
        <v>1105</v>
      </c>
      <c r="F372" s="4" t="s">
        <v>174</v>
      </c>
      <c r="G372" s="4"/>
      <c r="H372" s="4"/>
      <c r="I372" s="4" t="s">
        <v>1036</v>
      </c>
    </row>
    <row r="373" ht="15.75" customHeight="1">
      <c r="A373" s="4" t="s">
        <v>1820</v>
      </c>
      <c r="B373" s="13">
        <v>46070.9428587963</v>
      </c>
      <c r="C373" s="4" t="s">
        <v>1821</v>
      </c>
      <c r="D373" s="4" t="s">
        <v>1104</v>
      </c>
      <c r="E373" s="4" t="s">
        <v>1105</v>
      </c>
      <c r="F373" s="4" t="s">
        <v>158</v>
      </c>
      <c r="G373" s="4"/>
      <c r="H373" s="4"/>
      <c r="I373" s="4" t="s">
        <v>1050</v>
      </c>
    </row>
    <row r="374" ht="15.75" customHeight="1">
      <c r="A374" s="4" t="s">
        <v>1822</v>
      </c>
      <c r="B374" s="13">
        <v>46130.4645023148</v>
      </c>
      <c r="C374" s="4" t="s">
        <v>1823</v>
      </c>
      <c r="D374" s="4" t="s">
        <v>1093</v>
      </c>
      <c r="E374" s="4" t="s">
        <v>1064</v>
      </c>
      <c r="F374" s="4"/>
      <c r="G374" s="4"/>
      <c r="H374" s="4"/>
      <c r="I374" s="4" t="s">
        <v>1042</v>
      </c>
    </row>
    <row r="375" ht="15.75" customHeight="1">
      <c r="A375" s="4" t="s">
        <v>1824</v>
      </c>
      <c r="B375" s="13">
        <v>46030.4943287037</v>
      </c>
      <c r="C375" s="4" t="s">
        <v>1825</v>
      </c>
      <c r="D375" s="4" t="s">
        <v>1163</v>
      </c>
      <c r="E375" s="4" t="s">
        <v>1119</v>
      </c>
      <c r="F375" s="4"/>
      <c r="G375" s="4"/>
      <c r="H375" s="4"/>
      <c r="I375" s="4" t="s">
        <v>1039</v>
      </c>
    </row>
    <row r="376" ht="15.75" customHeight="1">
      <c r="A376" s="4" t="s">
        <v>1826</v>
      </c>
      <c r="B376" s="13">
        <v>46093.6294907407</v>
      </c>
      <c r="C376" s="4" t="s">
        <v>1827</v>
      </c>
      <c r="D376" s="4" t="s">
        <v>1075</v>
      </c>
      <c r="E376" s="4" t="s">
        <v>1064</v>
      </c>
      <c r="F376" s="4"/>
      <c r="G376" s="4"/>
      <c r="H376" s="4"/>
      <c r="I376" s="4" t="s">
        <v>427</v>
      </c>
    </row>
    <row r="377" ht="15.75" customHeight="1">
      <c r="A377" s="4" t="s">
        <v>1828</v>
      </c>
      <c r="B377" s="13">
        <v>46089.3986111111</v>
      </c>
      <c r="C377" s="4" t="s">
        <v>1829</v>
      </c>
      <c r="D377" s="4" t="s">
        <v>1075</v>
      </c>
      <c r="E377" s="4" t="s">
        <v>1064</v>
      </c>
      <c r="F377" s="4"/>
      <c r="G377" s="4"/>
      <c r="H377" s="4"/>
      <c r="I377" s="4" t="s">
        <v>1034</v>
      </c>
    </row>
    <row r="378" ht="15.75" customHeight="1">
      <c r="A378" s="4" t="s">
        <v>1830</v>
      </c>
      <c r="B378" s="13">
        <v>46036.5257060185</v>
      </c>
      <c r="C378" s="4" t="s">
        <v>1831</v>
      </c>
      <c r="D378" s="4" t="s">
        <v>1093</v>
      </c>
      <c r="E378" s="4" t="s">
        <v>1064</v>
      </c>
      <c r="F378" s="4"/>
      <c r="G378" s="4"/>
      <c r="H378" s="4"/>
      <c r="I378" s="4" t="s">
        <v>1030</v>
      </c>
    </row>
    <row r="379" ht="15.75" customHeight="1">
      <c r="A379" s="4" t="s">
        <v>1832</v>
      </c>
      <c r="B379" s="13">
        <v>46088.3933796296</v>
      </c>
      <c r="C379" s="4" t="s">
        <v>1833</v>
      </c>
      <c r="D379" s="4" t="s">
        <v>1110</v>
      </c>
      <c r="E379" s="4" t="s">
        <v>1064</v>
      </c>
      <c r="F379" s="4"/>
      <c r="G379" s="4" t="s">
        <v>126</v>
      </c>
      <c r="H379" s="10">
        <v>98.41</v>
      </c>
      <c r="I379" s="4" t="s">
        <v>1042</v>
      </c>
    </row>
    <row r="380" ht="15.75" customHeight="1">
      <c r="A380" s="4" t="s">
        <v>1834</v>
      </c>
      <c r="B380" s="13">
        <v>46069.6884143519</v>
      </c>
      <c r="C380" s="4" t="s">
        <v>1835</v>
      </c>
      <c r="D380" s="4" t="s">
        <v>1078</v>
      </c>
      <c r="E380" s="4" t="s">
        <v>1064</v>
      </c>
      <c r="F380" s="4"/>
      <c r="G380" s="4" t="s">
        <v>112</v>
      </c>
      <c r="H380" s="10">
        <v>25.92</v>
      </c>
      <c r="I380" s="4" t="s">
        <v>1036</v>
      </c>
    </row>
    <row r="381" ht="15.75" customHeight="1">
      <c r="A381" s="4" t="s">
        <v>1836</v>
      </c>
      <c r="B381" s="13">
        <v>46046.8159143519</v>
      </c>
      <c r="C381" s="4" t="s">
        <v>1837</v>
      </c>
      <c r="D381" s="4" t="s">
        <v>1075</v>
      </c>
      <c r="E381" s="4" t="s">
        <v>1064</v>
      </c>
      <c r="F381" s="4"/>
      <c r="G381" s="4"/>
      <c r="H381" s="4"/>
      <c r="I381" s="4" t="s">
        <v>1031</v>
      </c>
    </row>
    <row r="382" ht="15.75" customHeight="1">
      <c r="A382" s="4" t="s">
        <v>1838</v>
      </c>
      <c r="B382" s="13">
        <v>46055.9591782407</v>
      </c>
      <c r="C382" s="4" t="s">
        <v>1839</v>
      </c>
      <c r="D382" s="4" t="s">
        <v>1071</v>
      </c>
      <c r="E382" s="4" t="s">
        <v>1119</v>
      </c>
      <c r="F382" s="4"/>
      <c r="G382" s="4"/>
      <c r="H382" s="4"/>
      <c r="I382" s="4" t="s">
        <v>1035</v>
      </c>
    </row>
    <row r="383" ht="15.75" customHeight="1">
      <c r="A383" s="4" t="s">
        <v>1840</v>
      </c>
      <c r="B383" s="13">
        <v>46100.8408796296</v>
      </c>
      <c r="C383" s="4" t="s">
        <v>1841</v>
      </c>
      <c r="D383" s="4" t="s">
        <v>1110</v>
      </c>
      <c r="E383" s="4" t="s">
        <v>1064</v>
      </c>
      <c r="F383" s="4"/>
      <c r="G383" s="4" t="s">
        <v>61</v>
      </c>
      <c r="H383" s="10">
        <v>202.52</v>
      </c>
      <c r="I383" s="4" t="s">
        <v>1030</v>
      </c>
    </row>
    <row r="384" ht="15.75" customHeight="1">
      <c r="A384" s="4" t="s">
        <v>1842</v>
      </c>
      <c r="B384" s="13">
        <v>46097.4397569444</v>
      </c>
      <c r="C384" s="4" t="s">
        <v>1843</v>
      </c>
      <c r="D384" s="4" t="s">
        <v>1063</v>
      </c>
      <c r="E384" s="4" t="s">
        <v>1064</v>
      </c>
      <c r="F384" s="4"/>
      <c r="G384" s="4" t="s">
        <v>107</v>
      </c>
      <c r="H384" s="4"/>
      <c r="I384" s="4" t="s">
        <v>1031</v>
      </c>
    </row>
    <row r="385" ht="15.75" customHeight="1">
      <c r="A385" s="4" t="s">
        <v>1844</v>
      </c>
      <c r="B385" s="13">
        <v>46077.4717708333</v>
      </c>
      <c r="C385" s="4" t="s">
        <v>1845</v>
      </c>
      <c r="D385" s="4" t="s">
        <v>1075</v>
      </c>
      <c r="E385" s="4" t="s">
        <v>1064</v>
      </c>
      <c r="F385" s="4"/>
      <c r="G385" s="4"/>
      <c r="H385" s="4"/>
      <c r="I385" s="4" t="s">
        <v>1030</v>
      </c>
    </row>
    <row r="386" ht="15.75" customHeight="1">
      <c r="A386" s="4" t="s">
        <v>1846</v>
      </c>
      <c r="B386" s="13">
        <v>46080.9878356482</v>
      </c>
      <c r="C386" s="4" t="s">
        <v>1847</v>
      </c>
      <c r="D386" s="4" t="s">
        <v>1089</v>
      </c>
      <c r="E386" s="4" t="s">
        <v>1090</v>
      </c>
      <c r="F386" s="4" t="s">
        <v>811</v>
      </c>
      <c r="G386" s="4"/>
      <c r="H386" s="4"/>
      <c r="I386" s="4" t="s">
        <v>1052</v>
      </c>
    </row>
    <row r="387" ht="15.75" customHeight="1">
      <c r="A387" s="4" t="s">
        <v>1848</v>
      </c>
      <c r="B387" s="13">
        <v>46121.4532986111</v>
      </c>
      <c r="C387" s="4" t="s">
        <v>1849</v>
      </c>
      <c r="D387" s="4" t="s">
        <v>1163</v>
      </c>
      <c r="E387" s="4" t="s">
        <v>1072</v>
      </c>
      <c r="F387" s="4"/>
      <c r="G387" s="4"/>
      <c r="H387" s="4"/>
      <c r="I387" s="4" t="s">
        <v>1039</v>
      </c>
    </row>
    <row r="388" ht="15.75" customHeight="1">
      <c r="A388" s="4" t="s">
        <v>1850</v>
      </c>
      <c r="B388" s="13">
        <v>46063.5432407407</v>
      </c>
      <c r="C388" s="4" t="s">
        <v>1851</v>
      </c>
      <c r="D388" s="4" t="s">
        <v>1104</v>
      </c>
      <c r="E388" s="4" t="s">
        <v>1105</v>
      </c>
      <c r="F388" s="4" t="s">
        <v>269</v>
      </c>
      <c r="G388" s="4"/>
      <c r="H388" s="4"/>
      <c r="I388" s="4" t="s">
        <v>587</v>
      </c>
    </row>
    <row r="389" ht="15.75" customHeight="1">
      <c r="A389" s="4" t="s">
        <v>1852</v>
      </c>
      <c r="B389" s="13">
        <v>46128.9999768519</v>
      </c>
      <c r="C389" s="4" t="s">
        <v>1853</v>
      </c>
      <c r="D389" s="4" t="s">
        <v>1071</v>
      </c>
      <c r="E389" s="4" t="s">
        <v>1072</v>
      </c>
      <c r="F389" s="4"/>
      <c r="G389" s="4"/>
      <c r="H389" s="4"/>
      <c r="I389" s="4" t="s">
        <v>1030</v>
      </c>
    </row>
    <row r="390" ht="15.75" customHeight="1">
      <c r="A390" s="4" t="s">
        <v>1854</v>
      </c>
      <c r="B390" s="13">
        <v>46082.9466087963</v>
      </c>
      <c r="C390" s="4" t="s">
        <v>1855</v>
      </c>
      <c r="D390" s="4" t="s">
        <v>1110</v>
      </c>
      <c r="E390" s="4" t="s">
        <v>1064</v>
      </c>
      <c r="F390" s="4"/>
      <c r="G390" s="4" t="s">
        <v>84</v>
      </c>
      <c r="H390" s="10">
        <v>49.64</v>
      </c>
      <c r="I390" s="4" t="s">
        <v>1031</v>
      </c>
    </row>
    <row r="391" ht="15.75" customHeight="1">
      <c r="A391" s="4" t="s">
        <v>1856</v>
      </c>
      <c r="B391" s="13">
        <v>46042.6050694444</v>
      </c>
      <c r="C391" s="4" t="s">
        <v>1857</v>
      </c>
      <c r="D391" s="4" t="s">
        <v>1104</v>
      </c>
      <c r="E391" s="4" t="s">
        <v>1105</v>
      </c>
      <c r="F391" s="4" t="s">
        <v>132</v>
      </c>
      <c r="G391" s="4"/>
      <c r="H391" s="4"/>
      <c r="I391" s="4" t="s">
        <v>1035</v>
      </c>
    </row>
    <row r="392" ht="15.75" customHeight="1">
      <c r="A392" s="4" t="s">
        <v>1858</v>
      </c>
      <c r="B392" s="13">
        <v>46078.5512384259</v>
      </c>
      <c r="C392" s="4" t="s">
        <v>1859</v>
      </c>
      <c r="D392" s="4" t="s">
        <v>1063</v>
      </c>
      <c r="E392" s="4" t="s">
        <v>1064</v>
      </c>
      <c r="F392" s="4"/>
      <c r="G392" s="4" t="s">
        <v>190</v>
      </c>
      <c r="H392" s="4"/>
      <c r="I392" s="4" t="s">
        <v>1036</v>
      </c>
    </row>
    <row r="393" ht="15.75" customHeight="1">
      <c r="A393" s="4" t="s">
        <v>1860</v>
      </c>
      <c r="B393" s="13">
        <v>46126.3366319445</v>
      </c>
      <c r="C393" s="4" t="s">
        <v>1861</v>
      </c>
      <c r="D393" s="4" t="s">
        <v>1093</v>
      </c>
      <c r="E393" s="4" t="s">
        <v>1064</v>
      </c>
      <c r="F393" s="4"/>
      <c r="G393" s="4"/>
      <c r="H393" s="4"/>
      <c r="I393" s="4" t="s">
        <v>1028</v>
      </c>
    </row>
    <row r="394" ht="15.75" customHeight="1">
      <c r="A394" s="4" t="s">
        <v>1862</v>
      </c>
      <c r="B394" s="13">
        <v>46026.6035069445</v>
      </c>
      <c r="C394" s="4" t="s">
        <v>1863</v>
      </c>
      <c r="D394" s="4" t="s">
        <v>1128</v>
      </c>
      <c r="E394" s="4" t="s">
        <v>1105</v>
      </c>
      <c r="F394" s="4" t="s">
        <v>95</v>
      </c>
      <c r="G394" s="4"/>
      <c r="H394" s="4"/>
      <c r="I394" s="4" t="s">
        <v>1031</v>
      </c>
    </row>
    <row r="395" ht="15.75" customHeight="1">
      <c r="A395" s="4" t="s">
        <v>1864</v>
      </c>
      <c r="B395" s="13">
        <v>46130.5713194445</v>
      </c>
      <c r="C395" s="4" t="s">
        <v>1865</v>
      </c>
      <c r="D395" s="4" t="s">
        <v>1089</v>
      </c>
      <c r="E395" s="4" t="s">
        <v>1105</v>
      </c>
      <c r="F395" s="4" t="s">
        <v>197</v>
      </c>
      <c r="G395" s="4"/>
      <c r="H395" s="4"/>
      <c r="I395" s="4" t="s">
        <v>1028</v>
      </c>
    </row>
    <row r="396" ht="15.75" customHeight="1">
      <c r="A396" s="4" t="s">
        <v>1866</v>
      </c>
      <c r="B396" s="13">
        <v>46119.9563541667</v>
      </c>
      <c r="C396" s="4" t="s">
        <v>1867</v>
      </c>
      <c r="D396" s="4" t="s">
        <v>1086</v>
      </c>
      <c r="E396" s="4" t="s">
        <v>1064</v>
      </c>
      <c r="F396" s="4"/>
      <c r="G396" s="4"/>
      <c r="H396" s="4"/>
      <c r="I396" s="4" t="s">
        <v>587</v>
      </c>
    </row>
    <row r="397" ht="15.75" customHeight="1">
      <c r="A397" s="4" t="s">
        <v>1868</v>
      </c>
      <c r="B397" s="13">
        <v>46087.7497916667</v>
      </c>
      <c r="C397" s="4" t="s">
        <v>1869</v>
      </c>
      <c r="D397" s="4" t="s">
        <v>1163</v>
      </c>
      <c r="E397" s="4" t="s">
        <v>1119</v>
      </c>
      <c r="F397" s="4"/>
      <c r="G397" s="4"/>
      <c r="H397" s="4"/>
      <c r="I397" s="4" t="s">
        <v>1050</v>
      </c>
    </row>
    <row r="398" ht="15.75" customHeight="1">
      <c r="A398" s="4" t="s">
        <v>1870</v>
      </c>
      <c r="B398" s="13">
        <v>46091.5075</v>
      </c>
      <c r="C398" s="4" t="s">
        <v>1871</v>
      </c>
      <c r="D398" s="4" t="s">
        <v>1078</v>
      </c>
      <c r="E398" s="4" t="s">
        <v>1064</v>
      </c>
      <c r="F398" s="4"/>
      <c r="G398" s="4" t="s">
        <v>244</v>
      </c>
      <c r="H398" s="10">
        <v>138.52</v>
      </c>
      <c r="I398" s="4" t="s">
        <v>1052</v>
      </c>
    </row>
    <row r="399" ht="15.75" customHeight="1">
      <c r="A399" s="4" t="s">
        <v>1872</v>
      </c>
      <c r="B399" s="13">
        <v>46079.8117939815</v>
      </c>
      <c r="C399" s="4" t="s">
        <v>1873</v>
      </c>
      <c r="D399" s="4" t="s">
        <v>1071</v>
      </c>
      <c r="E399" s="4" t="s">
        <v>1072</v>
      </c>
      <c r="F399" s="4"/>
      <c r="G399" s="4"/>
      <c r="H399" s="4"/>
      <c r="I399" s="4" t="s">
        <v>1048</v>
      </c>
    </row>
    <row r="400" ht="15.75" customHeight="1">
      <c r="A400" s="4" t="s">
        <v>1874</v>
      </c>
      <c r="B400" s="13">
        <v>46076.9725694444</v>
      </c>
      <c r="C400" s="4" t="s">
        <v>1875</v>
      </c>
      <c r="D400" s="4" t="s">
        <v>1089</v>
      </c>
      <c r="E400" s="4" t="s">
        <v>1105</v>
      </c>
      <c r="F400" s="4" t="s">
        <v>174</v>
      </c>
      <c r="G400" s="4"/>
      <c r="H400" s="4"/>
      <c r="I400" s="4" t="s">
        <v>1036</v>
      </c>
    </row>
    <row r="401" ht="15.75" customHeight="1">
      <c r="A401" s="4" t="s">
        <v>1876</v>
      </c>
      <c r="B401" s="13">
        <v>46034.4577546296</v>
      </c>
      <c r="C401" s="4" t="s">
        <v>1877</v>
      </c>
      <c r="D401" s="4" t="s">
        <v>1075</v>
      </c>
      <c r="E401" s="4" t="s">
        <v>1064</v>
      </c>
      <c r="F401" s="4"/>
      <c r="G401" s="4"/>
      <c r="H401" s="4"/>
      <c r="I401" s="4" t="s">
        <v>1035</v>
      </c>
    </row>
    <row r="402" ht="15.75" customHeight="1">
      <c r="A402" s="4" t="s">
        <v>1878</v>
      </c>
      <c r="B402" s="13">
        <v>46099.8999652778</v>
      </c>
      <c r="C402" s="4" t="s">
        <v>1879</v>
      </c>
      <c r="D402" s="4" t="s">
        <v>1128</v>
      </c>
      <c r="E402" s="4" t="s">
        <v>1105</v>
      </c>
      <c r="F402" s="4" t="s">
        <v>273</v>
      </c>
      <c r="G402" s="4"/>
      <c r="H402" s="4"/>
      <c r="I402" s="4" t="s">
        <v>587</v>
      </c>
    </row>
    <row r="403" ht="15.75" customHeight="1">
      <c r="A403" s="4" t="s">
        <v>1880</v>
      </c>
      <c r="B403" s="13">
        <v>46108.3868287037</v>
      </c>
      <c r="C403" s="4" t="s">
        <v>1881</v>
      </c>
      <c r="D403" s="4" t="s">
        <v>1093</v>
      </c>
      <c r="E403" s="4" t="s">
        <v>1064</v>
      </c>
      <c r="F403" s="4"/>
      <c r="G403" s="4"/>
      <c r="H403" s="4"/>
      <c r="I403" s="4" t="s">
        <v>1050</v>
      </c>
    </row>
    <row r="404" ht="15.75" customHeight="1">
      <c r="A404" s="4" t="s">
        <v>1882</v>
      </c>
      <c r="B404" s="13">
        <v>46124.8801157407</v>
      </c>
      <c r="C404" s="4" t="s">
        <v>1883</v>
      </c>
      <c r="D404" s="4" t="s">
        <v>1104</v>
      </c>
      <c r="E404" s="4" t="s">
        <v>1105</v>
      </c>
      <c r="F404" s="4" t="s">
        <v>229</v>
      </c>
      <c r="G404" s="4"/>
      <c r="H404" s="4"/>
      <c r="I404" s="4" t="s">
        <v>1050</v>
      </c>
    </row>
    <row r="405" ht="15.75" customHeight="1">
      <c r="A405" s="4" t="s">
        <v>1884</v>
      </c>
      <c r="B405" s="13">
        <v>46126.6401157407</v>
      </c>
      <c r="C405" s="4" t="s">
        <v>1885</v>
      </c>
      <c r="D405" s="4" t="s">
        <v>1081</v>
      </c>
      <c r="E405" s="4" t="s">
        <v>1064</v>
      </c>
      <c r="F405" s="4"/>
      <c r="G405" s="4"/>
      <c r="H405" s="4"/>
      <c r="I405" s="4" t="s">
        <v>1035</v>
      </c>
    </row>
    <row r="406" ht="15.75" customHeight="1">
      <c r="A406" s="4" t="s">
        <v>1886</v>
      </c>
      <c r="B406" s="13">
        <v>46108.8411805556</v>
      </c>
      <c r="C406" s="4" t="s">
        <v>1887</v>
      </c>
      <c r="D406" s="4" t="s">
        <v>1081</v>
      </c>
      <c r="E406" s="4" t="s">
        <v>1064</v>
      </c>
      <c r="F406" s="4"/>
      <c r="G406" s="4"/>
      <c r="H406" s="4"/>
      <c r="I406" s="4" t="s">
        <v>1028</v>
      </c>
    </row>
    <row r="407" ht="15.75" customHeight="1">
      <c r="A407" s="4" t="s">
        <v>1888</v>
      </c>
      <c r="B407" s="13">
        <v>46129.8503935185</v>
      </c>
      <c r="C407" s="4" t="s">
        <v>1889</v>
      </c>
      <c r="D407" s="4" t="s">
        <v>1078</v>
      </c>
      <c r="E407" s="4" t="s">
        <v>1064</v>
      </c>
      <c r="F407" s="4"/>
      <c r="G407" s="4" t="s">
        <v>144</v>
      </c>
      <c r="H407" s="10">
        <v>63.97</v>
      </c>
      <c r="I407" s="4" t="s">
        <v>1048</v>
      </c>
    </row>
    <row r="408" ht="15.75" customHeight="1">
      <c r="A408" s="4" t="s">
        <v>1890</v>
      </c>
      <c r="B408" s="13">
        <v>46042.4361111111</v>
      </c>
      <c r="C408" s="4" t="s">
        <v>1891</v>
      </c>
      <c r="D408" s="4" t="s">
        <v>1078</v>
      </c>
      <c r="E408" s="4" t="s">
        <v>1064</v>
      </c>
      <c r="F408" s="4"/>
      <c r="G408" s="4" t="s">
        <v>232</v>
      </c>
      <c r="H408" s="10">
        <v>47.25</v>
      </c>
      <c r="I408" s="4" t="s">
        <v>1034</v>
      </c>
    </row>
    <row r="409" ht="15.75" customHeight="1">
      <c r="A409" s="4" t="s">
        <v>1892</v>
      </c>
      <c r="B409" s="13">
        <v>46120.6615740741</v>
      </c>
      <c r="C409" s="4" t="s">
        <v>1893</v>
      </c>
      <c r="D409" s="4" t="s">
        <v>1071</v>
      </c>
      <c r="E409" s="4" t="s">
        <v>1072</v>
      </c>
      <c r="F409" s="4"/>
      <c r="G409" s="4"/>
      <c r="H409" s="4"/>
      <c r="I409" s="4" t="s">
        <v>1036</v>
      </c>
    </row>
    <row r="410" ht="15.75" customHeight="1">
      <c r="A410" s="4" t="s">
        <v>1894</v>
      </c>
      <c r="B410" s="13">
        <v>46057.8574537037</v>
      </c>
      <c r="C410" s="4" t="s">
        <v>1895</v>
      </c>
      <c r="D410" s="4" t="s">
        <v>1110</v>
      </c>
      <c r="E410" s="4" t="s">
        <v>1064</v>
      </c>
      <c r="F410" s="4"/>
      <c r="G410" s="4" t="s">
        <v>232</v>
      </c>
      <c r="H410" s="10">
        <v>236.82</v>
      </c>
      <c r="I410" s="4" t="s">
        <v>1031</v>
      </c>
    </row>
    <row r="411" ht="15.75" customHeight="1">
      <c r="A411" s="4" t="s">
        <v>1896</v>
      </c>
      <c r="B411" s="13">
        <v>46042.9434722222</v>
      </c>
      <c r="C411" s="4" t="s">
        <v>1897</v>
      </c>
      <c r="D411" s="4" t="s">
        <v>1093</v>
      </c>
      <c r="E411" s="4" t="s">
        <v>1064</v>
      </c>
      <c r="F411" s="4"/>
      <c r="G411" s="4"/>
      <c r="H411" s="4"/>
      <c r="I411" s="4" t="s">
        <v>1030</v>
      </c>
    </row>
    <row r="412" ht="15.75" customHeight="1">
      <c r="A412" s="4" t="s">
        <v>1898</v>
      </c>
      <c r="B412" s="13">
        <v>46061.4263078704</v>
      </c>
      <c r="C412" s="4" t="s">
        <v>1899</v>
      </c>
      <c r="D412" s="4" t="s">
        <v>1104</v>
      </c>
      <c r="E412" s="4" t="s">
        <v>1105</v>
      </c>
      <c r="F412" s="4" t="s">
        <v>297</v>
      </c>
      <c r="G412" s="4"/>
      <c r="H412" s="4"/>
      <c r="I412" s="4" t="s">
        <v>1036</v>
      </c>
    </row>
    <row r="413" ht="15.75" customHeight="1">
      <c r="A413" s="4" t="s">
        <v>1900</v>
      </c>
      <c r="B413" s="13">
        <v>46127.5784143519</v>
      </c>
      <c r="C413" s="4" t="s">
        <v>1901</v>
      </c>
      <c r="D413" s="4" t="s">
        <v>1081</v>
      </c>
      <c r="E413" s="4" t="s">
        <v>1064</v>
      </c>
      <c r="F413" s="4"/>
      <c r="G413" s="4"/>
      <c r="H413" s="4"/>
      <c r="I413" s="4" t="s">
        <v>1046</v>
      </c>
    </row>
    <row r="414" ht="15.75" customHeight="1">
      <c r="A414" s="4" t="s">
        <v>1902</v>
      </c>
      <c r="B414" s="13">
        <v>46075.3480439815</v>
      </c>
      <c r="C414" s="4" t="s">
        <v>1903</v>
      </c>
      <c r="D414" s="4" t="s">
        <v>1086</v>
      </c>
      <c r="E414" s="4" t="s">
        <v>1064</v>
      </c>
      <c r="F414" s="4"/>
      <c r="G414" s="4"/>
      <c r="H414" s="4"/>
      <c r="I414" s="4" t="s">
        <v>1048</v>
      </c>
    </row>
    <row r="415" ht="15.75" customHeight="1">
      <c r="A415" s="4" t="s">
        <v>1904</v>
      </c>
      <c r="B415" s="13">
        <v>46035.8484837963</v>
      </c>
      <c r="C415" s="4" t="s">
        <v>1905</v>
      </c>
      <c r="D415" s="4" t="s">
        <v>1163</v>
      </c>
      <c r="E415" s="4" t="s">
        <v>1072</v>
      </c>
      <c r="F415" s="4"/>
      <c r="G415" s="4"/>
      <c r="H415" s="4"/>
      <c r="I415" s="4" t="s">
        <v>427</v>
      </c>
    </row>
    <row r="416" ht="15.75" customHeight="1">
      <c r="A416" s="4" t="s">
        <v>1906</v>
      </c>
      <c r="B416" s="13">
        <v>46038.4773148148</v>
      </c>
      <c r="C416" s="4" t="s">
        <v>1907</v>
      </c>
      <c r="D416" s="4" t="s">
        <v>1078</v>
      </c>
      <c r="E416" s="4" t="s">
        <v>1064</v>
      </c>
      <c r="F416" s="4"/>
      <c r="G416" s="4" t="s">
        <v>144</v>
      </c>
      <c r="H416" s="10">
        <v>146.46</v>
      </c>
      <c r="I416" s="4" t="s">
        <v>1031</v>
      </c>
    </row>
    <row r="417" ht="15.75" customHeight="1">
      <c r="A417" s="4" t="s">
        <v>1908</v>
      </c>
      <c r="B417" s="13">
        <v>46131.4380555556</v>
      </c>
      <c r="C417" s="4" t="s">
        <v>1909</v>
      </c>
      <c r="D417" s="4" t="s">
        <v>1075</v>
      </c>
      <c r="E417" s="4" t="s">
        <v>1064</v>
      </c>
      <c r="F417" s="4"/>
      <c r="G417" s="4"/>
      <c r="H417" s="4"/>
      <c r="I417" s="4" t="s">
        <v>1039</v>
      </c>
    </row>
    <row r="418" ht="15.75" customHeight="1">
      <c r="A418" s="4" t="s">
        <v>1910</v>
      </c>
      <c r="B418" s="13">
        <v>46099.3990046296</v>
      </c>
      <c r="C418" s="4" t="s">
        <v>1911</v>
      </c>
      <c r="D418" s="4" t="s">
        <v>1078</v>
      </c>
      <c r="E418" s="4" t="s">
        <v>1064</v>
      </c>
      <c r="F418" s="4"/>
      <c r="G418" s="4" t="s">
        <v>190</v>
      </c>
      <c r="H418" s="10">
        <v>64.9</v>
      </c>
      <c r="I418" s="4" t="s">
        <v>1046</v>
      </c>
    </row>
    <row r="419" ht="15.75" customHeight="1">
      <c r="A419" s="4" t="s">
        <v>1912</v>
      </c>
      <c r="B419" s="13">
        <v>46075.4932175926</v>
      </c>
      <c r="C419" s="4" t="s">
        <v>1913</v>
      </c>
      <c r="D419" s="4" t="s">
        <v>1078</v>
      </c>
      <c r="E419" s="4" t="s">
        <v>1064</v>
      </c>
      <c r="F419" s="4"/>
      <c r="G419" s="4" t="s">
        <v>77</v>
      </c>
      <c r="H419" s="10">
        <v>171.66</v>
      </c>
      <c r="I419" s="4" t="s">
        <v>1048</v>
      </c>
    </row>
    <row r="420" ht="15.75" customHeight="1">
      <c r="A420" s="4" t="s">
        <v>1914</v>
      </c>
      <c r="B420" s="13">
        <v>46101.6559837963</v>
      </c>
      <c r="C420" s="4" t="s">
        <v>1915</v>
      </c>
      <c r="D420" s="4" t="s">
        <v>1075</v>
      </c>
      <c r="E420" s="4" t="s">
        <v>1064</v>
      </c>
      <c r="F420" s="4"/>
      <c r="G420" s="4"/>
      <c r="H420" s="4"/>
      <c r="I420" s="4" t="s">
        <v>1048</v>
      </c>
    </row>
    <row r="421" ht="15.75" customHeight="1">
      <c r="A421" s="4" t="s">
        <v>1916</v>
      </c>
      <c r="B421" s="13">
        <v>46095.7395486111</v>
      </c>
      <c r="C421" s="4" t="s">
        <v>1917</v>
      </c>
      <c r="D421" s="4" t="s">
        <v>1075</v>
      </c>
      <c r="E421" s="4" t="s">
        <v>1064</v>
      </c>
      <c r="F421" s="4"/>
      <c r="G421" s="4"/>
      <c r="H421" s="4"/>
      <c r="I421" s="4" t="s">
        <v>1034</v>
      </c>
    </row>
    <row r="422" ht="15.75" customHeight="1">
      <c r="A422" s="4" t="s">
        <v>1918</v>
      </c>
      <c r="B422" s="13">
        <v>46029.4636458333</v>
      </c>
      <c r="C422" s="4" t="s">
        <v>1919</v>
      </c>
      <c r="D422" s="4" t="s">
        <v>1081</v>
      </c>
      <c r="E422" s="4" t="s">
        <v>1064</v>
      </c>
      <c r="F422" s="4"/>
      <c r="G422" s="4"/>
      <c r="H422" s="4"/>
      <c r="I422" s="4" t="s">
        <v>587</v>
      </c>
    </row>
    <row r="423" ht="15.75" customHeight="1">
      <c r="A423" s="4" t="s">
        <v>1920</v>
      </c>
      <c r="B423" s="13">
        <v>46122.9744791667</v>
      </c>
      <c r="C423" s="4" t="s">
        <v>1921</v>
      </c>
      <c r="D423" s="4" t="s">
        <v>1081</v>
      </c>
      <c r="E423" s="4" t="s">
        <v>1064</v>
      </c>
      <c r="F423" s="4"/>
      <c r="G423" s="4"/>
      <c r="H423" s="4"/>
      <c r="I423" s="4" t="s">
        <v>1046</v>
      </c>
    </row>
    <row r="424" ht="15.75" customHeight="1">
      <c r="A424" s="4" t="s">
        <v>1922</v>
      </c>
      <c r="B424" s="13">
        <v>46077.3853356482</v>
      </c>
      <c r="C424" s="4" t="s">
        <v>1923</v>
      </c>
      <c r="D424" s="4" t="s">
        <v>1104</v>
      </c>
      <c r="E424" s="4" t="s">
        <v>1105</v>
      </c>
      <c r="F424" s="4" t="s">
        <v>209</v>
      </c>
      <c r="G424" s="4"/>
      <c r="H424" s="4"/>
      <c r="I424" s="4" t="s">
        <v>1034</v>
      </c>
    </row>
    <row r="425" ht="15.75" customHeight="1">
      <c r="A425" s="4" t="s">
        <v>1924</v>
      </c>
      <c r="B425" s="13">
        <v>46075.504537037</v>
      </c>
      <c r="C425" s="4" t="s">
        <v>1925</v>
      </c>
      <c r="D425" s="4" t="s">
        <v>1110</v>
      </c>
      <c r="E425" s="4" t="s">
        <v>1064</v>
      </c>
      <c r="F425" s="4"/>
      <c r="G425" s="4" t="s">
        <v>100</v>
      </c>
      <c r="H425" s="10">
        <v>108.34</v>
      </c>
      <c r="I425" s="4" t="s">
        <v>1042</v>
      </c>
    </row>
    <row r="426" ht="15.75" customHeight="1">
      <c r="A426" s="4" t="s">
        <v>1926</v>
      </c>
      <c r="B426" s="13">
        <v>46026.7438425926</v>
      </c>
      <c r="C426" s="4" t="s">
        <v>1927</v>
      </c>
      <c r="D426" s="4" t="s">
        <v>1089</v>
      </c>
      <c r="E426" s="4" t="s">
        <v>1105</v>
      </c>
      <c r="F426" s="4" t="s">
        <v>171</v>
      </c>
      <c r="G426" s="4"/>
      <c r="H426" s="4"/>
      <c r="I426" s="4" t="s">
        <v>1031</v>
      </c>
    </row>
    <row r="427" ht="15.75" customHeight="1">
      <c r="A427" s="4" t="s">
        <v>1928</v>
      </c>
      <c r="B427" s="13">
        <v>46110.7020486111</v>
      </c>
      <c r="C427" s="4" t="s">
        <v>1929</v>
      </c>
      <c r="D427" s="4" t="s">
        <v>1075</v>
      </c>
      <c r="E427" s="4" t="s">
        <v>1064</v>
      </c>
      <c r="F427" s="4"/>
      <c r="G427" s="4"/>
      <c r="H427" s="4"/>
      <c r="I427" s="4" t="s">
        <v>1031</v>
      </c>
    </row>
    <row r="428" ht="15.75" customHeight="1">
      <c r="A428" s="4" t="s">
        <v>1930</v>
      </c>
      <c r="B428" s="13">
        <v>46064.8862268519</v>
      </c>
      <c r="C428" s="4" t="s">
        <v>1931</v>
      </c>
      <c r="D428" s="4" t="s">
        <v>1089</v>
      </c>
      <c r="E428" s="4" t="s">
        <v>1105</v>
      </c>
      <c r="F428" s="4" t="s">
        <v>218</v>
      </c>
      <c r="G428" s="4"/>
      <c r="H428" s="4"/>
      <c r="I428" s="4" t="s">
        <v>1034</v>
      </c>
    </row>
    <row r="429" ht="15.75" customHeight="1">
      <c r="A429" s="4" t="s">
        <v>1932</v>
      </c>
      <c r="B429" s="13">
        <v>46026.9516087963</v>
      </c>
      <c r="C429" s="4" t="s">
        <v>1933</v>
      </c>
      <c r="D429" s="4" t="s">
        <v>1163</v>
      </c>
      <c r="E429" s="4" t="s">
        <v>1119</v>
      </c>
      <c r="F429" s="4"/>
      <c r="G429" s="4"/>
      <c r="H429" s="4"/>
      <c r="I429" s="4" t="s">
        <v>1031</v>
      </c>
    </row>
    <row r="430" ht="15.75" customHeight="1">
      <c r="A430" s="4" t="s">
        <v>1934</v>
      </c>
      <c r="B430" s="13">
        <v>46054.8033680556</v>
      </c>
      <c r="C430" s="4" t="s">
        <v>1935</v>
      </c>
      <c r="D430" s="4" t="s">
        <v>1128</v>
      </c>
      <c r="E430" s="4" t="s">
        <v>1090</v>
      </c>
      <c r="F430" s="4" t="s">
        <v>823</v>
      </c>
      <c r="G430" s="4"/>
      <c r="H430" s="4"/>
      <c r="I430" s="4" t="s">
        <v>1031</v>
      </c>
    </row>
    <row r="431" ht="15.75" customHeight="1">
      <c r="A431" s="4" t="s">
        <v>1936</v>
      </c>
      <c r="B431" s="13">
        <v>46112.7104861111</v>
      </c>
      <c r="C431" s="4" t="s">
        <v>1937</v>
      </c>
      <c r="D431" s="4" t="s">
        <v>1063</v>
      </c>
      <c r="E431" s="4" t="s">
        <v>1064</v>
      </c>
      <c r="F431" s="4"/>
      <c r="G431" s="4" t="s">
        <v>126</v>
      </c>
      <c r="H431" s="4"/>
      <c r="I431" s="4" t="s">
        <v>1042</v>
      </c>
    </row>
    <row r="432" ht="15.75" customHeight="1">
      <c r="A432" s="4" t="s">
        <v>1938</v>
      </c>
      <c r="B432" s="13">
        <v>46111.8825694445</v>
      </c>
      <c r="C432" s="4" t="s">
        <v>1939</v>
      </c>
      <c r="D432" s="4" t="s">
        <v>1089</v>
      </c>
      <c r="E432" s="4" t="s">
        <v>1105</v>
      </c>
      <c r="F432" s="4" t="s">
        <v>297</v>
      </c>
      <c r="G432" s="4"/>
      <c r="H432" s="4"/>
      <c r="I432" s="4" t="s">
        <v>1035</v>
      </c>
    </row>
    <row r="433" ht="15.75" customHeight="1">
      <c r="A433" s="4" t="s">
        <v>1940</v>
      </c>
      <c r="B433" s="13">
        <v>46077.989375</v>
      </c>
      <c r="C433" s="4" t="s">
        <v>1941</v>
      </c>
      <c r="D433" s="4" t="s">
        <v>1093</v>
      </c>
      <c r="E433" s="4" t="s">
        <v>1064</v>
      </c>
      <c r="F433" s="4"/>
      <c r="G433" s="4"/>
      <c r="H433" s="4"/>
      <c r="I433" s="4" t="s">
        <v>1034</v>
      </c>
    </row>
    <row r="434" ht="15.75" customHeight="1">
      <c r="A434" s="4" t="s">
        <v>1942</v>
      </c>
      <c r="B434" s="13">
        <v>46031.8340972222</v>
      </c>
      <c r="C434" s="4" t="s">
        <v>1943</v>
      </c>
      <c r="D434" s="4" t="s">
        <v>1071</v>
      </c>
      <c r="E434" s="4" t="s">
        <v>1072</v>
      </c>
      <c r="F434" s="4"/>
      <c r="G434" s="4"/>
      <c r="H434" s="4"/>
      <c r="I434" s="4" t="s">
        <v>587</v>
      </c>
    </row>
    <row r="435" ht="15.75" customHeight="1">
      <c r="A435" s="4" t="s">
        <v>1944</v>
      </c>
      <c r="B435" s="13">
        <v>46127.6908680556</v>
      </c>
      <c r="C435" s="4" t="s">
        <v>1945</v>
      </c>
      <c r="D435" s="4" t="s">
        <v>1163</v>
      </c>
      <c r="E435" s="4" t="s">
        <v>1119</v>
      </c>
      <c r="F435" s="4"/>
      <c r="G435" s="4"/>
      <c r="H435" s="4"/>
      <c r="I435" s="4" t="s">
        <v>1048</v>
      </c>
    </row>
    <row r="436" ht="15.75" customHeight="1">
      <c r="A436" s="4" t="s">
        <v>1946</v>
      </c>
      <c r="B436" s="13">
        <v>46036.9844097222</v>
      </c>
      <c r="C436" s="4" t="s">
        <v>1947</v>
      </c>
      <c r="D436" s="4" t="s">
        <v>1089</v>
      </c>
      <c r="E436" s="4" t="s">
        <v>1105</v>
      </c>
      <c r="F436" s="4" t="s">
        <v>95</v>
      </c>
      <c r="G436" s="4"/>
      <c r="H436" s="4"/>
      <c r="I436" s="4" t="s">
        <v>427</v>
      </c>
    </row>
    <row r="437" ht="15.75" customHeight="1">
      <c r="A437" s="4" t="s">
        <v>1948</v>
      </c>
      <c r="B437" s="13">
        <v>46099.8117939815</v>
      </c>
      <c r="C437" s="4" t="s">
        <v>1949</v>
      </c>
      <c r="D437" s="4" t="s">
        <v>1071</v>
      </c>
      <c r="E437" s="4" t="s">
        <v>1072</v>
      </c>
      <c r="F437" s="4"/>
      <c r="G437" s="4"/>
      <c r="H437" s="4"/>
      <c r="I437" s="4" t="s">
        <v>1050</v>
      </c>
    </row>
    <row r="438" ht="15.75" customHeight="1">
      <c r="A438" s="4" t="s">
        <v>1950</v>
      </c>
      <c r="B438" s="13">
        <v>46104.8778819444</v>
      </c>
      <c r="C438" s="4" t="s">
        <v>1951</v>
      </c>
      <c r="D438" s="4" t="s">
        <v>1128</v>
      </c>
      <c r="E438" s="4" t="s">
        <v>1105</v>
      </c>
      <c r="F438" s="4" t="s">
        <v>294</v>
      </c>
      <c r="G438" s="4"/>
      <c r="H438" s="4"/>
      <c r="I438" s="4" t="s">
        <v>1035</v>
      </c>
    </row>
    <row r="439" ht="15.75" customHeight="1">
      <c r="A439" s="4" t="s">
        <v>1952</v>
      </c>
      <c r="B439" s="13">
        <v>46066.6440046296</v>
      </c>
      <c r="C439" s="4" t="s">
        <v>1953</v>
      </c>
      <c r="D439" s="4" t="s">
        <v>1093</v>
      </c>
      <c r="E439" s="4" t="s">
        <v>1064</v>
      </c>
      <c r="F439" s="4"/>
      <c r="G439" s="4"/>
      <c r="H439" s="4"/>
      <c r="I439" s="4" t="s">
        <v>1046</v>
      </c>
    </row>
    <row r="440" ht="15.75" customHeight="1">
      <c r="A440" s="4" t="s">
        <v>1954</v>
      </c>
      <c r="B440" s="13">
        <v>46067.5578240741</v>
      </c>
      <c r="C440" s="4" t="s">
        <v>1955</v>
      </c>
      <c r="D440" s="4" t="s">
        <v>1163</v>
      </c>
      <c r="E440" s="4" t="s">
        <v>1119</v>
      </c>
      <c r="F440" s="4"/>
      <c r="G440" s="4"/>
      <c r="H440" s="4"/>
      <c r="I440" s="4" t="s">
        <v>1039</v>
      </c>
    </row>
    <row r="441" ht="15.75" customHeight="1">
      <c r="A441" s="4" t="s">
        <v>1956</v>
      </c>
      <c r="B441" s="13">
        <v>46087.7890740741</v>
      </c>
      <c r="C441" s="4" t="s">
        <v>1957</v>
      </c>
      <c r="D441" s="4" t="s">
        <v>1110</v>
      </c>
      <c r="E441" s="4" t="s">
        <v>1064</v>
      </c>
      <c r="F441" s="4"/>
      <c r="G441" s="4" t="s">
        <v>61</v>
      </c>
      <c r="H441" s="10">
        <v>81.95</v>
      </c>
      <c r="I441" s="4" t="s">
        <v>1028</v>
      </c>
    </row>
    <row r="442" ht="15.75" customHeight="1">
      <c r="A442" s="4" t="s">
        <v>1958</v>
      </c>
      <c r="B442" s="13">
        <v>46059.9317939815</v>
      </c>
      <c r="C442" s="4" t="s">
        <v>1959</v>
      </c>
      <c r="D442" s="4" t="s">
        <v>1063</v>
      </c>
      <c r="E442" s="4" t="s">
        <v>1064</v>
      </c>
      <c r="F442" s="4"/>
      <c r="G442" s="4" t="s">
        <v>232</v>
      </c>
      <c r="H442" s="4"/>
      <c r="I442" s="4" t="s">
        <v>1052</v>
      </c>
    </row>
    <row r="443" ht="15.75" customHeight="1">
      <c r="A443" s="4" t="s">
        <v>1960</v>
      </c>
      <c r="B443" s="13">
        <v>46114.9297337963</v>
      </c>
      <c r="C443" s="4" t="s">
        <v>1961</v>
      </c>
      <c r="D443" s="4" t="s">
        <v>1128</v>
      </c>
      <c r="E443" s="4" t="s">
        <v>1090</v>
      </c>
      <c r="F443" s="4" t="s">
        <v>817</v>
      </c>
      <c r="G443" s="4"/>
      <c r="H443" s="4"/>
      <c r="I443" s="4" t="s">
        <v>1036</v>
      </c>
    </row>
    <row r="444" ht="15.75" customHeight="1">
      <c r="A444" s="4" t="s">
        <v>1962</v>
      </c>
      <c r="B444" s="13">
        <v>46127.4364351852</v>
      </c>
      <c r="C444" s="4" t="s">
        <v>1963</v>
      </c>
      <c r="D444" s="4" t="s">
        <v>1086</v>
      </c>
      <c r="E444" s="4" t="s">
        <v>1064</v>
      </c>
      <c r="F444" s="4"/>
      <c r="G444" s="4"/>
      <c r="H444" s="4"/>
      <c r="I444" s="4" t="s">
        <v>1028</v>
      </c>
    </row>
    <row r="445" ht="15.75" customHeight="1">
      <c r="A445" s="4" t="s">
        <v>1964</v>
      </c>
      <c r="B445" s="13">
        <v>46109.5633101852</v>
      </c>
      <c r="C445" s="4" t="s">
        <v>1965</v>
      </c>
      <c r="D445" s="4" t="s">
        <v>1081</v>
      </c>
      <c r="E445" s="4" t="s">
        <v>1064</v>
      </c>
      <c r="F445" s="4"/>
      <c r="G445" s="4"/>
      <c r="H445" s="4"/>
      <c r="I445" s="4" t="s">
        <v>1031</v>
      </c>
    </row>
    <row r="446" ht="15.75" customHeight="1">
      <c r="A446" s="4" t="s">
        <v>1966</v>
      </c>
      <c r="B446" s="13">
        <v>46044.4565972222</v>
      </c>
      <c r="C446" s="4" t="s">
        <v>1967</v>
      </c>
      <c r="D446" s="4" t="s">
        <v>1081</v>
      </c>
      <c r="E446" s="4" t="s">
        <v>1064</v>
      </c>
      <c r="F446" s="4"/>
      <c r="G446" s="4"/>
      <c r="H446" s="4"/>
      <c r="I446" s="4" t="s">
        <v>1035</v>
      </c>
    </row>
    <row r="447" ht="15.75" customHeight="1">
      <c r="A447" s="4" t="s">
        <v>1968</v>
      </c>
      <c r="B447" s="13">
        <v>46100.8443518519</v>
      </c>
      <c r="C447" s="4" t="s">
        <v>1969</v>
      </c>
      <c r="D447" s="4" t="s">
        <v>1104</v>
      </c>
      <c r="E447" s="4" t="s">
        <v>1105</v>
      </c>
      <c r="F447" s="4" t="s">
        <v>202</v>
      </c>
      <c r="G447" s="4"/>
      <c r="H447" s="4"/>
      <c r="I447" s="4" t="s">
        <v>1036</v>
      </c>
    </row>
    <row r="448" ht="15.75" customHeight="1">
      <c r="A448" s="4" t="s">
        <v>1970</v>
      </c>
      <c r="B448" s="13">
        <v>46064.5122569444</v>
      </c>
      <c r="C448" s="4" t="s">
        <v>1971</v>
      </c>
      <c r="D448" s="4" t="s">
        <v>1110</v>
      </c>
      <c r="E448" s="4" t="s">
        <v>1064</v>
      </c>
      <c r="F448" s="4"/>
      <c r="G448" s="4" t="s">
        <v>144</v>
      </c>
      <c r="H448" s="10">
        <v>35.58</v>
      </c>
      <c r="I448" s="4" t="s">
        <v>587</v>
      </c>
    </row>
    <row r="449" ht="15.75" customHeight="1">
      <c r="A449" s="4" t="s">
        <v>1972</v>
      </c>
      <c r="B449" s="13">
        <v>46123.4806018519</v>
      </c>
      <c r="C449" s="4" t="s">
        <v>1973</v>
      </c>
      <c r="D449" s="4" t="s">
        <v>1086</v>
      </c>
      <c r="E449" s="4" t="s">
        <v>1064</v>
      </c>
      <c r="F449" s="4"/>
      <c r="G449" s="4"/>
      <c r="H449" s="4"/>
      <c r="I449" s="4" t="s">
        <v>1048</v>
      </c>
    </row>
    <row r="450" ht="15.75" customHeight="1">
      <c r="A450" s="4" t="s">
        <v>1974</v>
      </c>
      <c r="B450" s="13">
        <v>46130.8904050926</v>
      </c>
      <c r="C450" s="4" t="s">
        <v>1975</v>
      </c>
      <c r="D450" s="4" t="s">
        <v>1104</v>
      </c>
      <c r="E450" s="4" t="s">
        <v>1105</v>
      </c>
      <c r="F450" s="4" t="s">
        <v>214</v>
      </c>
      <c r="G450" s="4"/>
      <c r="H450" s="4"/>
      <c r="I450" s="4" t="s">
        <v>1042</v>
      </c>
    </row>
    <row r="451" ht="15.75" customHeight="1">
      <c r="A451" s="4" t="s">
        <v>1976</v>
      </c>
      <c r="B451" s="13">
        <v>46049.8222685185</v>
      </c>
      <c r="C451" s="4" t="s">
        <v>1977</v>
      </c>
      <c r="D451" s="4" t="s">
        <v>1163</v>
      </c>
      <c r="E451" s="4" t="s">
        <v>1119</v>
      </c>
      <c r="F451" s="4"/>
      <c r="G451" s="4"/>
      <c r="H451" s="4"/>
      <c r="I451" s="4" t="s">
        <v>1048</v>
      </c>
    </row>
    <row r="452" ht="15.75" customHeight="1">
      <c r="A452" s="4" t="s">
        <v>1978</v>
      </c>
      <c r="B452" s="13">
        <v>46024.7608912037</v>
      </c>
      <c r="C452" s="4" t="s">
        <v>1979</v>
      </c>
      <c r="D452" s="4" t="s">
        <v>1104</v>
      </c>
      <c r="E452" s="4" t="s">
        <v>1090</v>
      </c>
      <c r="F452" s="4" t="s">
        <v>807</v>
      </c>
      <c r="G452" s="4"/>
      <c r="H452" s="4"/>
      <c r="I452" s="4" t="s">
        <v>1028</v>
      </c>
    </row>
    <row r="453" ht="15.75" customHeight="1">
      <c r="A453" s="4" t="s">
        <v>1980</v>
      </c>
      <c r="B453" s="13">
        <v>46091.8692013889</v>
      </c>
      <c r="C453" s="4" t="s">
        <v>1981</v>
      </c>
      <c r="D453" s="4" t="s">
        <v>1078</v>
      </c>
      <c r="E453" s="4" t="s">
        <v>1064</v>
      </c>
      <c r="F453" s="4"/>
      <c r="G453" s="4" t="s">
        <v>244</v>
      </c>
      <c r="H453" s="10">
        <v>144.67</v>
      </c>
      <c r="I453" s="4" t="s">
        <v>1035</v>
      </c>
    </row>
    <row r="454" ht="15.75" customHeight="1">
      <c r="A454" s="4" t="s">
        <v>1982</v>
      </c>
      <c r="B454" s="13">
        <v>46099.3884259259</v>
      </c>
      <c r="C454" s="4" t="s">
        <v>1983</v>
      </c>
      <c r="D454" s="4" t="s">
        <v>1086</v>
      </c>
      <c r="E454" s="4" t="s">
        <v>1064</v>
      </c>
      <c r="F454" s="4"/>
      <c r="G454" s="4"/>
      <c r="H454" s="4"/>
      <c r="I454" s="4" t="s">
        <v>1046</v>
      </c>
    </row>
    <row r="455" ht="15.75" customHeight="1">
      <c r="A455" s="4" t="s">
        <v>1984</v>
      </c>
      <c r="B455" s="13">
        <v>46058.9466203704</v>
      </c>
      <c r="C455" s="4" t="s">
        <v>1985</v>
      </c>
      <c r="D455" s="4" t="s">
        <v>1104</v>
      </c>
      <c r="E455" s="4" t="s">
        <v>1105</v>
      </c>
      <c r="F455" s="4" t="s">
        <v>289</v>
      </c>
      <c r="G455" s="4"/>
      <c r="H455" s="4"/>
      <c r="I455" s="4" t="s">
        <v>1036</v>
      </c>
    </row>
    <row r="456" ht="15.75" customHeight="1">
      <c r="A456" s="4" t="s">
        <v>1986</v>
      </c>
      <c r="B456" s="13">
        <v>46118.8647685185</v>
      </c>
      <c r="C456" s="4" t="s">
        <v>1987</v>
      </c>
      <c r="D456" s="4" t="s">
        <v>1163</v>
      </c>
      <c r="E456" s="4" t="s">
        <v>1119</v>
      </c>
      <c r="F456" s="4"/>
      <c r="G456" s="4"/>
      <c r="H456" s="4"/>
      <c r="I456" s="4" t="s">
        <v>1052</v>
      </c>
    </row>
    <row r="457" ht="15.75" customHeight="1">
      <c r="A457" s="4" t="s">
        <v>1988</v>
      </c>
      <c r="B457" s="13">
        <v>46080.5647569444</v>
      </c>
      <c r="C457" s="4" t="s">
        <v>1989</v>
      </c>
      <c r="D457" s="4" t="s">
        <v>1071</v>
      </c>
      <c r="E457" s="4" t="s">
        <v>1119</v>
      </c>
      <c r="F457" s="4"/>
      <c r="G457" s="4"/>
      <c r="H457" s="4"/>
      <c r="I457" s="4" t="s">
        <v>1028</v>
      </c>
    </row>
    <row r="458" ht="15.75" customHeight="1">
      <c r="A458" s="4" t="s">
        <v>1990</v>
      </c>
      <c r="B458" s="13">
        <v>46093.9593171296</v>
      </c>
      <c r="C458" s="4" t="s">
        <v>1991</v>
      </c>
      <c r="D458" s="4" t="s">
        <v>1081</v>
      </c>
      <c r="E458" s="4" t="s">
        <v>1064</v>
      </c>
      <c r="F458" s="4"/>
      <c r="G458" s="4"/>
      <c r="H458" s="4"/>
      <c r="I458" s="4" t="s">
        <v>587</v>
      </c>
    </row>
    <row r="459" ht="15.75" customHeight="1">
      <c r="A459" s="4" t="s">
        <v>1992</v>
      </c>
      <c r="B459" s="13">
        <v>46029.5903819444</v>
      </c>
      <c r="C459" s="4" t="s">
        <v>1993</v>
      </c>
      <c r="D459" s="4" t="s">
        <v>1163</v>
      </c>
      <c r="E459" s="4" t="s">
        <v>1072</v>
      </c>
      <c r="F459" s="4"/>
      <c r="G459" s="4"/>
      <c r="H459" s="4"/>
      <c r="I459" s="4" t="s">
        <v>427</v>
      </c>
    </row>
    <row r="460" ht="15.75" customHeight="1">
      <c r="A460" s="4" t="s">
        <v>1994</v>
      </c>
      <c r="B460" s="13">
        <v>46025.4476041667</v>
      </c>
      <c r="C460" s="4" t="s">
        <v>1995</v>
      </c>
      <c r="D460" s="4" t="s">
        <v>1089</v>
      </c>
      <c r="E460" s="4" t="s">
        <v>1105</v>
      </c>
      <c r="F460" s="4" t="s">
        <v>63</v>
      </c>
      <c r="G460" s="4"/>
      <c r="H460" s="4"/>
      <c r="I460" s="4" t="s">
        <v>1048</v>
      </c>
    </row>
    <row r="461" ht="15.75" customHeight="1">
      <c r="A461" s="4" t="s">
        <v>1996</v>
      </c>
      <c r="B461" s="13">
        <v>46099.9898611111</v>
      </c>
      <c r="C461" s="4" t="s">
        <v>1997</v>
      </c>
      <c r="D461" s="4" t="s">
        <v>1081</v>
      </c>
      <c r="E461" s="4" t="s">
        <v>1064</v>
      </c>
      <c r="F461" s="4"/>
      <c r="G461" s="4"/>
      <c r="H461" s="4"/>
      <c r="I461" s="4" t="s">
        <v>1050</v>
      </c>
    </row>
    <row r="462" ht="15.75" customHeight="1">
      <c r="A462" s="4" t="s">
        <v>1998</v>
      </c>
      <c r="B462" s="13">
        <v>46070.8681134259</v>
      </c>
      <c r="C462" s="4" t="s">
        <v>1999</v>
      </c>
      <c r="D462" s="4" t="s">
        <v>1110</v>
      </c>
      <c r="E462" s="4" t="s">
        <v>1064</v>
      </c>
      <c r="F462" s="4"/>
      <c r="G462" s="4" t="s">
        <v>84</v>
      </c>
      <c r="H462" s="10">
        <v>224.85</v>
      </c>
      <c r="I462" s="4" t="s">
        <v>1028</v>
      </c>
    </row>
    <row r="463" ht="15.75" customHeight="1">
      <c r="A463" s="4" t="s">
        <v>2000</v>
      </c>
      <c r="B463" s="13">
        <v>46105.4427314815</v>
      </c>
      <c r="C463" s="4" t="s">
        <v>2001</v>
      </c>
      <c r="D463" s="4" t="s">
        <v>1110</v>
      </c>
      <c r="E463" s="4" t="s">
        <v>1064</v>
      </c>
      <c r="F463" s="4"/>
      <c r="G463" s="4" t="s">
        <v>232</v>
      </c>
      <c r="H463" s="10">
        <v>69.34</v>
      </c>
      <c r="I463" s="4" t="s">
        <v>1050</v>
      </c>
    </row>
    <row r="464" ht="15.75" customHeight="1">
      <c r="A464" s="4" t="s">
        <v>2002</v>
      </c>
      <c r="B464" s="13">
        <v>46098.7873032407</v>
      </c>
      <c r="C464" s="4" t="s">
        <v>2003</v>
      </c>
      <c r="D464" s="4" t="s">
        <v>1075</v>
      </c>
      <c r="E464" s="4" t="s">
        <v>1064</v>
      </c>
      <c r="F464" s="4"/>
      <c r="G464" s="4"/>
      <c r="H464" s="4"/>
      <c r="I464" s="4" t="s">
        <v>1035</v>
      </c>
    </row>
    <row r="465" ht="15.75" customHeight="1">
      <c r="A465" s="4" t="s">
        <v>2004</v>
      </c>
      <c r="B465" s="13">
        <v>46081.8737384259</v>
      </c>
      <c r="C465" s="4" t="s">
        <v>2005</v>
      </c>
      <c r="D465" s="4" t="s">
        <v>1089</v>
      </c>
      <c r="E465" s="4" t="s">
        <v>1090</v>
      </c>
      <c r="F465" s="4" t="s">
        <v>811</v>
      </c>
      <c r="G465" s="4"/>
      <c r="H465" s="4"/>
      <c r="I465" s="4" t="s">
        <v>1031</v>
      </c>
    </row>
    <row r="466" ht="15.75" customHeight="1">
      <c r="A466" s="4" t="s">
        <v>2006</v>
      </c>
      <c r="B466" s="13">
        <v>46129.4312615741</v>
      </c>
      <c r="C466" s="4" t="s">
        <v>2007</v>
      </c>
      <c r="D466" s="4" t="s">
        <v>1093</v>
      </c>
      <c r="E466" s="4" t="s">
        <v>1064</v>
      </c>
      <c r="F466" s="4"/>
      <c r="G466" s="4"/>
      <c r="H466" s="4"/>
      <c r="I466" s="4" t="s">
        <v>1031</v>
      </c>
    </row>
    <row r="467" ht="15.75" customHeight="1">
      <c r="A467" s="4" t="s">
        <v>2008</v>
      </c>
      <c r="B467" s="13">
        <v>46034.4173263889</v>
      </c>
      <c r="C467" s="4" t="s">
        <v>2009</v>
      </c>
      <c r="D467" s="4" t="s">
        <v>1078</v>
      </c>
      <c r="E467" s="4" t="s">
        <v>1064</v>
      </c>
      <c r="F467" s="4"/>
      <c r="G467" s="4" t="s">
        <v>227</v>
      </c>
      <c r="H467" s="10">
        <v>133.24</v>
      </c>
      <c r="I467" s="4" t="s">
        <v>1052</v>
      </c>
    </row>
    <row r="468" ht="15.75" customHeight="1">
      <c r="A468" s="4" t="s">
        <v>2010</v>
      </c>
      <c r="B468" s="13">
        <v>46023.9405092593</v>
      </c>
      <c r="C468" s="4" t="s">
        <v>2011</v>
      </c>
      <c r="D468" s="4" t="s">
        <v>1078</v>
      </c>
      <c r="E468" s="4" t="s">
        <v>1064</v>
      </c>
      <c r="F468" s="4"/>
      <c r="G468" s="4" t="s">
        <v>137</v>
      </c>
      <c r="H468" s="10">
        <v>28.63</v>
      </c>
      <c r="I468" s="4" t="s">
        <v>1036</v>
      </c>
    </row>
    <row r="469" ht="15.75" customHeight="1">
      <c r="A469" s="4" t="s">
        <v>2012</v>
      </c>
      <c r="B469" s="13">
        <v>46070.6023842593</v>
      </c>
      <c r="C469" s="4" t="s">
        <v>2013</v>
      </c>
      <c r="D469" s="4" t="s">
        <v>1089</v>
      </c>
      <c r="E469" s="4" t="s">
        <v>1105</v>
      </c>
      <c r="F469" s="4" t="s">
        <v>289</v>
      </c>
      <c r="G469" s="4"/>
      <c r="H469" s="4"/>
      <c r="I469" s="4" t="s">
        <v>1036</v>
      </c>
    </row>
    <row r="470" ht="15.75" customHeight="1">
      <c r="A470" s="4" t="s">
        <v>2014</v>
      </c>
      <c r="B470" s="13">
        <v>46102.8405555556</v>
      </c>
      <c r="C470" s="4" t="s">
        <v>2015</v>
      </c>
      <c r="D470" s="4" t="s">
        <v>1071</v>
      </c>
      <c r="E470" s="4" t="s">
        <v>1072</v>
      </c>
      <c r="F470" s="4"/>
      <c r="G470" s="4"/>
      <c r="H470" s="4"/>
      <c r="I470" s="4" t="s">
        <v>1031</v>
      </c>
    </row>
    <row r="471" ht="15.75" customHeight="1">
      <c r="A471" s="4" t="s">
        <v>2016</v>
      </c>
      <c r="B471" s="13">
        <v>46094.4795486111</v>
      </c>
      <c r="C471" s="4" t="s">
        <v>2017</v>
      </c>
      <c r="D471" s="4" t="s">
        <v>1163</v>
      </c>
      <c r="E471" s="4" t="s">
        <v>1072</v>
      </c>
      <c r="F471" s="4"/>
      <c r="G471" s="4"/>
      <c r="H471" s="4"/>
      <c r="I471" s="4" t="s">
        <v>1036</v>
      </c>
    </row>
    <row r="472" ht="15.75" customHeight="1">
      <c r="A472" s="4" t="s">
        <v>2018</v>
      </c>
      <c r="B472" s="13">
        <v>46046.8124305556</v>
      </c>
      <c r="C472" s="4" t="s">
        <v>2019</v>
      </c>
      <c r="D472" s="4" t="s">
        <v>1075</v>
      </c>
      <c r="E472" s="4" t="s">
        <v>1064</v>
      </c>
      <c r="F472" s="4"/>
      <c r="G472" s="4"/>
      <c r="H472" s="4"/>
      <c r="I472" s="4" t="s">
        <v>1039</v>
      </c>
    </row>
    <row r="473" ht="15.75" customHeight="1">
      <c r="A473" s="4" t="s">
        <v>2020</v>
      </c>
      <c r="B473" s="13">
        <v>46053.5007523148</v>
      </c>
      <c r="C473" s="4" t="s">
        <v>2021</v>
      </c>
      <c r="D473" s="4" t="s">
        <v>1071</v>
      </c>
      <c r="E473" s="4" t="s">
        <v>1119</v>
      </c>
      <c r="F473" s="4"/>
      <c r="G473" s="4"/>
      <c r="H473" s="4"/>
      <c r="I473" s="4" t="s">
        <v>1046</v>
      </c>
    </row>
    <row r="474" ht="15.75" customHeight="1">
      <c r="A474" s="4" t="s">
        <v>2022</v>
      </c>
      <c r="B474" s="13">
        <v>46089.5583333333</v>
      </c>
      <c r="C474" s="4" t="s">
        <v>2023</v>
      </c>
      <c r="D474" s="4" t="s">
        <v>1081</v>
      </c>
      <c r="E474" s="4" t="s">
        <v>1064</v>
      </c>
      <c r="F474" s="4"/>
      <c r="G474" s="4"/>
      <c r="H474" s="4"/>
      <c r="I474" s="4" t="s">
        <v>1036</v>
      </c>
    </row>
    <row r="475" ht="15.75" customHeight="1">
      <c r="A475" s="4" t="s">
        <v>2024</v>
      </c>
      <c r="B475" s="13">
        <v>46040.451724537</v>
      </c>
      <c r="C475" s="4" t="s">
        <v>2025</v>
      </c>
      <c r="D475" s="4" t="s">
        <v>1063</v>
      </c>
      <c r="E475" s="4" t="s">
        <v>1064</v>
      </c>
      <c r="F475" s="4"/>
      <c r="G475" s="4" t="s">
        <v>69</v>
      </c>
      <c r="H475" s="4"/>
      <c r="I475" s="4" t="s">
        <v>1046</v>
      </c>
    </row>
    <row r="476" ht="15.75" customHeight="1">
      <c r="A476" s="4" t="s">
        <v>2026</v>
      </c>
      <c r="B476" s="13">
        <v>46060.4463773148</v>
      </c>
      <c r="C476" s="4" t="s">
        <v>2027</v>
      </c>
      <c r="D476" s="4" t="s">
        <v>1093</v>
      </c>
      <c r="E476" s="4" t="s">
        <v>1064</v>
      </c>
      <c r="F476" s="4"/>
      <c r="G476" s="4"/>
      <c r="H476" s="4"/>
      <c r="I476" s="4" t="s">
        <v>427</v>
      </c>
    </row>
    <row r="477" ht="15.75" customHeight="1">
      <c r="A477" s="4" t="s">
        <v>2028</v>
      </c>
      <c r="B477" s="13">
        <v>46035.5118634259</v>
      </c>
      <c r="C477" s="4" t="s">
        <v>2029</v>
      </c>
      <c r="D477" s="4" t="s">
        <v>1104</v>
      </c>
      <c r="E477" s="4" t="s">
        <v>1105</v>
      </c>
      <c r="F477" s="4" t="s">
        <v>128</v>
      </c>
      <c r="G477" s="4"/>
      <c r="H477" s="4"/>
      <c r="I477" s="4" t="s">
        <v>427</v>
      </c>
    </row>
    <row r="478" ht="15.75" customHeight="1">
      <c r="A478" s="4" t="s">
        <v>2030</v>
      </c>
      <c r="B478" s="13">
        <v>46084.772650463</v>
      </c>
      <c r="C478" s="4" t="s">
        <v>2031</v>
      </c>
      <c r="D478" s="4" t="s">
        <v>1071</v>
      </c>
      <c r="E478" s="4" t="s">
        <v>1119</v>
      </c>
      <c r="F478" s="4"/>
      <c r="G478" s="4"/>
      <c r="H478" s="4"/>
      <c r="I478" s="4" t="s">
        <v>1034</v>
      </c>
    </row>
    <row r="479" ht="15.75" customHeight="1">
      <c r="A479" s="4" t="s">
        <v>2032</v>
      </c>
      <c r="B479" s="13">
        <v>46039.494849537</v>
      </c>
      <c r="C479" s="4" t="s">
        <v>2033</v>
      </c>
      <c r="D479" s="4" t="s">
        <v>1078</v>
      </c>
      <c r="E479" s="4" t="s">
        <v>1064</v>
      </c>
      <c r="F479" s="4"/>
      <c r="G479" s="4" t="s">
        <v>100</v>
      </c>
      <c r="H479" s="10">
        <v>72.4</v>
      </c>
      <c r="I479" s="4" t="s">
        <v>1035</v>
      </c>
    </row>
    <row r="480" ht="15.75" customHeight="1">
      <c r="A480" s="4" t="s">
        <v>2034</v>
      </c>
      <c r="B480" s="13">
        <v>46039.37125</v>
      </c>
      <c r="C480" s="4" t="s">
        <v>2035</v>
      </c>
      <c r="D480" s="4" t="s">
        <v>1163</v>
      </c>
      <c r="E480" s="4" t="s">
        <v>1119</v>
      </c>
      <c r="F480" s="4"/>
      <c r="G480" s="4"/>
      <c r="H480" s="4"/>
      <c r="I480" s="4" t="s">
        <v>1039</v>
      </c>
    </row>
    <row r="481" ht="15.75" customHeight="1">
      <c r="A481" s="4" t="s">
        <v>2036</v>
      </c>
      <c r="B481" s="13">
        <v>46025.3782407407</v>
      </c>
      <c r="C481" s="4" t="s">
        <v>2037</v>
      </c>
      <c r="D481" s="4" t="s">
        <v>1071</v>
      </c>
      <c r="E481" s="4" t="s">
        <v>1072</v>
      </c>
      <c r="F481" s="4"/>
      <c r="G481" s="4"/>
      <c r="H481" s="4"/>
      <c r="I481" s="4" t="s">
        <v>1042</v>
      </c>
    </row>
    <row r="482" ht="15.75" customHeight="1">
      <c r="A482" s="4" t="s">
        <v>2038</v>
      </c>
      <c r="B482" s="13">
        <v>46044.619537037</v>
      </c>
      <c r="C482" s="4" t="s">
        <v>2039</v>
      </c>
      <c r="D482" s="4" t="s">
        <v>1093</v>
      </c>
      <c r="E482" s="4" t="s">
        <v>1064</v>
      </c>
      <c r="F482" s="4"/>
      <c r="G482" s="4"/>
      <c r="H482" s="4"/>
      <c r="I482" s="4" t="s">
        <v>1048</v>
      </c>
    </row>
    <row r="483" ht="15.75" customHeight="1">
      <c r="A483" s="4" t="s">
        <v>2040</v>
      </c>
      <c r="B483" s="13">
        <v>46064.6667013889</v>
      </c>
      <c r="C483" s="4" t="s">
        <v>2041</v>
      </c>
      <c r="D483" s="4" t="s">
        <v>1071</v>
      </c>
      <c r="E483" s="4" t="s">
        <v>1119</v>
      </c>
      <c r="F483" s="4"/>
      <c r="G483" s="4"/>
      <c r="H483" s="4"/>
      <c r="I483" s="4" t="s">
        <v>427</v>
      </c>
    </row>
    <row r="484" ht="15.75" customHeight="1">
      <c r="A484" s="4" t="s">
        <v>2042</v>
      </c>
      <c r="B484" s="13">
        <v>46056.9271412037</v>
      </c>
      <c r="C484" s="4" t="s">
        <v>2043</v>
      </c>
      <c r="D484" s="4" t="s">
        <v>1086</v>
      </c>
      <c r="E484" s="4" t="s">
        <v>1064</v>
      </c>
      <c r="F484" s="4"/>
      <c r="G484" s="4"/>
      <c r="H484" s="4"/>
      <c r="I484" s="4" t="s">
        <v>1035</v>
      </c>
    </row>
    <row r="485" ht="15.75" customHeight="1">
      <c r="A485" s="4" t="s">
        <v>2044</v>
      </c>
      <c r="B485" s="13">
        <v>46023.9611458333</v>
      </c>
      <c r="C485" s="4" t="s">
        <v>2045</v>
      </c>
      <c r="D485" s="4" t="s">
        <v>1063</v>
      </c>
      <c r="E485" s="4" t="s">
        <v>1064</v>
      </c>
      <c r="F485" s="4"/>
      <c r="G485" s="4" t="s">
        <v>100</v>
      </c>
      <c r="H485" s="4"/>
      <c r="I485" s="4" t="s">
        <v>1030</v>
      </c>
    </row>
    <row r="486" ht="15.75" customHeight="1">
      <c r="A486" s="4" t="s">
        <v>2046</v>
      </c>
      <c r="B486" s="13">
        <v>46096.7921180556</v>
      </c>
      <c r="C486" s="4" t="s">
        <v>2047</v>
      </c>
      <c r="D486" s="4" t="s">
        <v>1104</v>
      </c>
      <c r="E486" s="4" t="s">
        <v>1090</v>
      </c>
      <c r="F486" s="4" t="s">
        <v>794</v>
      </c>
      <c r="G486" s="4"/>
      <c r="H486" s="4"/>
      <c r="I486" s="4" t="s">
        <v>427</v>
      </c>
    </row>
    <row r="487" ht="15.75" customHeight="1">
      <c r="A487" s="4" t="s">
        <v>2048</v>
      </c>
      <c r="B487" s="13">
        <v>46033.4079050926</v>
      </c>
      <c r="C487" s="4" t="s">
        <v>2049</v>
      </c>
      <c r="D487" s="4" t="s">
        <v>1075</v>
      </c>
      <c r="E487" s="4" t="s">
        <v>1064</v>
      </c>
      <c r="F487" s="4"/>
      <c r="G487" s="4"/>
      <c r="H487" s="4"/>
      <c r="I487" s="4" t="s">
        <v>1052</v>
      </c>
    </row>
    <row r="488" ht="15.75" customHeight="1">
      <c r="A488" s="4" t="s">
        <v>2050</v>
      </c>
      <c r="B488" s="13">
        <v>46027.9200347222</v>
      </c>
      <c r="C488" s="4" t="s">
        <v>2051</v>
      </c>
      <c r="D488" s="4" t="s">
        <v>1089</v>
      </c>
      <c r="E488" s="4" t="s">
        <v>1105</v>
      </c>
      <c r="F488" s="4" t="s">
        <v>224</v>
      </c>
      <c r="G488" s="4"/>
      <c r="H488" s="4"/>
      <c r="I488" s="4" t="s">
        <v>1050</v>
      </c>
    </row>
    <row r="489" ht="15.75" customHeight="1">
      <c r="A489" s="4" t="s">
        <v>2052</v>
      </c>
      <c r="B489" s="13">
        <v>46129.4559259259</v>
      </c>
      <c r="C489" s="4" t="s">
        <v>2053</v>
      </c>
      <c r="D489" s="4" t="s">
        <v>1086</v>
      </c>
      <c r="E489" s="4" t="s">
        <v>1064</v>
      </c>
      <c r="F489" s="4"/>
      <c r="G489" s="4"/>
      <c r="H489" s="4"/>
      <c r="I489" s="4" t="s">
        <v>1039</v>
      </c>
    </row>
    <row r="490" ht="15.75" customHeight="1">
      <c r="A490" s="4" t="s">
        <v>2054</v>
      </c>
      <c r="B490" s="13">
        <v>46052.5358333333</v>
      </c>
      <c r="C490" s="4" t="s">
        <v>2055</v>
      </c>
      <c r="D490" s="4" t="s">
        <v>1078</v>
      </c>
      <c r="E490" s="4" t="s">
        <v>1064</v>
      </c>
      <c r="F490" s="4"/>
      <c r="G490" s="4" t="s">
        <v>112</v>
      </c>
      <c r="H490" s="10">
        <v>158.7</v>
      </c>
      <c r="I490" s="4" t="s">
        <v>1031</v>
      </c>
    </row>
    <row r="491" ht="15.75" customHeight="1">
      <c r="A491" s="4" t="s">
        <v>2056</v>
      </c>
      <c r="B491" s="13">
        <v>46039.6788194445</v>
      </c>
      <c r="C491" s="4" t="s">
        <v>2057</v>
      </c>
      <c r="D491" s="4" t="s">
        <v>1063</v>
      </c>
      <c r="E491" s="4" t="s">
        <v>1064</v>
      </c>
      <c r="F491" s="4"/>
      <c r="G491" s="4" t="s">
        <v>244</v>
      </c>
      <c r="H491" s="4"/>
      <c r="I491" s="4" t="s">
        <v>427</v>
      </c>
    </row>
    <row r="492" ht="15.75" customHeight="1">
      <c r="A492" s="4" t="s">
        <v>2058</v>
      </c>
      <c r="B492" s="13">
        <v>46048.7441435185</v>
      </c>
      <c r="C492" s="4" t="s">
        <v>2059</v>
      </c>
      <c r="D492" s="4" t="s">
        <v>1093</v>
      </c>
      <c r="E492" s="4" t="s">
        <v>1064</v>
      </c>
      <c r="F492" s="4"/>
      <c r="G492" s="4"/>
      <c r="H492" s="4"/>
      <c r="I492" s="4" t="s">
        <v>1030</v>
      </c>
    </row>
    <row r="493" ht="15.75" customHeight="1">
      <c r="A493" s="4" t="s">
        <v>2060</v>
      </c>
      <c r="B493" s="13">
        <v>46056.7514930556</v>
      </c>
      <c r="C493" s="4" t="s">
        <v>2061</v>
      </c>
      <c r="D493" s="4" t="s">
        <v>1089</v>
      </c>
      <c r="E493" s="4" t="s">
        <v>1105</v>
      </c>
      <c r="F493" s="4" t="s">
        <v>132</v>
      </c>
      <c r="G493" s="4"/>
      <c r="H493" s="4"/>
      <c r="I493" s="4" t="s">
        <v>1030</v>
      </c>
    </row>
    <row r="494" ht="15.75" customHeight="1">
      <c r="A494" s="4" t="s">
        <v>2062</v>
      </c>
      <c r="B494" s="13">
        <v>46060.6228009259</v>
      </c>
      <c r="C494" s="4" t="s">
        <v>2063</v>
      </c>
      <c r="D494" s="4" t="s">
        <v>1093</v>
      </c>
      <c r="E494" s="4" t="s">
        <v>1064</v>
      </c>
      <c r="F494" s="4"/>
      <c r="G494" s="4"/>
      <c r="H494" s="4"/>
      <c r="I494" s="4" t="s">
        <v>587</v>
      </c>
    </row>
    <row r="495" ht="15.75" customHeight="1">
      <c r="A495" s="4" t="s">
        <v>2064</v>
      </c>
      <c r="B495" s="13">
        <v>46066.5184375</v>
      </c>
      <c r="C495" s="4" t="s">
        <v>2065</v>
      </c>
      <c r="D495" s="4" t="s">
        <v>1110</v>
      </c>
      <c r="E495" s="4" t="s">
        <v>1064</v>
      </c>
      <c r="F495" s="4"/>
      <c r="G495" s="4" t="s">
        <v>61</v>
      </c>
      <c r="H495" s="10">
        <v>36.25</v>
      </c>
      <c r="I495" s="4" t="s">
        <v>1031</v>
      </c>
    </row>
    <row r="496" ht="15.75" customHeight="1">
      <c r="A496" s="4" t="s">
        <v>2066</v>
      </c>
      <c r="B496" s="13">
        <v>46047.6564351852</v>
      </c>
      <c r="C496" s="4" t="s">
        <v>2067</v>
      </c>
      <c r="D496" s="4" t="s">
        <v>1093</v>
      </c>
      <c r="E496" s="4" t="s">
        <v>1064</v>
      </c>
      <c r="F496" s="4"/>
      <c r="G496" s="4"/>
      <c r="H496" s="4"/>
      <c r="I496" s="4" t="s">
        <v>1050</v>
      </c>
    </row>
    <row r="497" ht="15.75" customHeight="1">
      <c r="A497" s="4" t="s">
        <v>2068</v>
      </c>
      <c r="B497" s="13">
        <v>46063.642337963</v>
      </c>
      <c r="C497" s="4" t="s">
        <v>2069</v>
      </c>
      <c r="D497" s="4" t="s">
        <v>1128</v>
      </c>
      <c r="E497" s="4" t="s">
        <v>1105</v>
      </c>
      <c r="F497" s="4" t="s">
        <v>185</v>
      </c>
      <c r="G497" s="4"/>
      <c r="H497" s="4"/>
      <c r="I497" s="4" t="s">
        <v>1042</v>
      </c>
    </row>
    <row r="498" ht="15.75" customHeight="1">
      <c r="A498" s="4" t="s">
        <v>2070</v>
      </c>
      <c r="B498" s="13">
        <v>46127.9578356482</v>
      </c>
      <c r="C498" s="4" t="s">
        <v>2071</v>
      </c>
      <c r="D498" s="4" t="s">
        <v>1093</v>
      </c>
      <c r="E498" s="4" t="s">
        <v>1064</v>
      </c>
      <c r="F498" s="4"/>
      <c r="G498" s="4"/>
      <c r="H498" s="4"/>
      <c r="I498" s="4" t="s">
        <v>1034</v>
      </c>
    </row>
    <row r="499" ht="15.75" customHeight="1">
      <c r="A499" s="4" t="s">
        <v>2072</v>
      </c>
      <c r="B499" s="13">
        <v>46033.8091435185</v>
      </c>
      <c r="C499" s="4" t="s">
        <v>2073</v>
      </c>
      <c r="D499" s="4" t="s">
        <v>1063</v>
      </c>
      <c r="E499" s="4" t="s">
        <v>1064</v>
      </c>
      <c r="F499" s="4"/>
      <c r="G499" s="4" t="s">
        <v>144</v>
      </c>
      <c r="H499" s="4"/>
      <c r="I499" s="4" t="s">
        <v>1036</v>
      </c>
    </row>
    <row r="500" ht="15.75" customHeight="1">
      <c r="A500" s="4" t="s">
        <v>2074</v>
      </c>
      <c r="B500" s="13">
        <v>46092.790150463</v>
      </c>
      <c r="C500" s="4" t="s">
        <v>2075</v>
      </c>
      <c r="D500" s="4" t="s">
        <v>1089</v>
      </c>
      <c r="E500" s="4" t="s">
        <v>1090</v>
      </c>
      <c r="F500" s="4" t="s">
        <v>821</v>
      </c>
      <c r="G500" s="4"/>
      <c r="H500" s="4"/>
      <c r="I500" s="4" t="s">
        <v>1042</v>
      </c>
    </row>
    <row r="501" ht="15.75" customHeight="1">
      <c r="A501" s="4" t="s">
        <v>2076</v>
      </c>
      <c r="B501" s="13">
        <v>46099.4973842593</v>
      </c>
      <c r="C501" s="4" t="s">
        <v>2077</v>
      </c>
      <c r="D501" s="4" t="s">
        <v>1081</v>
      </c>
      <c r="E501" s="4" t="s">
        <v>1064</v>
      </c>
      <c r="F501" s="4"/>
      <c r="G501" s="4"/>
      <c r="H501" s="4"/>
      <c r="I501" s="4" t="s">
        <v>1048</v>
      </c>
    </row>
    <row r="502" ht="15.75" customHeight="1">
      <c r="A502" s="4" t="s">
        <v>2078</v>
      </c>
      <c r="B502" s="13">
        <v>46035.3398263889</v>
      </c>
      <c r="C502" s="4" t="s">
        <v>2079</v>
      </c>
      <c r="D502" s="4" t="s">
        <v>1075</v>
      </c>
      <c r="E502" s="4" t="s">
        <v>1064</v>
      </c>
      <c r="F502" s="4"/>
      <c r="G502" s="4"/>
      <c r="H502" s="4"/>
      <c r="I502" s="4" t="s">
        <v>1028</v>
      </c>
    </row>
    <row r="503" ht="15.75" customHeight="1">
      <c r="A503" s="4" t="s">
        <v>2080</v>
      </c>
      <c r="B503" s="13">
        <v>46045.5694560185</v>
      </c>
      <c r="C503" s="4" t="s">
        <v>2081</v>
      </c>
      <c r="D503" s="4" t="s">
        <v>1086</v>
      </c>
      <c r="E503" s="4" t="s">
        <v>1064</v>
      </c>
      <c r="F503" s="4"/>
      <c r="G503" s="4"/>
      <c r="H503" s="4"/>
      <c r="I503" s="4" t="s">
        <v>587</v>
      </c>
    </row>
    <row r="504" ht="15.75" customHeight="1">
      <c r="A504" s="4" t="s">
        <v>2082</v>
      </c>
      <c r="B504" s="13">
        <v>46112.4466550926</v>
      </c>
      <c r="C504" s="4" t="s">
        <v>2083</v>
      </c>
      <c r="D504" s="4" t="s">
        <v>1078</v>
      </c>
      <c r="E504" s="4" t="s">
        <v>1064</v>
      </c>
      <c r="F504" s="4"/>
      <c r="G504" s="4" t="s">
        <v>69</v>
      </c>
      <c r="H504" s="10">
        <v>164.38</v>
      </c>
      <c r="I504" s="4" t="s">
        <v>1035</v>
      </c>
    </row>
    <row r="505" ht="15.75" customHeight="1">
      <c r="A505" s="4" t="s">
        <v>2084</v>
      </c>
      <c r="B505" s="13">
        <v>46068.3751157407</v>
      </c>
      <c r="C505" s="4" t="s">
        <v>2085</v>
      </c>
      <c r="D505" s="4" t="s">
        <v>1071</v>
      </c>
      <c r="E505" s="4" t="s">
        <v>1072</v>
      </c>
      <c r="F505" s="4"/>
      <c r="G505" s="4"/>
      <c r="H505" s="4"/>
      <c r="I505" s="4" t="s">
        <v>587</v>
      </c>
    </row>
    <row r="506" ht="15.75" customHeight="1">
      <c r="A506" s="4" t="s">
        <v>2086</v>
      </c>
      <c r="B506" s="13">
        <v>46046.8275578704</v>
      </c>
      <c r="C506" s="4" t="s">
        <v>2087</v>
      </c>
      <c r="D506" s="4" t="s">
        <v>1086</v>
      </c>
      <c r="E506" s="4" t="s">
        <v>1064</v>
      </c>
      <c r="F506" s="4"/>
      <c r="G506" s="4"/>
      <c r="H506" s="4"/>
      <c r="I506" s="4" t="s">
        <v>1034</v>
      </c>
    </row>
    <row r="507" ht="15.75" customHeight="1">
      <c r="A507" s="4" t="s">
        <v>2088</v>
      </c>
      <c r="B507" s="13">
        <v>46079.7103356482</v>
      </c>
      <c r="C507" s="4" t="s">
        <v>2089</v>
      </c>
      <c r="D507" s="4" t="s">
        <v>1089</v>
      </c>
      <c r="E507" s="4" t="s">
        <v>1105</v>
      </c>
      <c r="F507" s="4" t="s">
        <v>115</v>
      </c>
      <c r="G507" s="4"/>
      <c r="H507" s="4"/>
      <c r="I507" s="4" t="s">
        <v>1046</v>
      </c>
    </row>
    <row r="508" ht="15.75" customHeight="1">
      <c r="A508" s="4" t="s">
        <v>2090</v>
      </c>
      <c r="B508" s="13">
        <v>46093.4162268519</v>
      </c>
      <c r="C508" s="4" t="s">
        <v>2091</v>
      </c>
      <c r="D508" s="4" t="s">
        <v>1071</v>
      </c>
      <c r="E508" s="4" t="s">
        <v>1119</v>
      </c>
      <c r="F508" s="4"/>
      <c r="G508" s="4"/>
      <c r="H508" s="4"/>
      <c r="I508" s="4" t="s">
        <v>587</v>
      </c>
    </row>
    <row r="509" ht="15.75" customHeight="1">
      <c r="A509" s="4" t="s">
        <v>2092</v>
      </c>
      <c r="B509" s="13">
        <v>46029.3509027778</v>
      </c>
      <c r="C509" s="4" t="s">
        <v>2093</v>
      </c>
      <c r="D509" s="4" t="s">
        <v>1104</v>
      </c>
      <c r="E509" s="4" t="s">
        <v>1090</v>
      </c>
      <c r="F509" s="4" t="s">
        <v>786</v>
      </c>
      <c r="G509" s="4"/>
      <c r="H509" s="4"/>
      <c r="I509" s="4" t="s">
        <v>1039</v>
      </c>
    </row>
    <row r="510" ht="15.75" customHeight="1">
      <c r="A510" s="4" t="s">
        <v>2094</v>
      </c>
      <c r="B510" s="13">
        <v>46038.3453935185</v>
      </c>
      <c r="C510" s="4" t="s">
        <v>2095</v>
      </c>
      <c r="D510" s="4" t="s">
        <v>1071</v>
      </c>
      <c r="E510" s="4" t="s">
        <v>1072</v>
      </c>
      <c r="F510" s="4"/>
      <c r="G510" s="4"/>
      <c r="H510" s="4"/>
      <c r="I510" s="4" t="s">
        <v>1036</v>
      </c>
    </row>
    <row r="511" ht="15.75" customHeight="1">
      <c r="A511" s="4" t="s">
        <v>2096</v>
      </c>
      <c r="B511" s="13">
        <v>46120.7111574074</v>
      </c>
      <c r="C511" s="4" t="s">
        <v>2097</v>
      </c>
      <c r="D511" s="4" t="s">
        <v>1086</v>
      </c>
      <c r="E511" s="4" t="s">
        <v>1064</v>
      </c>
      <c r="F511" s="4"/>
      <c r="G511" s="4"/>
      <c r="H511" s="4"/>
      <c r="I511" s="4" t="s">
        <v>1052</v>
      </c>
    </row>
    <row r="512" ht="15.75" customHeight="1">
      <c r="A512" s="4" t="s">
        <v>2098</v>
      </c>
      <c r="B512" s="13">
        <v>46066.5655324074</v>
      </c>
      <c r="C512" s="4" t="s">
        <v>2099</v>
      </c>
      <c r="D512" s="4" t="s">
        <v>1081</v>
      </c>
      <c r="E512" s="4" t="s">
        <v>1064</v>
      </c>
      <c r="F512" s="4"/>
      <c r="G512" s="4"/>
      <c r="H512" s="4"/>
      <c r="I512" s="4" t="s">
        <v>1036</v>
      </c>
    </row>
    <row r="513" ht="15.75" customHeight="1">
      <c r="A513" s="4" t="s">
        <v>2100</v>
      </c>
      <c r="B513" s="13">
        <v>46041.39125</v>
      </c>
      <c r="C513" s="4" t="s">
        <v>2101</v>
      </c>
      <c r="D513" s="4" t="s">
        <v>1063</v>
      </c>
      <c r="E513" s="4" t="s">
        <v>1064</v>
      </c>
      <c r="F513" s="4"/>
      <c r="G513" s="4" t="s">
        <v>144</v>
      </c>
      <c r="H513" s="4"/>
      <c r="I513" s="4" t="s">
        <v>1028</v>
      </c>
    </row>
    <row r="514" ht="15.75" customHeight="1">
      <c r="A514" s="4" t="s">
        <v>2102</v>
      </c>
      <c r="B514" s="13">
        <v>46073.9159490741</v>
      </c>
      <c r="C514" s="4" t="s">
        <v>2103</v>
      </c>
      <c r="D514" s="4" t="s">
        <v>1089</v>
      </c>
      <c r="E514" s="4" t="s">
        <v>1090</v>
      </c>
      <c r="F514" s="4" t="s">
        <v>805</v>
      </c>
      <c r="G514" s="4"/>
      <c r="H514" s="4"/>
      <c r="I514" s="4" t="s">
        <v>1050</v>
      </c>
    </row>
    <row r="515" ht="15.75" customHeight="1">
      <c r="A515" s="4" t="s">
        <v>2104</v>
      </c>
      <c r="B515" s="13">
        <v>46122.6462037037</v>
      </c>
      <c r="C515" s="4" t="s">
        <v>2105</v>
      </c>
      <c r="D515" s="4" t="s">
        <v>1089</v>
      </c>
      <c r="E515" s="4" t="s">
        <v>1105</v>
      </c>
      <c r="F515" s="4" t="s">
        <v>171</v>
      </c>
      <c r="G515" s="4"/>
      <c r="H515" s="4"/>
      <c r="I515" s="4" t="s">
        <v>1050</v>
      </c>
    </row>
    <row r="516" ht="15.75" customHeight="1">
      <c r="A516" s="4" t="s">
        <v>2106</v>
      </c>
      <c r="B516" s="13">
        <v>46112.8300231482</v>
      </c>
      <c r="C516" s="4" t="s">
        <v>2107</v>
      </c>
      <c r="D516" s="4" t="s">
        <v>1071</v>
      </c>
      <c r="E516" s="4" t="s">
        <v>1072</v>
      </c>
      <c r="F516" s="4"/>
      <c r="G516" s="4"/>
      <c r="H516" s="4"/>
      <c r="I516" s="4" t="s">
        <v>587</v>
      </c>
    </row>
    <row r="517" ht="15.75" customHeight="1">
      <c r="A517" s="4" t="s">
        <v>2108</v>
      </c>
      <c r="B517" s="13">
        <v>46065.750150463</v>
      </c>
      <c r="C517" s="4" t="s">
        <v>2109</v>
      </c>
      <c r="D517" s="4" t="s">
        <v>1128</v>
      </c>
      <c r="E517" s="4" t="s">
        <v>1105</v>
      </c>
      <c r="F517" s="4" t="s">
        <v>202</v>
      </c>
      <c r="G517" s="4"/>
      <c r="H517" s="4"/>
      <c r="I517" s="4" t="s">
        <v>1034</v>
      </c>
    </row>
    <row r="518" ht="15.75" customHeight="1">
      <c r="A518" s="4" t="s">
        <v>2110</v>
      </c>
      <c r="B518" s="13">
        <v>46039.8411805556</v>
      </c>
      <c r="C518" s="4" t="s">
        <v>2111</v>
      </c>
      <c r="D518" s="4" t="s">
        <v>1078</v>
      </c>
      <c r="E518" s="4" t="s">
        <v>1064</v>
      </c>
      <c r="F518" s="4"/>
      <c r="G518" s="4" t="s">
        <v>100</v>
      </c>
      <c r="H518" s="10">
        <v>121.18</v>
      </c>
      <c r="I518" s="4" t="s">
        <v>1028</v>
      </c>
    </row>
    <row r="519" ht="15.75" customHeight="1">
      <c r="A519" s="4" t="s">
        <v>2112</v>
      </c>
      <c r="B519" s="13">
        <v>46112.5103009259</v>
      </c>
      <c r="C519" s="4" t="s">
        <v>2113</v>
      </c>
      <c r="D519" s="4" t="s">
        <v>1071</v>
      </c>
      <c r="E519" s="4" t="s">
        <v>1072</v>
      </c>
      <c r="F519" s="4"/>
      <c r="G519" s="4"/>
      <c r="H519" s="4"/>
      <c r="I519" s="4" t="s">
        <v>1035</v>
      </c>
    </row>
    <row r="520" ht="15.75" customHeight="1">
      <c r="A520" s="4" t="s">
        <v>2114</v>
      </c>
      <c r="B520" s="13">
        <v>46096.4041319444</v>
      </c>
      <c r="C520" s="4" t="s">
        <v>2115</v>
      </c>
      <c r="D520" s="4" t="s">
        <v>1089</v>
      </c>
      <c r="E520" s="4" t="s">
        <v>1090</v>
      </c>
      <c r="F520" s="4" t="s">
        <v>809</v>
      </c>
      <c r="G520" s="4"/>
      <c r="H520" s="4"/>
      <c r="I520" s="4" t="s">
        <v>1048</v>
      </c>
    </row>
    <row r="521" ht="15.75" customHeight="1">
      <c r="A521" s="4" t="s">
        <v>2116</v>
      </c>
      <c r="B521" s="13">
        <v>46088.6770833333</v>
      </c>
      <c r="C521" s="4" t="s">
        <v>2117</v>
      </c>
      <c r="D521" s="4" t="s">
        <v>1075</v>
      </c>
      <c r="E521" s="4" t="s">
        <v>1064</v>
      </c>
      <c r="F521" s="4"/>
      <c r="G521" s="4"/>
      <c r="H521" s="4"/>
      <c r="I521" s="4" t="s">
        <v>1046</v>
      </c>
    </row>
    <row r="522" ht="15.75" customHeight="1">
      <c r="A522" s="4" t="s">
        <v>2118</v>
      </c>
      <c r="B522" s="13">
        <v>46124.5277662037</v>
      </c>
      <c r="C522" s="4" t="s">
        <v>2119</v>
      </c>
      <c r="D522" s="4" t="s">
        <v>1110</v>
      </c>
      <c r="E522" s="4" t="s">
        <v>1064</v>
      </c>
      <c r="F522" s="4"/>
      <c r="G522" s="4" t="s">
        <v>69</v>
      </c>
      <c r="H522" s="10">
        <v>98.83</v>
      </c>
      <c r="I522" s="4" t="s">
        <v>1036</v>
      </c>
    </row>
    <row r="523" ht="15.75" customHeight="1">
      <c r="A523" s="4" t="s">
        <v>2120</v>
      </c>
      <c r="B523" s="13">
        <v>46124.9311805556</v>
      </c>
      <c r="C523" s="4" t="s">
        <v>2121</v>
      </c>
      <c r="D523" s="4" t="s">
        <v>1163</v>
      </c>
      <c r="E523" s="4" t="s">
        <v>1119</v>
      </c>
      <c r="F523" s="4"/>
      <c r="G523" s="4"/>
      <c r="H523" s="4"/>
      <c r="I523" s="4" t="s">
        <v>1035</v>
      </c>
    </row>
    <row r="524" ht="15.75" customHeight="1">
      <c r="A524" s="4" t="s">
        <v>2122</v>
      </c>
      <c r="B524" s="13">
        <v>46062.5590509259</v>
      </c>
      <c r="C524" s="4" t="s">
        <v>2123</v>
      </c>
      <c r="D524" s="4" t="s">
        <v>1075</v>
      </c>
      <c r="E524" s="4" t="s">
        <v>1064</v>
      </c>
      <c r="F524" s="4"/>
      <c r="G524" s="4"/>
      <c r="H524" s="4"/>
      <c r="I524" s="4" t="s">
        <v>427</v>
      </c>
    </row>
    <row r="525" ht="15.75" customHeight="1">
      <c r="A525" s="4" t="s">
        <v>2124</v>
      </c>
      <c r="B525" s="13">
        <v>46111.5204050926</v>
      </c>
      <c r="C525" s="4" t="s">
        <v>2125</v>
      </c>
      <c r="D525" s="4" t="s">
        <v>1089</v>
      </c>
      <c r="E525" s="4" t="s">
        <v>1105</v>
      </c>
      <c r="F525" s="4" t="s">
        <v>221</v>
      </c>
      <c r="G525" s="4"/>
      <c r="H525" s="4"/>
      <c r="I525" s="4" t="s">
        <v>1042</v>
      </c>
    </row>
    <row r="526" ht="15.75" customHeight="1">
      <c r="A526" s="4" t="s">
        <v>2126</v>
      </c>
      <c r="B526" s="13">
        <v>46099.5006712963</v>
      </c>
      <c r="C526" s="4" t="s">
        <v>2127</v>
      </c>
      <c r="D526" s="4" t="s">
        <v>1086</v>
      </c>
      <c r="E526" s="4" t="s">
        <v>1064</v>
      </c>
      <c r="F526" s="4"/>
      <c r="G526" s="4"/>
      <c r="H526" s="4"/>
      <c r="I526" s="4" t="s">
        <v>427</v>
      </c>
    </row>
    <row r="527" ht="15.75" customHeight="1">
      <c r="A527" s="4" t="s">
        <v>2128</v>
      </c>
      <c r="B527" s="13">
        <v>46114.3411111111</v>
      </c>
      <c r="C527" s="4" t="s">
        <v>2129</v>
      </c>
      <c r="D527" s="4" t="s">
        <v>1110</v>
      </c>
      <c r="E527" s="4" t="s">
        <v>1064</v>
      </c>
      <c r="F527" s="4"/>
      <c r="G527" s="4" t="s">
        <v>150</v>
      </c>
      <c r="H527" s="10">
        <v>42.32</v>
      </c>
      <c r="I527" s="4" t="s">
        <v>1048</v>
      </c>
    </row>
    <row r="528" ht="15.75" customHeight="1">
      <c r="A528" s="4" t="s">
        <v>2130</v>
      </c>
      <c r="B528" s="13">
        <v>46089.9902777778</v>
      </c>
      <c r="C528" s="4" t="s">
        <v>2131</v>
      </c>
      <c r="D528" s="4" t="s">
        <v>1104</v>
      </c>
      <c r="E528" s="4" t="s">
        <v>1090</v>
      </c>
      <c r="F528" s="4" t="s">
        <v>807</v>
      </c>
      <c r="G528" s="4"/>
      <c r="H528" s="4"/>
      <c r="I528" s="4" t="s">
        <v>1031</v>
      </c>
    </row>
    <row r="529" ht="15.75" customHeight="1">
      <c r="A529" s="4" t="s">
        <v>2132</v>
      </c>
      <c r="B529" s="13">
        <v>46091.8066550926</v>
      </c>
      <c r="C529" s="4" t="s">
        <v>2133</v>
      </c>
      <c r="D529" s="4" t="s">
        <v>1110</v>
      </c>
      <c r="E529" s="4" t="s">
        <v>1064</v>
      </c>
      <c r="F529" s="4"/>
      <c r="G529" s="4" t="s">
        <v>69</v>
      </c>
      <c r="H529" s="10">
        <v>174.34</v>
      </c>
      <c r="I529" s="4" t="s">
        <v>1046</v>
      </c>
    </row>
    <row r="530" ht="15.75" customHeight="1">
      <c r="A530" s="4" t="s">
        <v>2134</v>
      </c>
      <c r="B530" s="13">
        <v>46113.4754050926</v>
      </c>
      <c r="C530" s="4" t="s">
        <v>2135</v>
      </c>
      <c r="D530" s="4" t="s">
        <v>1128</v>
      </c>
      <c r="E530" s="4" t="s">
        <v>1090</v>
      </c>
      <c r="F530" s="4" t="s">
        <v>794</v>
      </c>
      <c r="G530" s="4"/>
      <c r="H530" s="4"/>
      <c r="I530" s="4" t="s">
        <v>1052</v>
      </c>
    </row>
    <row r="531" ht="15.75" customHeight="1">
      <c r="A531" s="4" t="s">
        <v>2136</v>
      </c>
      <c r="B531" s="13">
        <v>46091.5865162037</v>
      </c>
      <c r="C531" s="4" t="s">
        <v>2137</v>
      </c>
      <c r="D531" s="4" t="s">
        <v>1093</v>
      </c>
      <c r="E531" s="4" t="s">
        <v>1064</v>
      </c>
      <c r="F531" s="4"/>
      <c r="G531" s="4"/>
      <c r="H531" s="4"/>
      <c r="I531" s="4" t="s">
        <v>1036</v>
      </c>
    </row>
    <row r="532" ht="15.75" customHeight="1">
      <c r="A532" s="4" t="s">
        <v>2138</v>
      </c>
      <c r="B532" s="13">
        <v>46045.6818981482</v>
      </c>
      <c r="C532" s="4" t="s">
        <v>2139</v>
      </c>
      <c r="D532" s="4" t="s">
        <v>1093</v>
      </c>
      <c r="E532" s="4" t="s">
        <v>1064</v>
      </c>
      <c r="F532" s="4"/>
      <c r="G532" s="4"/>
      <c r="H532" s="4"/>
      <c r="I532" s="4" t="s">
        <v>427</v>
      </c>
    </row>
    <row r="533" ht="15.75" customHeight="1">
      <c r="A533" s="4" t="s">
        <v>2140</v>
      </c>
      <c r="B533" s="13">
        <v>46115.9652777778</v>
      </c>
      <c r="C533" s="4" t="s">
        <v>2141</v>
      </c>
      <c r="D533" s="4" t="s">
        <v>1128</v>
      </c>
      <c r="E533" s="4" t="s">
        <v>1105</v>
      </c>
      <c r="F533" s="4" t="s">
        <v>115</v>
      </c>
      <c r="G533" s="4"/>
      <c r="H533" s="4"/>
      <c r="I533" s="4" t="s">
        <v>1028</v>
      </c>
    </row>
    <row r="534" ht="15.75" customHeight="1">
      <c r="A534" s="4" t="s">
        <v>2142</v>
      </c>
      <c r="B534" s="13">
        <v>46040.5022685185</v>
      </c>
      <c r="C534" s="4" t="s">
        <v>2143</v>
      </c>
      <c r="D534" s="4" t="s">
        <v>1110</v>
      </c>
      <c r="E534" s="4" t="s">
        <v>1064</v>
      </c>
      <c r="F534" s="4"/>
      <c r="G534" s="4" t="s">
        <v>112</v>
      </c>
      <c r="H534" s="10">
        <v>183.0</v>
      </c>
      <c r="I534" s="4" t="s">
        <v>1039</v>
      </c>
    </row>
    <row r="535" ht="15.75" customHeight="1">
      <c r="A535" s="4" t="s">
        <v>2144</v>
      </c>
      <c r="B535" s="13">
        <v>46118.461412037</v>
      </c>
      <c r="C535" s="4" t="s">
        <v>2145</v>
      </c>
      <c r="D535" s="4" t="s">
        <v>1163</v>
      </c>
      <c r="E535" s="4" t="s">
        <v>1119</v>
      </c>
      <c r="F535" s="4"/>
      <c r="G535" s="4"/>
      <c r="H535" s="4"/>
      <c r="I535" s="4" t="s">
        <v>1028</v>
      </c>
    </row>
    <row r="536" ht="15.75" customHeight="1">
      <c r="A536" s="4" t="s">
        <v>2146</v>
      </c>
      <c r="B536" s="13">
        <v>46117.338912037</v>
      </c>
      <c r="C536" s="4" t="s">
        <v>2147</v>
      </c>
      <c r="D536" s="4" t="s">
        <v>1128</v>
      </c>
      <c r="E536" s="4" t="s">
        <v>1105</v>
      </c>
      <c r="F536" s="4" t="s">
        <v>115</v>
      </c>
      <c r="G536" s="4"/>
      <c r="H536" s="4"/>
      <c r="I536" s="4" t="s">
        <v>427</v>
      </c>
    </row>
    <row r="537" ht="15.75" customHeight="1">
      <c r="A537" s="4" t="s">
        <v>2148</v>
      </c>
      <c r="B537" s="13">
        <v>46079.9742361111</v>
      </c>
      <c r="C537" s="4" t="s">
        <v>2149</v>
      </c>
      <c r="D537" s="4" t="s">
        <v>1086</v>
      </c>
      <c r="E537" s="4" t="s">
        <v>1064</v>
      </c>
      <c r="F537" s="4"/>
      <c r="G537" s="4"/>
      <c r="H537" s="4"/>
      <c r="I537" s="4" t="s">
        <v>1052</v>
      </c>
    </row>
    <row r="538" ht="15.75" customHeight="1">
      <c r="A538" s="4" t="s">
        <v>2150</v>
      </c>
      <c r="B538" s="13">
        <v>46122.5222800926</v>
      </c>
      <c r="C538" s="4" t="s">
        <v>2151</v>
      </c>
      <c r="D538" s="4" t="s">
        <v>1089</v>
      </c>
      <c r="E538" s="4" t="s">
        <v>1105</v>
      </c>
      <c r="F538" s="4" t="s">
        <v>140</v>
      </c>
      <c r="G538" s="4"/>
      <c r="H538" s="4"/>
      <c r="I538" s="4" t="s">
        <v>1042</v>
      </c>
    </row>
    <row r="539" ht="15.75" customHeight="1">
      <c r="A539" s="4" t="s">
        <v>2152</v>
      </c>
      <c r="B539" s="13">
        <v>46128.3907986111</v>
      </c>
      <c r="C539" s="4" t="s">
        <v>2153</v>
      </c>
      <c r="D539" s="4" t="s">
        <v>1081</v>
      </c>
      <c r="E539" s="4" t="s">
        <v>1064</v>
      </c>
      <c r="F539" s="4"/>
      <c r="G539" s="4"/>
      <c r="H539" s="4"/>
      <c r="I539" s="4" t="s">
        <v>1046</v>
      </c>
    </row>
    <row r="540" ht="15.75" customHeight="1">
      <c r="A540" s="4" t="s">
        <v>2154</v>
      </c>
      <c r="B540" s="13">
        <v>46073.4858101852</v>
      </c>
      <c r="C540" s="4" t="s">
        <v>2155</v>
      </c>
      <c r="D540" s="4" t="s">
        <v>1063</v>
      </c>
      <c r="E540" s="4" t="s">
        <v>1064</v>
      </c>
      <c r="F540" s="4"/>
      <c r="G540" s="4" t="s">
        <v>144</v>
      </c>
      <c r="H540" s="4"/>
      <c r="I540" s="4" t="s">
        <v>1028</v>
      </c>
    </row>
    <row r="541" ht="15.75" customHeight="1">
      <c r="A541" s="4" t="s">
        <v>2156</v>
      </c>
      <c r="B541" s="13">
        <v>46099.4352199074</v>
      </c>
      <c r="C541" s="4" t="s">
        <v>2157</v>
      </c>
      <c r="D541" s="4" t="s">
        <v>1128</v>
      </c>
      <c r="E541" s="4" t="s">
        <v>1105</v>
      </c>
      <c r="F541" s="4" t="s">
        <v>128</v>
      </c>
      <c r="G541" s="4"/>
      <c r="H541" s="4"/>
      <c r="I541" s="4" t="s">
        <v>1036</v>
      </c>
    </row>
    <row r="542" ht="15.75" customHeight="1">
      <c r="A542" s="4" t="s">
        <v>2158</v>
      </c>
      <c r="B542" s="13">
        <v>46090.5887731482</v>
      </c>
      <c r="C542" s="4" t="s">
        <v>2159</v>
      </c>
      <c r="D542" s="4" t="s">
        <v>1086</v>
      </c>
      <c r="E542" s="4" t="s">
        <v>1064</v>
      </c>
      <c r="F542" s="4"/>
      <c r="G542" s="4"/>
      <c r="H542" s="4"/>
      <c r="I542" s="4" t="s">
        <v>587</v>
      </c>
    </row>
    <row r="543" ht="15.75" customHeight="1">
      <c r="A543" s="4" t="s">
        <v>2160</v>
      </c>
      <c r="B543" s="13">
        <v>46031.8508101852</v>
      </c>
      <c r="C543" s="4" t="s">
        <v>2161</v>
      </c>
      <c r="D543" s="4" t="s">
        <v>1078</v>
      </c>
      <c r="E543" s="4" t="s">
        <v>1064</v>
      </c>
      <c r="F543" s="4"/>
      <c r="G543" s="4" t="s">
        <v>61</v>
      </c>
      <c r="H543" s="10">
        <v>98.92</v>
      </c>
      <c r="I543" s="4" t="s">
        <v>1048</v>
      </c>
    </row>
    <row r="544" ht="15.75" customHeight="1">
      <c r="A544" s="4" t="s">
        <v>2162</v>
      </c>
      <c r="B544" s="13">
        <v>46069.858287037</v>
      </c>
      <c r="C544" s="4" t="s">
        <v>2163</v>
      </c>
      <c r="D544" s="4" t="s">
        <v>1089</v>
      </c>
      <c r="E544" s="4" t="s">
        <v>1090</v>
      </c>
      <c r="F544" s="4" t="s">
        <v>831</v>
      </c>
      <c r="G544" s="4"/>
      <c r="H544" s="4"/>
      <c r="I544" s="4" t="s">
        <v>1042</v>
      </c>
    </row>
    <row r="545" ht="15.75" customHeight="1">
      <c r="A545" s="4" t="s">
        <v>2164</v>
      </c>
      <c r="B545" s="13">
        <v>46052.8744097222</v>
      </c>
      <c r="C545" s="4" t="s">
        <v>2165</v>
      </c>
      <c r="D545" s="4" t="s">
        <v>1075</v>
      </c>
      <c r="E545" s="4" t="s">
        <v>1064</v>
      </c>
      <c r="F545" s="4"/>
      <c r="G545" s="4"/>
      <c r="H545" s="4"/>
      <c r="I545" s="4" t="s">
        <v>1034</v>
      </c>
    </row>
    <row r="546" ht="15.75" customHeight="1">
      <c r="A546" s="4" t="s">
        <v>2166</v>
      </c>
      <c r="B546" s="13">
        <v>46061.7429166667</v>
      </c>
      <c r="C546" s="4" t="s">
        <v>2167</v>
      </c>
      <c r="D546" s="4" t="s">
        <v>1089</v>
      </c>
      <c r="E546" s="4" t="s">
        <v>1090</v>
      </c>
      <c r="F546" s="4" t="s">
        <v>798</v>
      </c>
      <c r="G546" s="4"/>
      <c r="H546" s="4"/>
      <c r="I546" s="4" t="s">
        <v>1052</v>
      </c>
    </row>
    <row r="547" ht="15.75" customHeight="1">
      <c r="A547" s="4" t="s">
        <v>2168</v>
      </c>
      <c r="B547" s="13">
        <v>46062.6147453704</v>
      </c>
      <c r="C547" s="4" t="s">
        <v>2169</v>
      </c>
      <c r="D547" s="4" t="s">
        <v>1081</v>
      </c>
      <c r="E547" s="4" t="s">
        <v>1064</v>
      </c>
      <c r="F547" s="4"/>
      <c r="G547" s="4"/>
      <c r="H547" s="4"/>
      <c r="I547" s="4" t="s">
        <v>1028</v>
      </c>
    </row>
    <row r="548" ht="15.75" customHeight="1">
      <c r="A548" s="4" t="s">
        <v>2170</v>
      </c>
      <c r="B548" s="13">
        <v>46071.5619444445</v>
      </c>
      <c r="C548" s="4" t="s">
        <v>2171</v>
      </c>
      <c r="D548" s="4" t="s">
        <v>1071</v>
      </c>
      <c r="E548" s="4" t="s">
        <v>1119</v>
      </c>
      <c r="F548" s="4"/>
      <c r="G548" s="4"/>
      <c r="H548" s="4"/>
      <c r="I548" s="4" t="s">
        <v>1030</v>
      </c>
    </row>
    <row r="549" ht="15.75" customHeight="1">
      <c r="A549" s="4" t="s">
        <v>2172</v>
      </c>
      <c r="B549" s="13">
        <v>46060.5112615741</v>
      </c>
      <c r="C549" s="4" t="s">
        <v>2173</v>
      </c>
      <c r="D549" s="4" t="s">
        <v>1104</v>
      </c>
      <c r="E549" s="4" t="s">
        <v>1090</v>
      </c>
      <c r="F549" s="4" t="s">
        <v>809</v>
      </c>
      <c r="G549" s="4"/>
      <c r="H549" s="4"/>
      <c r="I549" s="4" t="s">
        <v>1039</v>
      </c>
    </row>
    <row r="550" ht="15.75" customHeight="1">
      <c r="A550" s="4" t="s">
        <v>2174</v>
      </c>
      <c r="B550" s="13">
        <v>46057.5046643519</v>
      </c>
      <c r="C550" s="4" t="s">
        <v>2175</v>
      </c>
      <c r="D550" s="4" t="s">
        <v>1063</v>
      </c>
      <c r="E550" s="4" t="s">
        <v>1064</v>
      </c>
      <c r="F550" s="4"/>
      <c r="G550" s="4" t="s">
        <v>137</v>
      </c>
      <c r="H550" s="4"/>
      <c r="I550" s="4" t="s">
        <v>1036</v>
      </c>
    </row>
    <row r="551" ht="15.75" customHeight="1">
      <c r="A551" s="4" t="s">
        <v>2176</v>
      </c>
      <c r="B551" s="13">
        <v>46102.4914236111</v>
      </c>
      <c r="C551" s="4" t="s">
        <v>2177</v>
      </c>
      <c r="D551" s="4" t="s">
        <v>1081</v>
      </c>
      <c r="E551" s="4" t="s">
        <v>1064</v>
      </c>
      <c r="F551" s="4"/>
      <c r="G551" s="4"/>
      <c r="H551" s="4"/>
      <c r="I551" s="4" t="s">
        <v>1050</v>
      </c>
    </row>
    <row r="552" ht="15.75" customHeight="1">
      <c r="A552" s="4" t="s">
        <v>2178</v>
      </c>
      <c r="B552" s="13">
        <v>46033.8446064815</v>
      </c>
      <c r="C552" s="4" t="s">
        <v>2179</v>
      </c>
      <c r="D552" s="4" t="s">
        <v>1086</v>
      </c>
      <c r="E552" s="4" t="s">
        <v>1064</v>
      </c>
      <c r="F552" s="4"/>
      <c r="G552" s="4"/>
      <c r="H552" s="4"/>
      <c r="I552" s="4" t="s">
        <v>1039</v>
      </c>
    </row>
    <row r="553" ht="15.75" customHeight="1">
      <c r="A553" s="4" t="s">
        <v>2180</v>
      </c>
      <c r="B553" s="13">
        <v>46081.5808217593</v>
      </c>
      <c r="C553" s="4" t="s">
        <v>2181</v>
      </c>
      <c r="D553" s="4" t="s">
        <v>1078</v>
      </c>
      <c r="E553" s="4" t="s">
        <v>1064</v>
      </c>
      <c r="F553" s="4"/>
      <c r="G553" s="4" t="s">
        <v>126</v>
      </c>
      <c r="H553" s="10">
        <v>63.2</v>
      </c>
      <c r="I553" s="4" t="s">
        <v>1052</v>
      </c>
    </row>
    <row r="554" ht="15.75" customHeight="1">
      <c r="A554" s="4" t="s">
        <v>2182</v>
      </c>
      <c r="B554" s="13">
        <v>46126.6278356482</v>
      </c>
      <c r="C554" s="4" t="s">
        <v>2183</v>
      </c>
      <c r="D554" s="4" t="s">
        <v>1089</v>
      </c>
      <c r="E554" s="4" t="s">
        <v>1105</v>
      </c>
      <c r="F554" s="4" t="s">
        <v>289</v>
      </c>
      <c r="G554" s="4"/>
      <c r="H554" s="4"/>
      <c r="I554" s="4" t="s">
        <v>1050</v>
      </c>
    </row>
    <row r="555" ht="15.75" customHeight="1">
      <c r="A555" s="4" t="s">
        <v>2184</v>
      </c>
      <c r="B555" s="13">
        <v>46082.8741203704</v>
      </c>
      <c r="C555" s="4" t="s">
        <v>2185</v>
      </c>
      <c r="D555" s="4" t="s">
        <v>1063</v>
      </c>
      <c r="E555" s="4" t="s">
        <v>1064</v>
      </c>
      <c r="F555" s="4"/>
      <c r="G555" s="4" t="s">
        <v>69</v>
      </c>
      <c r="H555" s="4"/>
      <c r="I555" s="4" t="s">
        <v>1031</v>
      </c>
    </row>
    <row r="556" ht="15.75" customHeight="1">
      <c r="A556" s="4" t="s">
        <v>2186</v>
      </c>
      <c r="B556" s="13">
        <v>46114.6991782407</v>
      </c>
      <c r="C556" s="4" t="s">
        <v>2187</v>
      </c>
      <c r="D556" s="4" t="s">
        <v>1071</v>
      </c>
      <c r="E556" s="4" t="s">
        <v>1072</v>
      </c>
      <c r="F556" s="4"/>
      <c r="G556" s="4"/>
      <c r="H556" s="4"/>
      <c r="I556" s="4" t="s">
        <v>1046</v>
      </c>
    </row>
    <row r="557" ht="15.75" customHeight="1">
      <c r="A557" s="4" t="s">
        <v>2188</v>
      </c>
      <c r="B557" s="13">
        <v>46073.874837963</v>
      </c>
      <c r="C557" s="4" t="s">
        <v>2189</v>
      </c>
      <c r="D557" s="4" t="s">
        <v>1078</v>
      </c>
      <c r="E557" s="4" t="s">
        <v>1064</v>
      </c>
      <c r="F557" s="4"/>
      <c r="G557" s="4" t="s">
        <v>112</v>
      </c>
      <c r="H557" s="10">
        <v>165.14</v>
      </c>
      <c r="I557" s="4" t="s">
        <v>427</v>
      </c>
    </row>
    <row r="558" ht="15.75" customHeight="1">
      <c r="A558" s="4" t="s">
        <v>2190</v>
      </c>
      <c r="B558" s="13">
        <v>46045.7627662037</v>
      </c>
      <c r="C558" s="4" t="s">
        <v>2191</v>
      </c>
      <c r="D558" s="4" t="s">
        <v>1104</v>
      </c>
      <c r="E558" s="4" t="s">
        <v>1105</v>
      </c>
      <c r="F558" s="4" t="s">
        <v>261</v>
      </c>
      <c r="G558" s="4"/>
      <c r="H558" s="4"/>
      <c r="I558" s="4" t="s">
        <v>1050</v>
      </c>
    </row>
    <row r="559" ht="15.75" customHeight="1">
      <c r="A559" s="4" t="s">
        <v>2192</v>
      </c>
      <c r="B559" s="13">
        <v>46034.7581944445</v>
      </c>
      <c r="C559" s="4" t="s">
        <v>2193</v>
      </c>
      <c r="D559" s="4" t="s">
        <v>1163</v>
      </c>
      <c r="E559" s="4" t="s">
        <v>1119</v>
      </c>
      <c r="F559" s="4"/>
      <c r="G559" s="4"/>
      <c r="H559" s="4"/>
      <c r="I559" s="4" t="s">
        <v>1036</v>
      </c>
    </row>
    <row r="560" ht="15.75" customHeight="1">
      <c r="A560" s="4" t="s">
        <v>2194</v>
      </c>
      <c r="B560" s="13">
        <v>46073.7461574074</v>
      </c>
      <c r="C560" s="4" t="s">
        <v>2195</v>
      </c>
      <c r="D560" s="4" t="s">
        <v>1075</v>
      </c>
      <c r="E560" s="4" t="s">
        <v>1064</v>
      </c>
      <c r="F560" s="4"/>
      <c r="G560" s="4"/>
      <c r="H560" s="4"/>
      <c r="I560" s="4" t="s">
        <v>1046</v>
      </c>
    </row>
    <row r="561" ht="15.75" customHeight="1">
      <c r="A561" s="4" t="s">
        <v>2196</v>
      </c>
      <c r="B561" s="13">
        <v>46040.6415393519</v>
      </c>
      <c r="C561" s="4" t="s">
        <v>2197</v>
      </c>
      <c r="D561" s="4" t="s">
        <v>1078</v>
      </c>
      <c r="E561" s="4" t="s">
        <v>1064</v>
      </c>
      <c r="F561" s="4"/>
      <c r="G561" s="4" t="s">
        <v>190</v>
      </c>
      <c r="H561" s="10">
        <v>169.43</v>
      </c>
      <c r="I561" s="4" t="s">
        <v>1050</v>
      </c>
    </row>
    <row r="562" ht="15.75" customHeight="1">
      <c r="A562" s="4" t="s">
        <v>2198</v>
      </c>
      <c r="B562" s="13">
        <v>46108.6955324074</v>
      </c>
      <c r="C562" s="4" t="s">
        <v>2199</v>
      </c>
      <c r="D562" s="4" t="s">
        <v>1089</v>
      </c>
      <c r="E562" s="4" t="s">
        <v>1090</v>
      </c>
      <c r="F562" s="4" t="s">
        <v>792</v>
      </c>
      <c r="G562" s="4"/>
      <c r="H562" s="4"/>
      <c r="I562" s="4" t="s">
        <v>1035</v>
      </c>
    </row>
    <row r="563" ht="15.75" customHeight="1">
      <c r="A563" s="4" t="s">
        <v>2200</v>
      </c>
      <c r="B563" s="13">
        <v>46062.6151736111</v>
      </c>
      <c r="C563" s="4" t="s">
        <v>2201</v>
      </c>
      <c r="D563" s="4" t="s">
        <v>1063</v>
      </c>
      <c r="E563" s="4" t="s">
        <v>1064</v>
      </c>
      <c r="F563" s="4"/>
      <c r="G563" s="4" t="s">
        <v>69</v>
      </c>
      <c r="H563" s="4"/>
      <c r="I563" s="4" t="s">
        <v>1052</v>
      </c>
    </row>
    <row r="564" ht="15.75" customHeight="1">
      <c r="A564" s="4" t="s">
        <v>2202</v>
      </c>
      <c r="B564" s="13">
        <v>46110.3344212963</v>
      </c>
      <c r="C564" s="4" t="s">
        <v>2203</v>
      </c>
      <c r="D564" s="4" t="s">
        <v>1104</v>
      </c>
      <c r="E564" s="4" t="s">
        <v>1105</v>
      </c>
      <c r="F564" s="4" t="s">
        <v>128</v>
      </c>
      <c r="G564" s="4"/>
      <c r="H564" s="4"/>
      <c r="I564" s="4" t="s">
        <v>427</v>
      </c>
    </row>
    <row r="565" ht="15.75" customHeight="1">
      <c r="A565" s="4" t="s">
        <v>2204</v>
      </c>
      <c r="B565" s="13">
        <v>46033.8240162037</v>
      </c>
      <c r="C565" s="4" t="s">
        <v>2205</v>
      </c>
      <c r="D565" s="4" t="s">
        <v>1104</v>
      </c>
      <c r="E565" s="4" t="s">
        <v>1105</v>
      </c>
      <c r="F565" s="4" t="s">
        <v>146</v>
      </c>
      <c r="G565" s="4"/>
      <c r="H565" s="4"/>
      <c r="I565" s="4" t="s">
        <v>1034</v>
      </c>
    </row>
    <row r="566" ht="15.75" customHeight="1">
      <c r="A566" s="4" t="s">
        <v>2206</v>
      </c>
      <c r="B566" s="13">
        <v>46058.5610648148</v>
      </c>
      <c r="C566" s="4" t="s">
        <v>2207</v>
      </c>
      <c r="D566" s="4" t="s">
        <v>1081</v>
      </c>
      <c r="E566" s="4" t="s">
        <v>1064</v>
      </c>
      <c r="F566" s="4"/>
      <c r="G566" s="4"/>
      <c r="H566" s="4"/>
      <c r="I566" s="4" t="s">
        <v>1028</v>
      </c>
    </row>
    <row r="567" ht="15.75" customHeight="1">
      <c r="A567" s="4" t="s">
        <v>2208</v>
      </c>
      <c r="B567" s="13">
        <v>46109.9604976852</v>
      </c>
      <c r="C567" s="4" t="s">
        <v>2209</v>
      </c>
      <c r="D567" s="4" t="s">
        <v>1081</v>
      </c>
      <c r="E567" s="4" t="s">
        <v>1064</v>
      </c>
      <c r="F567" s="4"/>
      <c r="G567" s="4"/>
      <c r="H567" s="4"/>
      <c r="I567" s="4" t="s">
        <v>587</v>
      </c>
    </row>
    <row r="568" ht="15.75" customHeight="1">
      <c r="A568" s="4" t="s">
        <v>2210</v>
      </c>
      <c r="B568" s="13">
        <v>46026.9099652778</v>
      </c>
      <c r="C568" s="4" t="s">
        <v>2211</v>
      </c>
      <c r="D568" s="4" t="s">
        <v>1081</v>
      </c>
      <c r="E568" s="4" t="s">
        <v>1064</v>
      </c>
      <c r="F568" s="4"/>
      <c r="G568" s="4"/>
      <c r="H568" s="4"/>
      <c r="I568" s="4" t="s">
        <v>1046</v>
      </c>
    </row>
    <row r="569" ht="15.75" customHeight="1">
      <c r="A569" s="4" t="s">
        <v>2212</v>
      </c>
      <c r="B569" s="13">
        <v>46096.8928587963</v>
      </c>
      <c r="C569" s="4" t="s">
        <v>2213</v>
      </c>
      <c r="D569" s="4" t="s">
        <v>1128</v>
      </c>
      <c r="E569" s="4" t="s">
        <v>1105</v>
      </c>
      <c r="F569" s="4" t="s">
        <v>166</v>
      </c>
      <c r="G569" s="4"/>
      <c r="H569" s="4"/>
      <c r="I569" s="4" t="s">
        <v>1042</v>
      </c>
    </row>
    <row r="570" ht="15.75" customHeight="1">
      <c r="A570" s="4" t="s">
        <v>2214</v>
      </c>
      <c r="B570" s="13">
        <v>46128.4165277778</v>
      </c>
      <c r="C570" s="4" t="s">
        <v>2215</v>
      </c>
      <c r="D570" s="4" t="s">
        <v>1081</v>
      </c>
      <c r="E570" s="4" t="s">
        <v>1064</v>
      </c>
      <c r="F570" s="4"/>
      <c r="G570" s="4"/>
      <c r="H570" s="4"/>
      <c r="I570" s="4" t="s">
        <v>1030</v>
      </c>
    </row>
    <row r="571" ht="15.75" customHeight="1">
      <c r="A571" s="4" t="s">
        <v>2216</v>
      </c>
      <c r="B571" s="13">
        <v>46070.7788541667</v>
      </c>
      <c r="C571" s="4" t="s">
        <v>2217</v>
      </c>
      <c r="D571" s="4" t="s">
        <v>1089</v>
      </c>
      <c r="E571" s="4" t="s">
        <v>1090</v>
      </c>
      <c r="F571" s="4" t="s">
        <v>784</v>
      </c>
      <c r="G571" s="4"/>
      <c r="H571" s="4"/>
      <c r="I571" s="4" t="s">
        <v>1039</v>
      </c>
    </row>
    <row r="572" ht="15.75" customHeight="1">
      <c r="A572" s="4" t="s">
        <v>2218</v>
      </c>
      <c r="B572" s="13">
        <v>46031.7162037037</v>
      </c>
      <c r="C572" s="4" t="s">
        <v>2219</v>
      </c>
      <c r="D572" s="4" t="s">
        <v>1128</v>
      </c>
      <c r="E572" s="4" t="s">
        <v>1090</v>
      </c>
      <c r="F572" s="4" t="s">
        <v>788</v>
      </c>
      <c r="G572" s="4"/>
      <c r="H572" s="4"/>
      <c r="I572" s="4" t="s">
        <v>1036</v>
      </c>
    </row>
    <row r="573" ht="15.75" customHeight="1">
      <c r="A573" s="4" t="s">
        <v>2220</v>
      </c>
      <c r="B573" s="13">
        <v>46124.4930324074</v>
      </c>
      <c r="C573" s="4" t="s">
        <v>2221</v>
      </c>
      <c r="D573" s="4" t="s">
        <v>1086</v>
      </c>
      <c r="E573" s="4" t="s">
        <v>1064</v>
      </c>
      <c r="F573" s="4"/>
      <c r="G573" s="4"/>
      <c r="H573" s="4"/>
      <c r="I573" s="4" t="s">
        <v>1030</v>
      </c>
    </row>
    <row r="574" ht="15.75" customHeight="1">
      <c r="A574" s="4" t="s">
        <v>2222</v>
      </c>
      <c r="B574" s="13">
        <v>46044.3834143519</v>
      </c>
      <c r="C574" s="4" t="s">
        <v>2223</v>
      </c>
      <c r="D574" s="4" t="s">
        <v>1093</v>
      </c>
      <c r="E574" s="4" t="s">
        <v>1064</v>
      </c>
      <c r="F574" s="4"/>
      <c r="G574" s="4"/>
      <c r="H574" s="4"/>
      <c r="I574" s="4" t="s">
        <v>1039</v>
      </c>
    </row>
    <row r="575" ht="15.75" customHeight="1">
      <c r="A575" s="4" t="s">
        <v>2224</v>
      </c>
      <c r="B575" s="13">
        <v>46089.8416435185</v>
      </c>
      <c r="C575" s="4" t="s">
        <v>2225</v>
      </c>
      <c r="D575" s="4" t="s">
        <v>1128</v>
      </c>
      <c r="E575" s="4" t="s">
        <v>1090</v>
      </c>
      <c r="F575" s="4" t="s">
        <v>829</v>
      </c>
      <c r="G575" s="4"/>
      <c r="H575" s="4"/>
      <c r="I575" s="4" t="s">
        <v>1046</v>
      </c>
    </row>
    <row r="576" ht="15.75" customHeight="1">
      <c r="A576" s="4" t="s">
        <v>2226</v>
      </c>
      <c r="B576" s="13">
        <v>46067.5322106482</v>
      </c>
      <c r="C576" s="4" t="s">
        <v>2227</v>
      </c>
      <c r="D576" s="4" t="s">
        <v>1110</v>
      </c>
      <c r="E576" s="4" t="s">
        <v>1064</v>
      </c>
      <c r="F576" s="4"/>
      <c r="G576" s="4" t="s">
        <v>112</v>
      </c>
      <c r="H576" s="10">
        <v>220.82</v>
      </c>
      <c r="I576" s="4" t="s">
        <v>427</v>
      </c>
    </row>
    <row r="577" ht="15.75" customHeight="1">
      <c r="A577" s="4" t="s">
        <v>2228</v>
      </c>
      <c r="B577" s="13">
        <v>46042.9268981482</v>
      </c>
      <c r="C577" s="4" t="s">
        <v>2229</v>
      </c>
      <c r="D577" s="4" t="s">
        <v>1128</v>
      </c>
      <c r="E577" s="4" t="s">
        <v>1090</v>
      </c>
      <c r="F577" s="4" t="s">
        <v>771</v>
      </c>
      <c r="G577" s="4"/>
      <c r="H577" s="4"/>
      <c r="I577" s="4" t="s">
        <v>1050</v>
      </c>
    </row>
    <row r="578" ht="15.75" customHeight="1">
      <c r="A578" s="4" t="s">
        <v>2230</v>
      </c>
      <c r="B578" s="13">
        <v>46132.9893981482</v>
      </c>
      <c r="C578" s="4" t="s">
        <v>2231</v>
      </c>
      <c r="D578" s="4" t="s">
        <v>1063</v>
      </c>
      <c r="E578" s="4" t="s">
        <v>1064</v>
      </c>
      <c r="F578" s="4"/>
      <c r="G578" s="4" t="s">
        <v>61</v>
      </c>
      <c r="H578" s="4"/>
      <c r="I578" s="4" t="s">
        <v>1031</v>
      </c>
    </row>
    <row r="579" ht="15.75" customHeight="1">
      <c r="A579" s="4" t="s">
        <v>2232</v>
      </c>
      <c r="B579" s="13">
        <v>46087.7934027778</v>
      </c>
      <c r="C579" s="4" t="s">
        <v>2233</v>
      </c>
      <c r="D579" s="4" t="s">
        <v>1104</v>
      </c>
      <c r="E579" s="4" t="s">
        <v>1090</v>
      </c>
      <c r="F579" s="4" t="s">
        <v>775</v>
      </c>
      <c r="G579" s="4"/>
      <c r="H579" s="4"/>
      <c r="I579" s="4" t="s">
        <v>1048</v>
      </c>
    </row>
    <row r="580" ht="15.75" customHeight="1">
      <c r="A580" s="4" t="s">
        <v>2234</v>
      </c>
      <c r="B580" s="13">
        <v>46072.9931365741</v>
      </c>
      <c r="C580" s="4" t="s">
        <v>2235</v>
      </c>
      <c r="D580" s="4" t="s">
        <v>1128</v>
      </c>
      <c r="E580" s="4" t="s">
        <v>1105</v>
      </c>
      <c r="F580" s="4" t="s">
        <v>54</v>
      </c>
      <c r="G580" s="4"/>
      <c r="H580" s="4"/>
      <c r="I580" s="4" t="s">
        <v>1046</v>
      </c>
    </row>
    <row r="581" ht="15.75" customHeight="1">
      <c r="A581" s="4" t="s">
        <v>2236</v>
      </c>
      <c r="B581" s="13">
        <v>46042.8377546296</v>
      </c>
      <c r="C581" s="4" t="s">
        <v>2237</v>
      </c>
      <c r="D581" s="4" t="s">
        <v>1104</v>
      </c>
      <c r="E581" s="4" t="s">
        <v>1105</v>
      </c>
      <c r="F581" s="4" t="s">
        <v>132</v>
      </c>
      <c r="G581" s="4"/>
      <c r="H581" s="4"/>
      <c r="I581" s="4" t="s">
        <v>1039</v>
      </c>
    </row>
    <row r="582" ht="15.75" customHeight="1">
      <c r="A582" s="4" t="s">
        <v>2238</v>
      </c>
      <c r="B582" s="13">
        <v>46132.9880787037</v>
      </c>
      <c r="C582" s="4" t="s">
        <v>2239</v>
      </c>
      <c r="D582" s="4" t="s">
        <v>1104</v>
      </c>
      <c r="E582" s="4" t="s">
        <v>1105</v>
      </c>
      <c r="F582" s="4" t="s">
        <v>140</v>
      </c>
      <c r="G582" s="4"/>
      <c r="H582" s="4"/>
      <c r="I582" s="4" t="s">
        <v>1034</v>
      </c>
    </row>
    <row r="583" ht="15.75" customHeight="1">
      <c r="A583" s="4" t="s">
        <v>2240</v>
      </c>
      <c r="B583" s="13">
        <v>46119.6723263889</v>
      </c>
      <c r="C583" s="4" t="s">
        <v>2241</v>
      </c>
      <c r="D583" s="4" t="s">
        <v>1093</v>
      </c>
      <c r="E583" s="4" t="s">
        <v>1064</v>
      </c>
      <c r="F583" s="4"/>
      <c r="G583" s="4"/>
      <c r="H583" s="4"/>
      <c r="I583" s="4" t="s">
        <v>427</v>
      </c>
    </row>
    <row r="584" ht="15.75" customHeight="1">
      <c r="A584" s="4" t="s">
        <v>2242</v>
      </c>
      <c r="B584" s="13">
        <v>46088.3611805556</v>
      </c>
      <c r="C584" s="4" t="s">
        <v>2243</v>
      </c>
      <c r="D584" s="4" t="s">
        <v>1086</v>
      </c>
      <c r="E584" s="4" t="s">
        <v>1064</v>
      </c>
      <c r="F584" s="4"/>
      <c r="G584" s="4"/>
      <c r="H584" s="4"/>
      <c r="I584" s="4" t="s">
        <v>1048</v>
      </c>
    </row>
    <row r="585" ht="15.75" customHeight="1">
      <c r="A585" s="4" t="s">
        <v>2244</v>
      </c>
      <c r="B585" s="13">
        <v>46132.5318518519</v>
      </c>
      <c r="C585" s="4" t="s">
        <v>2245</v>
      </c>
      <c r="D585" s="4" t="s">
        <v>1081</v>
      </c>
      <c r="E585" s="4" t="s">
        <v>1064</v>
      </c>
      <c r="F585" s="4"/>
      <c r="G585" s="4"/>
      <c r="H585" s="4"/>
      <c r="I585" s="4" t="s">
        <v>1042</v>
      </c>
    </row>
    <row r="586" ht="15.75" customHeight="1">
      <c r="A586" s="4" t="s">
        <v>2246</v>
      </c>
      <c r="B586" s="13">
        <v>46046.7592939815</v>
      </c>
      <c r="C586" s="4" t="s">
        <v>2247</v>
      </c>
      <c r="D586" s="4" t="s">
        <v>1075</v>
      </c>
      <c r="E586" s="4" t="s">
        <v>1064</v>
      </c>
      <c r="F586" s="4"/>
      <c r="G586" s="4"/>
      <c r="H586" s="4"/>
      <c r="I586" s="4" t="s">
        <v>1039</v>
      </c>
    </row>
    <row r="587" ht="15.75" customHeight="1">
      <c r="A587" s="4" t="s">
        <v>2248</v>
      </c>
      <c r="B587" s="13">
        <v>46125.6284027778</v>
      </c>
      <c r="C587" s="4" t="s">
        <v>2249</v>
      </c>
      <c r="D587" s="4" t="s">
        <v>1093</v>
      </c>
      <c r="E587" s="4" t="s">
        <v>1064</v>
      </c>
      <c r="F587" s="4"/>
      <c r="G587" s="4"/>
      <c r="H587" s="4"/>
      <c r="I587" s="4" t="s">
        <v>1028</v>
      </c>
    </row>
    <row r="588" ht="15.75" customHeight="1">
      <c r="A588" s="4" t="s">
        <v>2250</v>
      </c>
      <c r="B588" s="13">
        <v>46058.4946180556</v>
      </c>
      <c r="C588" s="4" t="s">
        <v>2251</v>
      </c>
      <c r="D588" s="4" t="s">
        <v>1093</v>
      </c>
      <c r="E588" s="4" t="s">
        <v>1064</v>
      </c>
      <c r="F588" s="4"/>
      <c r="G588" s="4"/>
      <c r="H588" s="4"/>
      <c r="I588" s="4" t="s">
        <v>587</v>
      </c>
    </row>
    <row r="589" ht="15.75" customHeight="1">
      <c r="A589" s="4" t="s">
        <v>2252</v>
      </c>
      <c r="B589" s="13">
        <v>46062.4872106482</v>
      </c>
      <c r="C589" s="4" t="s">
        <v>2253</v>
      </c>
      <c r="D589" s="4" t="s">
        <v>1163</v>
      </c>
      <c r="E589" s="4" t="s">
        <v>1072</v>
      </c>
      <c r="F589" s="4"/>
      <c r="G589" s="4"/>
      <c r="H589" s="4"/>
      <c r="I589" s="4" t="s">
        <v>1031</v>
      </c>
    </row>
    <row r="590" ht="15.75" customHeight="1">
      <c r="A590" s="4" t="s">
        <v>2254</v>
      </c>
      <c r="B590" s="13">
        <v>46074.3978009259</v>
      </c>
      <c r="C590" s="4" t="s">
        <v>2255</v>
      </c>
      <c r="D590" s="4" t="s">
        <v>1128</v>
      </c>
      <c r="E590" s="4" t="s">
        <v>1090</v>
      </c>
      <c r="F590" s="4" t="s">
        <v>817</v>
      </c>
      <c r="G590" s="4"/>
      <c r="H590" s="4"/>
      <c r="I590" s="4" t="s">
        <v>1034</v>
      </c>
    </row>
    <row r="591" ht="15.75" customHeight="1">
      <c r="A591" s="4" t="s">
        <v>2256</v>
      </c>
      <c r="B591" s="13">
        <v>46031.7821412037</v>
      </c>
      <c r="C591" s="4" t="s">
        <v>2257</v>
      </c>
      <c r="D591" s="4" t="s">
        <v>1075</v>
      </c>
      <c r="E591" s="4" t="s">
        <v>1064</v>
      </c>
      <c r="F591" s="4"/>
      <c r="G591" s="4"/>
      <c r="H591" s="4"/>
      <c r="I591" s="4" t="s">
        <v>1036</v>
      </c>
    </row>
    <row r="592" ht="15.75" customHeight="1">
      <c r="A592" s="4" t="s">
        <v>2258</v>
      </c>
      <c r="B592" s="13">
        <v>46125.5831018519</v>
      </c>
      <c r="C592" s="4" t="s">
        <v>2259</v>
      </c>
      <c r="D592" s="4" t="s">
        <v>1104</v>
      </c>
      <c r="E592" s="4" t="s">
        <v>1105</v>
      </c>
      <c r="F592" s="4" t="s">
        <v>87</v>
      </c>
      <c r="G592" s="4"/>
      <c r="H592" s="4"/>
      <c r="I592" s="4" t="s">
        <v>1036</v>
      </c>
    </row>
    <row r="593" ht="15.75" customHeight="1">
      <c r="A593" s="4" t="s">
        <v>2260</v>
      </c>
      <c r="B593" s="13">
        <v>46066.7689467593</v>
      </c>
      <c r="C593" s="4" t="s">
        <v>2261</v>
      </c>
      <c r="D593" s="4" t="s">
        <v>1081</v>
      </c>
      <c r="E593" s="4" t="s">
        <v>1064</v>
      </c>
      <c r="F593" s="4"/>
      <c r="G593" s="4"/>
      <c r="H593" s="4"/>
      <c r="I593" s="4" t="s">
        <v>1036</v>
      </c>
    </row>
    <row r="594" ht="15.75" customHeight="1">
      <c r="A594" s="4" t="s">
        <v>2262</v>
      </c>
      <c r="B594" s="13">
        <v>46071.6092592593</v>
      </c>
      <c r="C594" s="4" t="s">
        <v>2263</v>
      </c>
      <c r="D594" s="4" t="s">
        <v>1086</v>
      </c>
      <c r="E594" s="4" t="s">
        <v>1064</v>
      </c>
      <c r="F594" s="4"/>
      <c r="G594" s="4"/>
      <c r="H594" s="4"/>
      <c r="I594" s="4" t="s">
        <v>427</v>
      </c>
    </row>
    <row r="595" ht="15.75" customHeight="1">
      <c r="A595" s="4" t="s">
        <v>2264</v>
      </c>
      <c r="B595" s="13">
        <v>46084.3688425926</v>
      </c>
      <c r="C595" s="4" t="s">
        <v>2265</v>
      </c>
      <c r="D595" s="4" t="s">
        <v>1089</v>
      </c>
      <c r="E595" s="4" t="s">
        <v>1090</v>
      </c>
      <c r="F595" s="4" t="s">
        <v>778</v>
      </c>
      <c r="G595" s="4"/>
      <c r="H595" s="4"/>
      <c r="I595" s="4" t="s">
        <v>1036</v>
      </c>
    </row>
    <row r="596" ht="15.75" customHeight="1">
      <c r="A596" s="4" t="s">
        <v>2266</v>
      </c>
      <c r="B596" s="13">
        <v>46086.4644212963</v>
      </c>
      <c r="C596" s="4" t="s">
        <v>2267</v>
      </c>
      <c r="D596" s="4" t="s">
        <v>1081</v>
      </c>
      <c r="E596" s="4" t="s">
        <v>1064</v>
      </c>
      <c r="F596" s="4"/>
      <c r="G596" s="4"/>
      <c r="H596" s="4"/>
      <c r="I596" s="4" t="s">
        <v>1036</v>
      </c>
    </row>
    <row r="597" ht="15.75" customHeight="1">
      <c r="A597" s="4" t="s">
        <v>2268</v>
      </c>
      <c r="B597" s="13">
        <v>46119.9150347222</v>
      </c>
      <c r="C597" s="4" t="s">
        <v>2269</v>
      </c>
      <c r="D597" s="4" t="s">
        <v>1110</v>
      </c>
      <c r="E597" s="4" t="s">
        <v>1064</v>
      </c>
      <c r="F597" s="4"/>
      <c r="G597" s="4" t="s">
        <v>69</v>
      </c>
      <c r="H597" s="10">
        <v>114.07</v>
      </c>
      <c r="I597" s="4" t="s">
        <v>1036</v>
      </c>
    </row>
    <row r="598" ht="15.75" customHeight="1">
      <c r="A598" s="4" t="s">
        <v>2270</v>
      </c>
      <c r="B598" s="13">
        <v>46083.5862268519</v>
      </c>
      <c r="C598" s="4" t="s">
        <v>2271</v>
      </c>
      <c r="D598" s="4" t="s">
        <v>1163</v>
      </c>
      <c r="E598" s="4" t="s">
        <v>1072</v>
      </c>
      <c r="F598" s="4"/>
      <c r="G598" s="4"/>
      <c r="H598" s="4"/>
      <c r="I598" s="4" t="s">
        <v>1036</v>
      </c>
    </row>
    <row r="599" ht="15.75" customHeight="1">
      <c r="A599" s="4" t="s">
        <v>2272</v>
      </c>
      <c r="B599" s="13">
        <v>46039.9454166667</v>
      </c>
      <c r="C599" s="4" t="s">
        <v>2273</v>
      </c>
      <c r="D599" s="4" t="s">
        <v>1128</v>
      </c>
      <c r="E599" s="4" t="s">
        <v>1105</v>
      </c>
      <c r="F599" s="4" t="s">
        <v>238</v>
      </c>
      <c r="G599" s="4"/>
      <c r="H599" s="4"/>
      <c r="I599" s="4" t="s">
        <v>1048</v>
      </c>
    </row>
    <row r="600" ht="15.75" customHeight="1">
      <c r="A600" s="4" t="s">
        <v>2274</v>
      </c>
      <c r="B600" s="13">
        <v>46083.8904513889</v>
      </c>
      <c r="C600" s="4" t="s">
        <v>2275</v>
      </c>
      <c r="D600" s="4" t="s">
        <v>1071</v>
      </c>
      <c r="E600" s="4" t="s">
        <v>1072</v>
      </c>
      <c r="F600" s="4"/>
      <c r="G600" s="4"/>
      <c r="H600" s="4"/>
      <c r="I600" s="4" t="s">
        <v>1030</v>
      </c>
    </row>
    <row r="601" ht="15.75" customHeight="1">
      <c r="A601" s="4" t="s">
        <v>2276</v>
      </c>
      <c r="B601" s="13">
        <v>46034.8481365741</v>
      </c>
      <c r="C601" s="4" t="s">
        <v>2277</v>
      </c>
      <c r="D601" s="4" t="s">
        <v>1071</v>
      </c>
      <c r="E601" s="4" t="s">
        <v>1119</v>
      </c>
      <c r="F601" s="4"/>
      <c r="G601" s="4"/>
      <c r="H601" s="4"/>
      <c r="I601" s="4" t="s">
        <v>1036</v>
      </c>
    </row>
    <row r="602" ht="15.75" customHeight="1">
      <c r="A602" s="4" t="s">
        <v>2278</v>
      </c>
      <c r="B602" s="13">
        <v>46065.5514699074</v>
      </c>
      <c r="C602" s="4" t="s">
        <v>2279</v>
      </c>
      <c r="D602" s="4" t="s">
        <v>1081</v>
      </c>
      <c r="E602" s="4" t="s">
        <v>1064</v>
      </c>
      <c r="F602" s="4"/>
      <c r="G602" s="4"/>
      <c r="H602" s="4"/>
      <c r="I602" s="4" t="s">
        <v>1030</v>
      </c>
    </row>
    <row r="603" ht="15.75" customHeight="1">
      <c r="A603" s="4" t="s">
        <v>2280</v>
      </c>
      <c r="B603" s="13">
        <v>46130.3676157407</v>
      </c>
      <c r="C603" s="4" t="s">
        <v>2281</v>
      </c>
      <c r="D603" s="4" t="s">
        <v>1063</v>
      </c>
      <c r="E603" s="4" t="s">
        <v>1064</v>
      </c>
      <c r="F603" s="4"/>
      <c r="G603" s="4" t="s">
        <v>69</v>
      </c>
      <c r="H603" s="4"/>
      <c r="I603" s="4" t="s">
        <v>1035</v>
      </c>
    </row>
    <row r="604" ht="15.75" customHeight="1">
      <c r="A604" s="4" t="s">
        <v>2282</v>
      </c>
      <c r="B604" s="13">
        <v>46084.3646180556</v>
      </c>
      <c r="C604" s="4" t="s">
        <v>2283</v>
      </c>
      <c r="D604" s="4" t="s">
        <v>1078</v>
      </c>
      <c r="E604" s="4" t="s">
        <v>1064</v>
      </c>
      <c r="F604" s="4"/>
      <c r="G604" s="4" t="s">
        <v>77</v>
      </c>
      <c r="H604" s="10">
        <v>70.37</v>
      </c>
      <c r="I604" s="4" t="s">
        <v>1048</v>
      </c>
    </row>
    <row r="605" ht="15.75" customHeight="1">
      <c r="A605" s="4" t="s">
        <v>2284</v>
      </c>
      <c r="B605" s="13">
        <v>46120.8968171296</v>
      </c>
      <c r="C605" s="4" t="s">
        <v>2285</v>
      </c>
      <c r="D605" s="4" t="s">
        <v>1081</v>
      </c>
      <c r="E605" s="4" t="s">
        <v>1064</v>
      </c>
      <c r="F605" s="4"/>
      <c r="G605" s="4"/>
      <c r="H605" s="4"/>
      <c r="I605" s="4" t="s">
        <v>1050</v>
      </c>
    </row>
    <row r="606" ht="15.75" customHeight="1">
      <c r="A606" s="4" t="s">
        <v>2286</v>
      </c>
      <c r="B606" s="13">
        <v>46076.6006481482</v>
      </c>
      <c r="C606" s="4" t="s">
        <v>2287</v>
      </c>
      <c r="D606" s="4" t="s">
        <v>1104</v>
      </c>
      <c r="E606" s="4" t="s">
        <v>1090</v>
      </c>
      <c r="F606" s="4" t="s">
        <v>775</v>
      </c>
      <c r="G606" s="4"/>
      <c r="H606" s="4"/>
      <c r="I606" s="4" t="s">
        <v>1042</v>
      </c>
    </row>
    <row r="607" ht="15.75" customHeight="1">
      <c r="A607" s="4" t="s">
        <v>2288</v>
      </c>
      <c r="B607" s="13">
        <v>46054.8060648148</v>
      </c>
      <c r="C607" s="4" t="s">
        <v>2289</v>
      </c>
      <c r="D607" s="4" t="s">
        <v>1075</v>
      </c>
      <c r="E607" s="4" t="s">
        <v>1064</v>
      </c>
      <c r="F607" s="4"/>
      <c r="G607" s="4"/>
      <c r="H607" s="4"/>
      <c r="I607" s="4" t="s">
        <v>1039</v>
      </c>
    </row>
    <row r="608" ht="15.75" customHeight="1">
      <c r="A608" s="4" t="s">
        <v>2290</v>
      </c>
      <c r="B608" s="13">
        <v>46057.9022106482</v>
      </c>
      <c r="C608" s="4" t="s">
        <v>2291</v>
      </c>
      <c r="D608" s="4" t="s">
        <v>1075</v>
      </c>
      <c r="E608" s="4" t="s">
        <v>1064</v>
      </c>
      <c r="F608" s="4"/>
      <c r="G608" s="4"/>
      <c r="H608" s="4"/>
      <c r="I608" s="4" t="s">
        <v>1036</v>
      </c>
    </row>
    <row r="609" ht="15.75" customHeight="1">
      <c r="A609" s="4" t="s">
        <v>2292</v>
      </c>
      <c r="B609" s="13">
        <v>46068.5255092593</v>
      </c>
      <c r="C609" s="4" t="s">
        <v>2293</v>
      </c>
      <c r="D609" s="4" t="s">
        <v>1081</v>
      </c>
      <c r="E609" s="4" t="s">
        <v>1064</v>
      </c>
      <c r="F609" s="4"/>
      <c r="G609" s="4"/>
      <c r="H609" s="4"/>
      <c r="I609" s="4" t="s">
        <v>1039</v>
      </c>
    </row>
    <row r="610" ht="15.75" customHeight="1">
      <c r="A610" s="4" t="s">
        <v>2294</v>
      </c>
      <c r="B610" s="13">
        <v>46098.9486111111</v>
      </c>
      <c r="C610" s="4" t="s">
        <v>2295</v>
      </c>
      <c r="D610" s="4" t="s">
        <v>1063</v>
      </c>
      <c r="E610" s="4" t="s">
        <v>1064</v>
      </c>
      <c r="F610" s="4"/>
      <c r="G610" s="4" t="s">
        <v>244</v>
      </c>
      <c r="H610" s="4"/>
      <c r="I610" s="4" t="s">
        <v>427</v>
      </c>
    </row>
    <row r="611" ht="15.75" customHeight="1">
      <c r="A611" s="4" t="s">
        <v>2296</v>
      </c>
      <c r="B611" s="13">
        <v>46075.6023032407</v>
      </c>
      <c r="C611" s="4" t="s">
        <v>2297</v>
      </c>
      <c r="D611" s="4" t="s">
        <v>1093</v>
      </c>
      <c r="E611" s="4" t="s">
        <v>1064</v>
      </c>
      <c r="F611" s="4"/>
      <c r="G611" s="4"/>
      <c r="H611" s="4"/>
      <c r="I611" s="4" t="s">
        <v>1050</v>
      </c>
    </row>
    <row r="612" ht="15.75" customHeight="1">
      <c r="A612" s="4" t="s">
        <v>2298</v>
      </c>
      <c r="B612" s="13">
        <v>46102.7773726852</v>
      </c>
      <c r="C612" s="4" t="s">
        <v>2299</v>
      </c>
      <c r="D612" s="4" t="s">
        <v>1163</v>
      </c>
      <c r="E612" s="4" t="s">
        <v>1072</v>
      </c>
      <c r="F612" s="4"/>
      <c r="G612" s="4"/>
      <c r="H612" s="4"/>
      <c r="I612" s="4" t="s">
        <v>1034</v>
      </c>
    </row>
    <row r="613" ht="15.75" customHeight="1">
      <c r="A613" s="4" t="s">
        <v>2300</v>
      </c>
      <c r="B613" s="13">
        <v>46060.6387152778</v>
      </c>
      <c r="C613" s="4" t="s">
        <v>2301</v>
      </c>
      <c r="D613" s="4" t="s">
        <v>1078</v>
      </c>
      <c r="E613" s="4" t="s">
        <v>1064</v>
      </c>
      <c r="F613" s="4"/>
      <c r="G613" s="4" t="s">
        <v>190</v>
      </c>
      <c r="H613" s="10">
        <v>84.49</v>
      </c>
      <c r="I613" s="4" t="s">
        <v>1036</v>
      </c>
    </row>
    <row r="614" ht="15.75" customHeight="1">
      <c r="A614" s="4" t="s">
        <v>2302</v>
      </c>
      <c r="B614" s="13">
        <v>46054.6623263889</v>
      </c>
      <c r="C614" s="4" t="s">
        <v>2303</v>
      </c>
      <c r="D614" s="4" t="s">
        <v>1071</v>
      </c>
      <c r="E614" s="4" t="s">
        <v>1072</v>
      </c>
      <c r="F614" s="4"/>
      <c r="G614" s="4"/>
      <c r="H614" s="4"/>
      <c r="I614" s="4" t="s">
        <v>1050</v>
      </c>
    </row>
    <row r="615" ht="15.75" customHeight="1">
      <c r="A615" s="4" t="s">
        <v>2304</v>
      </c>
      <c r="B615" s="13">
        <v>46056.3568055556</v>
      </c>
      <c r="C615" s="4" t="s">
        <v>2305</v>
      </c>
      <c r="D615" s="4" t="s">
        <v>1075</v>
      </c>
      <c r="E615" s="4" t="s">
        <v>1064</v>
      </c>
      <c r="F615" s="4"/>
      <c r="G615" s="4"/>
      <c r="H615" s="4"/>
      <c r="I615" s="4" t="s">
        <v>1036</v>
      </c>
    </row>
    <row r="616" ht="15.75" customHeight="1">
      <c r="A616" s="4" t="s">
        <v>2306</v>
      </c>
      <c r="B616" s="13">
        <v>46087.8809953704</v>
      </c>
      <c r="C616" s="4" t="s">
        <v>2307</v>
      </c>
      <c r="D616" s="4" t="s">
        <v>1063</v>
      </c>
      <c r="E616" s="4" t="s">
        <v>1064</v>
      </c>
      <c r="F616" s="4"/>
      <c r="G616" s="4" t="s">
        <v>244</v>
      </c>
      <c r="H616" s="4"/>
      <c r="I616" s="4" t="s">
        <v>1036</v>
      </c>
    </row>
    <row r="617" ht="15.75" customHeight="1">
      <c r="A617" s="4" t="s">
        <v>2308</v>
      </c>
      <c r="B617" s="13">
        <v>46035.6320138889</v>
      </c>
      <c r="C617" s="4" t="s">
        <v>2309</v>
      </c>
      <c r="D617" s="4" t="s">
        <v>1078</v>
      </c>
      <c r="E617" s="4" t="s">
        <v>1064</v>
      </c>
      <c r="F617" s="4"/>
      <c r="G617" s="4" t="s">
        <v>150</v>
      </c>
      <c r="H617" s="10">
        <v>40.19</v>
      </c>
      <c r="I617" s="4" t="s">
        <v>1046</v>
      </c>
    </row>
    <row r="618" ht="15.75" customHeight="1">
      <c r="A618" s="4" t="s">
        <v>2310</v>
      </c>
      <c r="B618" s="13">
        <v>46084.7638541667</v>
      </c>
      <c r="C618" s="4" t="s">
        <v>2311</v>
      </c>
      <c r="D618" s="4" t="s">
        <v>1089</v>
      </c>
      <c r="E618" s="4" t="s">
        <v>1090</v>
      </c>
      <c r="F618" s="4" t="s">
        <v>800</v>
      </c>
      <c r="G618" s="4"/>
      <c r="H618" s="4"/>
      <c r="I618" s="4" t="s">
        <v>1034</v>
      </c>
    </row>
    <row r="619" ht="15.75" customHeight="1">
      <c r="A619" s="4" t="s">
        <v>2312</v>
      </c>
      <c r="B619" s="13">
        <v>46083.5380671296</v>
      </c>
      <c r="C619" s="4" t="s">
        <v>2313</v>
      </c>
      <c r="D619" s="4" t="s">
        <v>1063</v>
      </c>
      <c r="E619" s="4" t="s">
        <v>1064</v>
      </c>
      <c r="F619" s="4"/>
      <c r="G619" s="4" t="s">
        <v>84</v>
      </c>
      <c r="H619" s="4"/>
      <c r="I619" s="4" t="s">
        <v>1050</v>
      </c>
    </row>
    <row r="620" ht="15.75" customHeight="1">
      <c r="A620" s="4" t="s">
        <v>2314</v>
      </c>
      <c r="B620" s="13">
        <v>46078.7256828704</v>
      </c>
      <c r="C620" s="4" t="s">
        <v>2315</v>
      </c>
      <c r="D620" s="4" t="s">
        <v>1071</v>
      </c>
      <c r="E620" s="4" t="s">
        <v>1119</v>
      </c>
      <c r="F620" s="4"/>
      <c r="G620" s="4"/>
      <c r="H620" s="4"/>
      <c r="I620" s="4" t="s">
        <v>587</v>
      </c>
    </row>
    <row r="621" ht="15.75" customHeight="1">
      <c r="A621" s="4" t="s">
        <v>2316</v>
      </c>
      <c r="B621" s="13">
        <v>46041.7959259259</v>
      </c>
      <c r="C621" s="4" t="s">
        <v>2317</v>
      </c>
      <c r="D621" s="4" t="s">
        <v>1089</v>
      </c>
      <c r="E621" s="4" t="s">
        <v>1090</v>
      </c>
      <c r="F621" s="4" t="s">
        <v>829</v>
      </c>
      <c r="G621" s="4"/>
      <c r="H621" s="4"/>
      <c r="I621" s="4" t="s">
        <v>1034</v>
      </c>
    </row>
    <row r="622" ht="15.75" customHeight="1">
      <c r="A622" s="4" t="s">
        <v>2318</v>
      </c>
      <c r="B622" s="13">
        <v>46113.8419097222</v>
      </c>
      <c r="C622" s="4" t="s">
        <v>2319</v>
      </c>
      <c r="D622" s="4" t="s">
        <v>1163</v>
      </c>
      <c r="E622" s="4" t="s">
        <v>1072</v>
      </c>
      <c r="F622" s="4"/>
      <c r="G622" s="4"/>
      <c r="H622" s="4"/>
      <c r="I622" s="4" t="s">
        <v>1042</v>
      </c>
    </row>
    <row r="623" ht="15.75" customHeight="1">
      <c r="A623" s="4" t="s">
        <v>2320</v>
      </c>
      <c r="B623" s="13">
        <v>46078.4580555556</v>
      </c>
      <c r="C623" s="4" t="s">
        <v>2321</v>
      </c>
      <c r="D623" s="4" t="s">
        <v>1163</v>
      </c>
      <c r="E623" s="4" t="s">
        <v>1119</v>
      </c>
      <c r="F623" s="4"/>
      <c r="G623" s="4"/>
      <c r="H623" s="4"/>
      <c r="I623" s="4" t="s">
        <v>1048</v>
      </c>
    </row>
    <row r="624" ht="15.75" customHeight="1">
      <c r="A624" s="4" t="s">
        <v>2322</v>
      </c>
      <c r="B624" s="13">
        <v>46047.6974537037</v>
      </c>
      <c r="C624" s="4" t="s">
        <v>2323</v>
      </c>
      <c r="D624" s="4" t="s">
        <v>1078</v>
      </c>
      <c r="E624" s="4" t="s">
        <v>1064</v>
      </c>
      <c r="F624" s="4"/>
      <c r="G624" s="4" t="s">
        <v>126</v>
      </c>
      <c r="H624" s="10">
        <v>169.66</v>
      </c>
      <c r="I624" s="4" t="s">
        <v>1048</v>
      </c>
    </row>
    <row r="625" ht="15.75" customHeight="1">
      <c r="A625" s="4" t="s">
        <v>2324</v>
      </c>
      <c r="B625" s="13">
        <v>46029.5964814815</v>
      </c>
      <c r="C625" s="4" t="s">
        <v>2325</v>
      </c>
      <c r="D625" s="4" t="s">
        <v>1063</v>
      </c>
      <c r="E625" s="4" t="s">
        <v>1064</v>
      </c>
      <c r="F625" s="4"/>
      <c r="G625" s="4" t="s">
        <v>232</v>
      </c>
      <c r="H625" s="4"/>
      <c r="I625" s="4" t="s">
        <v>1042</v>
      </c>
    </row>
    <row r="626" ht="15.75" customHeight="1">
      <c r="A626" s="4" t="s">
        <v>2326</v>
      </c>
      <c r="B626" s="13">
        <v>46047.7286805556</v>
      </c>
      <c r="C626" s="4" t="s">
        <v>2327</v>
      </c>
      <c r="D626" s="4" t="s">
        <v>1110</v>
      </c>
      <c r="E626" s="4" t="s">
        <v>1064</v>
      </c>
      <c r="F626" s="4"/>
      <c r="G626" s="4" t="s">
        <v>190</v>
      </c>
      <c r="H626" s="10">
        <v>31.97</v>
      </c>
      <c r="I626" s="4" t="s">
        <v>1052</v>
      </c>
    </row>
    <row r="627" ht="15.75" customHeight="1">
      <c r="A627" s="4" t="s">
        <v>2328</v>
      </c>
      <c r="B627" s="13">
        <v>46080.8977662037</v>
      </c>
      <c r="C627" s="4" t="s">
        <v>2329</v>
      </c>
      <c r="D627" s="4" t="s">
        <v>1081</v>
      </c>
      <c r="E627" s="4" t="s">
        <v>1064</v>
      </c>
      <c r="F627" s="4"/>
      <c r="G627" s="4"/>
      <c r="H627" s="4"/>
      <c r="I627" s="4" t="s">
        <v>1048</v>
      </c>
    </row>
    <row r="628" ht="15.75" customHeight="1">
      <c r="A628" s="4" t="s">
        <v>2330</v>
      </c>
      <c r="B628" s="13">
        <v>46063.5256365741</v>
      </c>
      <c r="C628" s="4" t="s">
        <v>2331</v>
      </c>
      <c r="D628" s="4" t="s">
        <v>1081</v>
      </c>
      <c r="E628" s="4" t="s">
        <v>1064</v>
      </c>
      <c r="F628" s="4"/>
      <c r="G628" s="4"/>
      <c r="H628" s="4"/>
      <c r="I628" s="4" t="s">
        <v>427</v>
      </c>
    </row>
    <row r="629" ht="15.75" customHeight="1">
      <c r="A629" s="4" t="s">
        <v>2332</v>
      </c>
      <c r="B629" s="13">
        <v>46034.9784259259</v>
      </c>
      <c r="C629" s="4" t="s">
        <v>2333</v>
      </c>
      <c r="D629" s="4" t="s">
        <v>1081</v>
      </c>
      <c r="E629" s="4" t="s">
        <v>1064</v>
      </c>
      <c r="F629" s="4"/>
      <c r="G629" s="4"/>
      <c r="H629" s="4"/>
      <c r="I629" s="4" t="s">
        <v>1042</v>
      </c>
    </row>
    <row r="630" ht="15.75" customHeight="1">
      <c r="A630" s="4" t="s">
        <v>2334</v>
      </c>
      <c r="B630" s="13">
        <v>46049.7521875</v>
      </c>
      <c r="C630" s="4" t="s">
        <v>2335</v>
      </c>
      <c r="D630" s="4" t="s">
        <v>1078</v>
      </c>
      <c r="E630" s="4" t="s">
        <v>1064</v>
      </c>
      <c r="F630" s="4"/>
      <c r="G630" s="4" t="s">
        <v>150</v>
      </c>
      <c r="H630" s="10">
        <v>47.59</v>
      </c>
      <c r="I630" s="4" t="s">
        <v>1048</v>
      </c>
    </row>
    <row r="631" ht="15.75" customHeight="1">
      <c r="A631" s="4" t="s">
        <v>2336</v>
      </c>
      <c r="B631" s="13">
        <v>46058.8926041667</v>
      </c>
      <c r="C631" s="4" t="s">
        <v>2337</v>
      </c>
      <c r="D631" s="4" t="s">
        <v>1071</v>
      </c>
      <c r="E631" s="4" t="s">
        <v>1119</v>
      </c>
      <c r="F631" s="4"/>
      <c r="G631" s="4"/>
      <c r="H631" s="4"/>
      <c r="I631" s="4" t="s">
        <v>1035</v>
      </c>
    </row>
    <row r="632" ht="15.75" customHeight="1">
      <c r="A632" s="4" t="s">
        <v>2338</v>
      </c>
      <c r="B632" s="13">
        <v>46048.5892708333</v>
      </c>
      <c r="C632" s="4" t="s">
        <v>2339</v>
      </c>
      <c r="D632" s="4" t="s">
        <v>1128</v>
      </c>
      <c r="E632" s="4" t="s">
        <v>1105</v>
      </c>
      <c r="F632" s="4" t="s">
        <v>115</v>
      </c>
      <c r="G632" s="4"/>
      <c r="H632" s="4"/>
      <c r="I632" s="4" t="s">
        <v>1034</v>
      </c>
    </row>
    <row r="633" ht="15.75" customHeight="1">
      <c r="A633" s="4" t="s">
        <v>2340</v>
      </c>
      <c r="B633" s="13">
        <v>46096.4675115741</v>
      </c>
      <c r="C633" s="4" t="s">
        <v>2341</v>
      </c>
      <c r="D633" s="4" t="s">
        <v>1075</v>
      </c>
      <c r="E633" s="4" t="s">
        <v>1064</v>
      </c>
      <c r="F633" s="4"/>
      <c r="G633" s="4"/>
      <c r="H633" s="4"/>
      <c r="I633" s="4" t="s">
        <v>1050</v>
      </c>
    </row>
    <row r="634" ht="15.75" customHeight="1">
      <c r="A634" s="4" t="s">
        <v>2342</v>
      </c>
      <c r="B634" s="13">
        <v>46082.9199768519</v>
      </c>
      <c r="C634" s="4" t="s">
        <v>2343</v>
      </c>
      <c r="D634" s="4" t="s">
        <v>1075</v>
      </c>
      <c r="E634" s="4" t="s">
        <v>1064</v>
      </c>
      <c r="F634" s="4"/>
      <c r="G634" s="4"/>
      <c r="H634" s="4"/>
      <c r="I634" s="4" t="s">
        <v>587</v>
      </c>
    </row>
    <row r="635" ht="15.75" customHeight="1">
      <c r="A635" s="4" t="s">
        <v>2344</v>
      </c>
      <c r="B635" s="13">
        <v>46079.8818171296</v>
      </c>
      <c r="C635" s="4" t="s">
        <v>2345</v>
      </c>
      <c r="D635" s="4" t="s">
        <v>1089</v>
      </c>
      <c r="E635" s="4" t="s">
        <v>1090</v>
      </c>
      <c r="F635" s="4" t="s">
        <v>788</v>
      </c>
      <c r="G635" s="4"/>
      <c r="H635" s="4"/>
      <c r="I635" s="4" t="s">
        <v>1039</v>
      </c>
    </row>
    <row r="636" ht="15.75" customHeight="1">
      <c r="A636" s="4" t="s">
        <v>2346</v>
      </c>
      <c r="B636" s="13">
        <v>46045.6954050926</v>
      </c>
      <c r="C636" s="4" t="s">
        <v>2347</v>
      </c>
      <c r="D636" s="4" t="s">
        <v>1089</v>
      </c>
      <c r="E636" s="4" t="s">
        <v>1090</v>
      </c>
      <c r="F636" s="4" t="s">
        <v>809</v>
      </c>
      <c r="G636" s="4"/>
      <c r="H636" s="4"/>
      <c r="I636" s="4" t="s">
        <v>1035</v>
      </c>
    </row>
    <row r="637" ht="15.75" customHeight="1">
      <c r="A637" s="4" t="s">
        <v>2348</v>
      </c>
      <c r="B637" s="13">
        <v>46127.9654513889</v>
      </c>
      <c r="C637" s="4" t="s">
        <v>2349</v>
      </c>
      <c r="D637" s="4" t="s">
        <v>1078</v>
      </c>
      <c r="E637" s="4" t="s">
        <v>1064</v>
      </c>
      <c r="F637" s="4"/>
      <c r="G637" s="4" t="s">
        <v>232</v>
      </c>
      <c r="H637" s="10">
        <v>29.37</v>
      </c>
      <c r="I637" s="4" t="s">
        <v>1048</v>
      </c>
    </row>
    <row r="638" ht="15.75" customHeight="1">
      <c r="A638" s="4" t="s">
        <v>2350</v>
      </c>
      <c r="B638" s="13">
        <v>46081.4525115741</v>
      </c>
      <c r="C638" s="4" t="s">
        <v>2351</v>
      </c>
      <c r="D638" s="4" t="s">
        <v>1078</v>
      </c>
      <c r="E638" s="4" t="s">
        <v>1064</v>
      </c>
      <c r="F638" s="4"/>
      <c r="G638" s="4" t="s">
        <v>150</v>
      </c>
      <c r="H638" s="10">
        <v>126.58</v>
      </c>
      <c r="I638" s="4" t="s">
        <v>427</v>
      </c>
    </row>
    <row r="639" ht="15.75" customHeight="1">
      <c r="A639" s="4" t="s">
        <v>2352</v>
      </c>
      <c r="B639" s="13">
        <v>46029.7940740741</v>
      </c>
      <c r="C639" s="4" t="s">
        <v>2353</v>
      </c>
      <c r="D639" s="4" t="s">
        <v>1078</v>
      </c>
      <c r="E639" s="4" t="s">
        <v>1064</v>
      </c>
      <c r="F639" s="4"/>
      <c r="G639" s="4" t="s">
        <v>190</v>
      </c>
      <c r="H639" s="10">
        <v>153.41</v>
      </c>
      <c r="I639" s="4" t="s">
        <v>1046</v>
      </c>
    </row>
    <row r="640" ht="15.75" customHeight="1">
      <c r="A640" s="4" t="s">
        <v>2354</v>
      </c>
      <c r="B640" s="13">
        <v>46104.9728240741</v>
      </c>
      <c r="C640" s="4" t="s">
        <v>2355</v>
      </c>
      <c r="D640" s="4" t="s">
        <v>1081</v>
      </c>
      <c r="E640" s="4" t="s">
        <v>1064</v>
      </c>
      <c r="F640" s="4"/>
      <c r="G640" s="4"/>
      <c r="H640" s="4"/>
      <c r="I640" s="4" t="s">
        <v>587</v>
      </c>
    </row>
    <row r="641" ht="15.75" customHeight="1">
      <c r="A641" s="4" t="s">
        <v>2356</v>
      </c>
      <c r="B641" s="13">
        <v>46046.6690277778</v>
      </c>
      <c r="C641" s="4" t="s">
        <v>2357</v>
      </c>
      <c r="D641" s="4" t="s">
        <v>1071</v>
      </c>
      <c r="E641" s="4" t="s">
        <v>1072</v>
      </c>
      <c r="F641" s="4"/>
      <c r="G641" s="4"/>
      <c r="H641" s="4"/>
      <c r="I641" s="4" t="s">
        <v>1028</v>
      </c>
    </row>
    <row r="642" ht="15.75" customHeight="1">
      <c r="A642" s="4" t="s">
        <v>2358</v>
      </c>
      <c r="B642" s="13">
        <v>46103.5149537037</v>
      </c>
      <c r="C642" s="4" t="s">
        <v>2359</v>
      </c>
      <c r="D642" s="4" t="s">
        <v>1093</v>
      </c>
      <c r="E642" s="4" t="s">
        <v>1064</v>
      </c>
      <c r="F642" s="4"/>
      <c r="G642" s="4"/>
      <c r="H642" s="4"/>
      <c r="I642" s="4" t="s">
        <v>1042</v>
      </c>
    </row>
    <row r="643" ht="15.75" customHeight="1">
      <c r="A643" s="4" t="s">
        <v>2360</v>
      </c>
      <c r="B643" s="13">
        <v>46123.7669560185</v>
      </c>
      <c r="C643" s="4" t="s">
        <v>2361</v>
      </c>
      <c r="D643" s="4" t="s">
        <v>1071</v>
      </c>
      <c r="E643" s="4" t="s">
        <v>1119</v>
      </c>
      <c r="F643" s="4"/>
      <c r="G643" s="4"/>
      <c r="H643" s="4"/>
      <c r="I643" s="4" t="s">
        <v>427</v>
      </c>
    </row>
    <row r="644" ht="15.75" customHeight="1">
      <c r="A644" s="4" t="s">
        <v>2362</v>
      </c>
      <c r="B644" s="13">
        <v>46085.6529166667</v>
      </c>
      <c r="C644" s="4" t="s">
        <v>2363</v>
      </c>
      <c r="D644" s="4" t="s">
        <v>1110</v>
      </c>
      <c r="E644" s="4" t="s">
        <v>1064</v>
      </c>
      <c r="F644" s="4"/>
      <c r="G644" s="4" t="s">
        <v>150</v>
      </c>
      <c r="H644" s="10">
        <v>49.14</v>
      </c>
      <c r="I644" s="4" t="s">
        <v>1030</v>
      </c>
    </row>
    <row r="645" ht="15.75" customHeight="1">
      <c r="A645" s="4" t="s">
        <v>2364</v>
      </c>
      <c r="B645" s="13">
        <v>46029.4815856482</v>
      </c>
      <c r="C645" s="4" t="s">
        <v>2365</v>
      </c>
      <c r="D645" s="4" t="s">
        <v>1104</v>
      </c>
      <c r="E645" s="4" t="s">
        <v>1090</v>
      </c>
      <c r="F645" s="4" t="s">
        <v>809</v>
      </c>
      <c r="G645" s="4"/>
      <c r="H645" s="4"/>
      <c r="I645" s="4" t="s">
        <v>1031</v>
      </c>
    </row>
    <row r="646" ht="15.75" customHeight="1">
      <c r="A646" s="4" t="s">
        <v>2366</v>
      </c>
      <c r="B646" s="13">
        <v>46101.404837963</v>
      </c>
      <c r="C646" s="4" t="s">
        <v>2367</v>
      </c>
      <c r="D646" s="4" t="s">
        <v>1086</v>
      </c>
      <c r="E646" s="4" t="s">
        <v>1064</v>
      </c>
      <c r="F646" s="4"/>
      <c r="G646" s="4"/>
      <c r="H646" s="4"/>
      <c r="I646" s="4" t="s">
        <v>1046</v>
      </c>
    </row>
    <row r="647" ht="15.75" customHeight="1">
      <c r="A647" s="4" t="s">
        <v>2368</v>
      </c>
      <c r="B647" s="13">
        <v>46111.4108796296</v>
      </c>
      <c r="C647" s="4" t="s">
        <v>2369</v>
      </c>
      <c r="D647" s="4" t="s">
        <v>1078</v>
      </c>
      <c r="E647" s="4" t="s">
        <v>1064</v>
      </c>
      <c r="F647" s="4"/>
      <c r="G647" s="4" t="s">
        <v>107</v>
      </c>
      <c r="H647" s="10">
        <v>131.72</v>
      </c>
      <c r="I647" s="4" t="s">
        <v>427</v>
      </c>
    </row>
    <row r="648" ht="15.75" customHeight="1">
      <c r="A648" s="4" t="s">
        <v>2370</v>
      </c>
      <c r="B648" s="13">
        <v>46063.4799305556</v>
      </c>
      <c r="C648" s="4" t="s">
        <v>2371</v>
      </c>
      <c r="D648" s="4" t="s">
        <v>1071</v>
      </c>
      <c r="E648" s="4" t="s">
        <v>1119</v>
      </c>
      <c r="F648" s="4"/>
      <c r="G648" s="4"/>
      <c r="H648" s="4"/>
      <c r="I648" s="4" t="s">
        <v>1052</v>
      </c>
    </row>
    <row r="649" ht="15.75" customHeight="1">
      <c r="A649" s="4" t="s">
        <v>2372</v>
      </c>
      <c r="B649" s="13">
        <v>46094.9244212963</v>
      </c>
      <c r="C649" s="4" t="s">
        <v>2373</v>
      </c>
      <c r="D649" s="4" t="s">
        <v>1110</v>
      </c>
      <c r="E649" s="4" t="s">
        <v>1064</v>
      </c>
      <c r="F649" s="4"/>
      <c r="G649" s="4" t="s">
        <v>232</v>
      </c>
      <c r="H649" s="10">
        <v>51.95</v>
      </c>
      <c r="I649" s="4" t="s">
        <v>427</v>
      </c>
    </row>
    <row r="650" ht="15.75" customHeight="1">
      <c r="A650" s="4" t="s">
        <v>2374</v>
      </c>
      <c r="B650" s="13">
        <v>46109.7804513889</v>
      </c>
      <c r="C650" s="4" t="s">
        <v>2375</v>
      </c>
      <c r="D650" s="4" t="s">
        <v>1075</v>
      </c>
      <c r="E650" s="4" t="s">
        <v>1064</v>
      </c>
      <c r="F650" s="4"/>
      <c r="G650" s="4"/>
      <c r="H650" s="4"/>
      <c r="I650" s="4" t="s">
        <v>587</v>
      </c>
    </row>
    <row r="651" ht="15.75" customHeight="1">
      <c r="A651" s="4" t="s">
        <v>2376</v>
      </c>
      <c r="B651" s="13">
        <v>46047.3642824074</v>
      </c>
      <c r="C651" s="4" t="s">
        <v>2377</v>
      </c>
      <c r="D651" s="4" t="s">
        <v>1110</v>
      </c>
      <c r="E651" s="4" t="s">
        <v>1064</v>
      </c>
      <c r="F651" s="4"/>
      <c r="G651" s="4" t="s">
        <v>69</v>
      </c>
      <c r="H651" s="10">
        <v>213.97</v>
      </c>
      <c r="I651" s="4" t="s">
        <v>587</v>
      </c>
    </row>
    <row r="652" ht="15.75" customHeight="1">
      <c r="A652" s="4" t="s">
        <v>2378</v>
      </c>
      <c r="B652" s="13">
        <v>46062.9809953704</v>
      </c>
      <c r="C652" s="4" t="s">
        <v>2379</v>
      </c>
      <c r="D652" s="4" t="s">
        <v>1089</v>
      </c>
      <c r="E652" s="4" t="s">
        <v>1105</v>
      </c>
      <c r="F652" s="4" t="s">
        <v>128</v>
      </c>
      <c r="G652" s="4"/>
      <c r="H652" s="4"/>
      <c r="I652" s="4" t="s">
        <v>1042</v>
      </c>
    </row>
    <row r="653" ht="15.75" customHeight="1">
      <c r="A653" s="4" t="s">
        <v>2380</v>
      </c>
      <c r="B653" s="13">
        <v>46101.8677314815</v>
      </c>
      <c r="C653" s="4" t="s">
        <v>2381</v>
      </c>
      <c r="D653" s="4" t="s">
        <v>1063</v>
      </c>
      <c r="E653" s="4" t="s">
        <v>1064</v>
      </c>
      <c r="F653" s="4"/>
      <c r="G653" s="4" t="s">
        <v>69</v>
      </c>
      <c r="H653" s="4"/>
      <c r="I653" s="4" t="s">
        <v>1046</v>
      </c>
    </row>
    <row r="654" ht="15.75" customHeight="1">
      <c r="A654" s="4" t="s">
        <v>2382</v>
      </c>
      <c r="B654" s="13">
        <v>46102.5593402778</v>
      </c>
      <c r="C654" s="4" t="s">
        <v>2383</v>
      </c>
      <c r="D654" s="4" t="s">
        <v>1078</v>
      </c>
      <c r="E654" s="4" t="s">
        <v>1064</v>
      </c>
      <c r="F654" s="4"/>
      <c r="G654" s="4" t="s">
        <v>93</v>
      </c>
      <c r="H654" s="10">
        <v>87.43</v>
      </c>
      <c r="I654" s="4" t="s">
        <v>1050</v>
      </c>
    </row>
    <row r="655" ht="15.75" customHeight="1">
      <c r="A655" s="4" t="s">
        <v>2384</v>
      </c>
      <c r="B655" s="13">
        <v>46080.9793981482</v>
      </c>
      <c r="C655" s="4" t="s">
        <v>2385</v>
      </c>
      <c r="D655" s="4" t="s">
        <v>1128</v>
      </c>
      <c r="E655" s="4" t="s">
        <v>1105</v>
      </c>
      <c r="F655" s="4" t="s">
        <v>209</v>
      </c>
      <c r="G655" s="4"/>
      <c r="H655" s="4"/>
      <c r="I655" s="4" t="s">
        <v>1030</v>
      </c>
    </row>
    <row r="656" ht="15.75" customHeight="1">
      <c r="A656" s="4" t="s">
        <v>2386</v>
      </c>
      <c r="B656" s="13">
        <v>46067.4235069445</v>
      </c>
      <c r="C656" s="4" t="s">
        <v>2387</v>
      </c>
      <c r="D656" s="4" t="s">
        <v>1075</v>
      </c>
      <c r="E656" s="4" t="s">
        <v>1064</v>
      </c>
      <c r="F656" s="4"/>
      <c r="G656" s="4"/>
      <c r="H656" s="4"/>
      <c r="I656" s="4" t="s">
        <v>1036</v>
      </c>
    </row>
    <row r="657" ht="15.75" customHeight="1">
      <c r="A657" s="4" t="s">
        <v>2388</v>
      </c>
      <c r="B657" s="13">
        <v>46043.5259027778</v>
      </c>
      <c r="C657" s="4" t="s">
        <v>2389</v>
      </c>
      <c r="D657" s="4" t="s">
        <v>1086</v>
      </c>
      <c r="E657" s="4" t="s">
        <v>1064</v>
      </c>
      <c r="F657" s="4"/>
      <c r="G657" s="4"/>
      <c r="H657" s="4"/>
      <c r="I657" s="4" t="s">
        <v>1042</v>
      </c>
    </row>
    <row r="658" ht="15.75" customHeight="1">
      <c r="A658" s="4" t="s">
        <v>2390</v>
      </c>
      <c r="B658" s="13">
        <v>46098.7644444444</v>
      </c>
      <c r="C658" s="4" t="s">
        <v>2391</v>
      </c>
      <c r="D658" s="4" t="s">
        <v>1128</v>
      </c>
      <c r="E658" s="4" t="s">
        <v>1105</v>
      </c>
      <c r="F658" s="4" t="s">
        <v>289</v>
      </c>
      <c r="G658" s="4"/>
      <c r="H658" s="4"/>
      <c r="I658" s="4" t="s">
        <v>1035</v>
      </c>
    </row>
    <row r="659" ht="15.75" customHeight="1">
      <c r="A659" s="4" t="s">
        <v>2392</v>
      </c>
      <c r="B659" s="13">
        <v>46105.8832407407</v>
      </c>
      <c r="C659" s="4" t="s">
        <v>2393</v>
      </c>
      <c r="D659" s="4" t="s">
        <v>1128</v>
      </c>
      <c r="E659" s="4" t="s">
        <v>1105</v>
      </c>
      <c r="F659" s="4" t="s">
        <v>87</v>
      </c>
      <c r="G659" s="4"/>
      <c r="H659" s="4"/>
      <c r="I659" s="4" t="s">
        <v>1034</v>
      </c>
    </row>
    <row r="660" ht="15.75" customHeight="1">
      <c r="A660" s="4" t="s">
        <v>2394</v>
      </c>
      <c r="B660" s="13">
        <v>46056.3622916667</v>
      </c>
      <c r="C660" s="4" t="s">
        <v>2395</v>
      </c>
      <c r="D660" s="4" t="s">
        <v>1081</v>
      </c>
      <c r="E660" s="4" t="s">
        <v>1064</v>
      </c>
      <c r="F660" s="4"/>
      <c r="G660" s="4"/>
      <c r="H660" s="4"/>
      <c r="I660" s="4" t="s">
        <v>1039</v>
      </c>
    </row>
    <row r="661" ht="15.75" customHeight="1">
      <c r="A661" s="4" t="s">
        <v>2396</v>
      </c>
      <c r="B661" s="13">
        <v>46051.3765856482</v>
      </c>
      <c r="C661" s="4" t="s">
        <v>2397</v>
      </c>
      <c r="D661" s="4" t="s">
        <v>1104</v>
      </c>
      <c r="E661" s="4" t="s">
        <v>1090</v>
      </c>
      <c r="F661" s="4" t="s">
        <v>778</v>
      </c>
      <c r="G661" s="4"/>
      <c r="H661" s="4"/>
      <c r="I661" s="4" t="s">
        <v>587</v>
      </c>
    </row>
    <row r="662" ht="15.75" customHeight="1">
      <c r="A662" s="4" t="s">
        <v>2398</v>
      </c>
      <c r="B662" s="13">
        <v>46033.5792708333</v>
      </c>
      <c r="C662" s="4" t="s">
        <v>2399</v>
      </c>
      <c r="D662" s="4" t="s">
        <v>1081</v>
      </c>
      <c r="E662" s="4" t="s">
        <v>1064</v>
      </c>
      <c r="F662" s="4"/>
      <c r="G662" s="4"/>
      <c r="H662" s="4"/>
      <c r="I662" s="4" t="s">
        <v>1039</v>
      </c>
    </row>
    <row r="663" ht="15.75" customHeight="1">
      <c r="A663" s="4" t="s">
        <v>2400</v>
      </c>
      <c r="B663" s="13">
        <v>46088.489849537</v>
      </c>
      <c r="C663" s="4" t="s">
        <v>2401</v>
      </c>
      <c r="D663" s="4" t="s">
        <v>1078</v>
      </c>
      <c r="E663" s="4" t="s">
        <v>1064</v>
      </c>
      <c r="F663" s="4"/>
      <c r="G663" s="4" t="s">
        <v>61</v>
      </c>
      <c r="H663" s="10">
        <v>106.65</v>
      </c>
      <c r="I663" s="4" t="s">
        <v>1031</v>
      </c>
    </row>
    <row r="664" ht="15.75" customHeight="1">
      <c r="A664" s="4" t="s">
        <v>2402</v>
      </c>
      <c r="B664" s="13">
        <v>46024.4920949074</v>
      </c>
      <c r="C664" s="4" t="s">
        <v>2403</v>
      </c>
      <c r="D664" s="4" t="s">
        <v>1078</v>
      </c>
      <c r="E664" s="4" t="s">
        <v>1064</v>
      </c>
      <c r="F664" s="4"/>
      <c r="G664" s="4" t="s">
        <v>100</v>
      </c>
      <c r="H664" s="10">
        <v>83.54</v>
      </c>
      <c r="I664" s="4" t="s">
        <v>1050</v>
      </c>
    </row>
    <row r="665" ht="15.75" customHeight="1">
      <c r="A665" s="4" t="s">
        <v>2404</v>
      </c>
      <c r="B665" s="13">
        <v>46130.3353009259</v>
      </c>
      <c r="C665" s="4" t="s">
        <v>2405</v>
      </c>
      <c r="D665" s="4" t="s">
        <v>1128</v>
      </c>
      <c r="E665" s="4" t="s">
        <v>1105</v>
      </c>
      <c r="F665" s="4" t="s">
        <v>238</v>
      </c>
      <c r="G665" s="4"/>
      <c r="H665" s="4"/>
      <c r="I665" s="4" t="s">
        <v>1046</v>
      </c>
    </row>
    <row r="666" ht="15.75" customHeight="1">
      <c r="A666" s="4" t="s">
        <v>2406</v>
      </c>
      <c r="B666" s="13">
        <v>46129.7731481482</v>
      </c>
      <c r="C666" s="4" t="s">
        <v>2407</v>
      </c>
      <c r="D666" s="4" t="s">
        <v>1110</v>
      </c>
      <c r="E666" s="4" t="s">
        <v>1064</v>
      </c>
      <c r="F666" s="4"/>
      <c r="G666" s="4" t="s">
        <v>84</v>
      </c>
      <c r="H666" s="10">
        <v>192.32</v>
      </c>
      <c r="I666" s="4" t="s">
        <v>1030</v>
      </c>
    </row>
    <row r="667" ht="15.75" customHeight="1">
      <c r="A667" s="4" t="s">
        <v>2408</v>
      </c>
      <c r="B667" s="13">
        <v>46078.5092361111</v>
      </c>
      <c r="C667" s="4" t="s">
        <v>2409</v>
      </c>
      <c r="D667" s="4" t="s">
        <v>1071</v>
      </c>
      <c r="E667" s="4" t="s">
        <v>1119</v>
      </c>
      <c r="F667" s="4"/>
      <c r="G667" s="4"/>
      <c r="H667" s="4"/>
      <c r="I667" s="4" t="s">
        <v>1035</v>
      </c>
    </row>
    <row r="668" ht="15.75" customHeight="1">
      <c r="A668" s="4" t="s">
        <v>2410</v>
      </c>
      <c r="B668" s="13">
        <v>46045.4251273148</v>
      </c>
      <c r="C668" s="4" t="s">
        <v>2411</v>
      </c>
      <c r="D668" s="4" t="s">
        <v>1128</v>
      </c>
      <c r="E668" s="4" t="s">
        <v>1105</v>
      </c>
      <c r="F668" s="4" t="s">
        <v>261</v>
      </c>
      <c r="G668" s="4"/>
      <c r="H668" s="4"/>
      <c r="I668" s="4" t="s">
        <v>1050</v>
      </c>
    </row>
    <row r="669" ht="15.75" customHeight="1">
      <c r="A669" s="4" t="s">
        <v>2412</v>
      </c>
      <c r="B669" s="13">
        <v>46050.4713657407</v>
      </c>
      <c r="C669" s="4" t="s">
        <v>2413</v>
      </c>
      <c r="D669" s="4" t="s">
        <v>1163</v>
      </c>
      <c r="E669" s="4" t="s">
        <v>1119</v>
      </c>
      <c r="F669" s="4"/>
      <c r="G669" s="4"/>
      <c r="H669" s="4"/>
      <c r="I669" s="4" t="s">
        <v>587</v>
      </c>
    </row>
    <row r="670" ht="15.75" customHeight="1">
      <c r="A670" s="4" t="s">
        <v>2414</v>
      </c>
      <c r="B670" s="13">
        <v>46034.9969791667</v>
      </c>
      <c r="C670" s="4" t="s">
        <v>2415</v>
      </c>
      <c r="D670" s="4" t="s">
        <v>1104</v>
      </c>
      <c r="E670" s="4" t="s">
        <v>1090</v>
      </c>
      <c r="F670" s="4" t="s">
        <v>813</v>
      </c>
      <c r="G670" s="4"/>
      <c r="H670" s="4"/>
      <c r="I670" s="4" t="s">
        <v>1050</v>
      </c>
    </row>
    <row r="671" ht="15.75" customHeight="1">
      <c r="A671" s="4" t="s">
        <v>2416</v>
      </c>
      <c r="B671" s="13">
        <v>46111.4869212963</v>
      </c>
      <c r="C671" s="4" t="s">
        <v>2417</v>
      </c>
      <c r="D671" s="4" t="s">
        <v>1071</v>
      </c>
      <c r="E671" s="4" t="s">
        <v>1072</v>
      </c>
      <c r="F671" s="4"/>
      <c r="G671" s="4"/>
      <c r="H671" s="4"/>
      <c r="I671" s="4" t="s">
        <v>1052</v>
      </c>
    </row>
    <row r="672" ht="15.75" customHeight="1">
      <c r="A672" s="4" t="s">
        <v>2418</v>
      </c>
      <c r="B672" s="13">
        <v>46077.8762384259</v>
      </c>
      <c r="C672" s="4" t="s">
        <v>2419</v>
      </c>
      <c r="D672" s="4" t="s">
        <v>1075</v>
      </c>
      <c r="E672" s="4" t="s">
        <v>1064</v>
      </c>
      <c r="F672" s="4"/>
      <c r="G672" s="4"/>
      <c r="H672" s="4"/>
      <c r="I672" s="4" t="s">
        <v>1052</v>
      </c>
    </row>
    <row r="673" ht="15.75" customHeight="1">
      <c r="A673" s="4" t="s">
        <v>2420</v>
      </c>
      <c r="B673" s="13">
        <v>46043.7587268519</v>
      </c>
      <c r="C673" s="4" t="s">
        <v>2421</v>
      </c>
      <c r="D673" s="4" t="s">
        <v>1086</v>
      </c>
      <c r="E673" s="4" t="s">
        <v>1064</v>
      </c>
      <c r="F673" s="4"/>
      <c r="G673" s="4"/>
      <c r="H673" s="4"/>
      <c r="I673" s="4" t="s">
        <v>1034</v>
      </c>
    </row>
    <row r="674" ht="15.75" customHeight="1">
      <c r="A674" s="4" t="s">
        <v>2422</v>
      </c>
      <c r="B674" s="13">
        <v>46028.7855439815</v>
      </c>
      <c r="C674" s="4" t="s">
        <v>2423</v>
      </c>
      <c r="D674" s="4" t="s">
        <v>1081</v>
      </c>
      <c r="E674" s="4" t="s">
        <v>1064</v>
      </c>
      <c r="F674" s="4"/>
      <c r="G674" s="4"/>
      <c r="H674" s="4"/>
      <c r="I674" s="4" t="s">
        <v>1048</v>
      </c>
    </row>
    <row r="675" ht="15.75" customHeight="1">
      <c r="A675" s="4" t="s">
        <v>2424</v>
      </c>
      <c r="B675" s="13">
        <v>46023.8164814815</v>
      </c>
      <c r="C675" s="4" t="s">
        <v>2425</v>
      </c>
      <c r="D675" s="4" t="s">
        <v>1086</v>
      </c>
      <c r="E675" s="4" t="s">
        <v>1064</v>
      </c>
      <c r="F675" s="4"/>
      <c r="G675" s="4"/>
      <c r="H675" s="4"/>
      <c r="I675" s="4" t="s">
        <v>1028</v>
      </c>
    </row>
    <row r="676" ht="15.75" customHeight="1">
      <c r="A676" s="4" t="s">
        <v>2426</v>
      </c>
      <c r="B676" s="13">
        <v>46121.3774074074</v>
      </c>
      <c r="C676" s="4" t="s">
        <v>2427</v>
      </c>
      <c r="D676" s="4" t="s">
        <v>1071</v>
      </c>
      <c r="E676" s="4" t="s">
        <v>1119</v>
      </c>
      <c r="F676" s="4"/>
      <c r="G676" s="4"/>
      <c r="H676" s="4"/>
      <c r="I676" s="4" t="s">
        <v>1035</v>
      </c>
    </row>
    <row r="677" ht="15.75" customHeight="1">
      <c r="A677" s="4" t="s">
        <v>2428</v>
      </c>
      <c r="B677" s="13">
        <v>46054.6332638889</v>
      </c>
      <c r="C677" s="4" t="s">
        <v>2429</v>
      </c>
      <c r="D677" s="4" t="s">
        <v>1075</v>
      </c>
      <c r="E677" s="4" t="s">
        <v>1064</v>
      </c>
      <c r="F677" s="4"/>
      <c r="G677" s="4"/>
      <c r="H677" s="4"/>
      <c r="I677" s="4" t="s">
        <v>1031</v>
      </c>
    </row>
    <row r="678" ht="15.75" customHeight="1">
      <c r="A678" s="4" t="s">
        <v>2430</v>
      </c>
      <c r="B678" s="13">
        <v>46124.592962963</v>
      </c>
      <c r="C678" s="4" t="s">
        <v>2431</v>
      </c>
      <c r="D678" s="4" t="s">
        <v>1081</v>
      </c>
      <c r="E678" s="4" t="s">
        <v>1064</v>
      </c>
      <c r="F678" s="4"/>
      <c r="G678" s="4"/>
      <c r="H678" s="4"/>
      <c r="I678" s="4" t="s">
        <v>1048</v>
      </c>
    </row>
    <row r="679" ht="15.75" customHeight="1">
      <c r="A679" s="4" t="s">
        <v>2432</v>
      </c>
      <c r="B679" s="13">
        <v>46104.4976851852</v>
      </c>
      <c r="C679" s="4" t="s">
        <v>2433</v>
      </c>
      <c r="D679" s="4" t="s">
        <v>1063</v>
      </c>
      <c r="E679" s="4" t="s">
        <v>1064</v>
      </c>
      <c r="F679" s="4"/>
      <c r="G679" s="4" t="s">
        <v>190</v>
      </c>
      <c r="H679" s="4"/>
      <c r="I679" s="4" t="s">
        <v>1052</v>
      </c>
    </row>
    <row r="680" ht="15.75" customHeight="1">
      <c r="A680" s="4" t="s">
        <v>2434</v>
      </c>
      <c r="B680" s="13">
        <v>46093.7424305556</v>
      </c>
      <c r="C680" s="4" t="s">
        <v>2435</v>
      </c>
      <c r="D680" s="4" t="s">
        <v>1075</v>
      </c>
      <c r="E680" s="4" t="s">
        <v>1064</v>
      </c>
      <c r="F680" s="4"/>
      <c r="G680" s="4"/>
      <c r="H680" s="4"/>
      <c r="I680" s="4" t="s">
        <v>1048</v>
      </c>
    </row>
    <row r="681" ht="15.75" customHeight="1">
      <c r="A681" s="4" t="s">
        <v>2436</v>
      </c>
      <c r="B681" s="13">
        <v>46048.6566898148</v>
      </c>
      <c r="C681" s="4" t="s">
        <v>2437</v>
      </c>
      <c r="D681" s="4" t="s">
        <v>1128</v>
      </c>
      <c r="E681" s="4" t="s">
        <v>1105</v>
      </c>
      <c r="F681" s="4" t="s">
        <v>153</v>
      </c>
      <c r="G681" s="4"/>
      <c r="H681" s="4"/>
      <c r="I681" s="4" t="s">
        <v>1034</v>
      </c>
    </row>
    <row r="682" ht="15.75" customHeight="1">
      <c r="A682" s="4" t="s">
        <v>2438</v>
      </c>
      <c r="B682" s="13">
        <v>46082.4399305556</v>
      </c>
      <c r="C682" s="4" t="s">
        <v>2439</v>
      </c>
      <c r="D682" s="4" t="s">
        <v>1128</v>
      </c>
      <c r="E682" s="4" t="s">
        <v>1105</v>
      </c>
      <c r="F682" s="4" t="s">
        <v>269</v>
      </c>
      <c r="G682" s="4"/>
      <c r="H682" s="4"/>
      <c r="I682" s="4" t="s">
        <v>1042</v>
      </c>
    </row>
    <row r="683" ht="15.75" customHeight="1">
      <c r="A683" s="4" t="s">
        <v>2440</v>
      </c>
      <c r="B683" s="13">
        <v>46119.8282060185</v>
      </c>
      <c r="C683" s="4" t="s">
        <v>2441</v>
      </c>
      <c r="D683" s="4" t="s">
        <v>1075</v>
      </c>
      <c r="E683" s="4" t="s">
        <v>1064</v>
      </c>
      <c r="F683" s="4"/>
      <c r="G683" s="4"/>
      <c r="H683" s="4"/>
      <c r="I683" s="4" t="s">
        <v>1030</v>
      </c>
    </row>
    <row r="684" ht="15.75" customHeight="1">
      <c r="A684" s="4" t="s">
        <v>2442</v>
      </c>
      <c r="B684" s="13">
        <v>46127.677650463</v>
      </c>
      <c r="C684" s="4" t="s">
        <v>2443</v>
      </c>
      <c r="D684" s="4" t="s">
        <v>1081</v>
      </c>
      <c r="E684" s="4" t="s">
        <v>1064</v>
      </c>
      <c r="F684" s="4"/>
      <c r="G684" s="4"/>
      <c r="H684" s="4"/>
      <c r="I684" s="4" t="s">
        <v>1046</v>
      </c>
    </row>
    <row r="685" ht="15.75" customHeight="1">
      <c r="A685" s="4" t="s">
        <v>2444</v>
      </c>
      <c r="B685" s="13">
        <v>46037.9573148148</v>
      </c>
      <c r="C685" s="4" t="s">
        <v>2445</v>
      </c>
      <c r="D685" s="4" t="s">
        <v>1075</v>
      </c>
      <c r="E685" s="4" t="s">
        <v>1064</v>
      </c>
      <c r="F685" s="4"/>
      <c r="G685" s="4"/>
      <c r="H685" s="4"/>
      <c r="I685" s="4" t="s">
        <v>1036</v>
      </c>
    </row>
    <row r="686" ht="15.75" customHeight="1">
      <c r="A686" s="4" t="s">
        <v>2446</v>
      </c>
      <c r="B686" s="13">
        <v>46105.6491203704</v>
      </c>
      <c r="C686" s="4" t="s">
        <v>2447</v>
      </c>
      <c r="D686" s="4" t="s">
        <v>1163</v>
      </c>
      <c r="E686" s="4" t="s">
        <v>1119</v>
      </c>
      <c r="F686" s="4"/>
      <c r="G686" s="4"/>
      <c r="H686" s="4"/>
      <c r="I686" s="4" t="s">
        <v>1042</v>
      </c>
    </row>
    <row r="687" ht="15.75" customHeight="1">
      <c r="A687" s="4" t="s">
        <v>2448</v>
      </c>
      <c r="B687" s="13">
        <v>46128.5308449074</v>
      </c>
      <c r="C687" s="4" t="s">
        <v>2449</v>
      </c>
      <c r="D687" s="4" t="s">
        <v>1086</v>
      </c>
      <c r="E687" s="4" t="s">
        <v>1064</v>
      </c>
      <c r="F687" s="4"/>
      <c r="G687" s="4"/>
      <c r="H687" s="4"/>
      <c r="I687" s="4" t="s">
        <v>1031</v>
      </c>
    </row>
    <row r="688" ht="15.75" customHeight="1">
      <c r="A688" s="4" t="s">
        <v>2450</v>
      </c>
      <c r="B688" s="13">
        <v>46101.8172800926</v>
      </c>
      <c r="C688" s="4" t="s">
        <v>2451</v>
      </c>
      <c r="D688" s="4" t="s">
        <v>1128</v>
      </c>
      <c r="E688" s="4" t="s">
        <v>1105</v>
      </c>
      <c r="F688" s="4" t="s">
        <v>234</v>
      </c>
      <c r="G688" s="4"/>
      <c r="H688" s="4"/>
      <c r="I688" s="4" t="s">
        <v>1036</v>
      </c>
    </row>
    <row r="689" ht="15.75" customHeight="1">
      <c r="A689" s="4" t="s">
        <v>2452</v>
      </c>
      <c r="B689" s="13">
        <v>46043.7640509259</v>
      </c>
      <c r="C689" s="4" t="s">
        <v>2453</v>
      </c>
      <c r="D689" s="4" t="s">
        <v>1071</v>
      </c>
      <c r="E689" s="4" t="s">
        <v>1119</v>
      </c>
      <c r="F689" s="4"/>
      <c r="G689" s="4"/>
      <c r="H689" s="4"/>
      <c r="I689" s="4" t="s">
        <v>1035</v>
      </c>
    </row>
    <row r="690" ht="15.75" customHeight="1">
      <c r="A690" s="4" t="s">
        <v>2454</v>
      </c>
      <c r="B690" s="13">
        <v>46117.7473148148</v>
      </c>
      <c r="C690" s="4" t="s">
        <v>2455</v>
      </c>
      <c r="D690" s="4" t="s">
        <v>1093</v>
      </c>
      <c r="E690" s="4" t="s">
        <v>1064</v>
      </c>
      <c r="F690" s="4"/>
      <c r="G690" s="4"/>
      <c r="H690" s="4"/>
      <c r="I690" s="4" t="s">
        <v>1028</v>
      </c>
    </row>
    <row r="691" ht="15.75" customHeight="1">
      <c r="A691" s="4" t="s">
        <v>2456</v>
      </c>
      <c r="B691" s="13">
        <v>46041.8941782407</v>
      </c>
      <c r="C691" s="4" t="s">
        <v>2457</v>
      </c>
      <c r="D691" s="4" t="s">
        <v>1093</v>
      </c>
      <c r="E691" s="4" t="s">
        <v>1064</v>
      </c>
      <c r="F691" s="4"/>
      <c r="G691" s="4"/>
      <c r="H691" s="4"/>
      <c r="I691" s="4" t="s">
        <v>1036</v>
      </c>
    </row>
    <row r="692" ht="15.75" customHeight="1">
      <c r="A692" s="4" t="s">
        <v>2458</v>
      </c>
      <c r="B692" s="13">
        <v>46085.3576388889</v>
      </c>
      <c r="C692" s="4" t="s">
        <v>2459</v>
      </c>
      <c r="D692" s="4" t="s">
        <v>1075</v>
      </c>
      <c r="E692" s="4" t="s">
        <v>1064</v>
      </c>
      <c r="F692" s="4"/>
      <c r="G692" s="4"/>
      <c r="H692" s="4"/>
      <c r="I692" s="4" t="s">
        <v>1028</v>
      </c>
    </row>
    <row r="693" ht="15.75" customHeight="1">
      <c r="A693" s="4" t="s">
        <v>2460</v>
      </c>
      <c r="B693" s="13">
        <v>46055.8219791667</v>
      </c>
      <c r="C693" s="4" t="s">
        <v>2461</v>
      </c>
      <c r="D693" s="4" t="s">
        <v>1093</v>
      </c>
      <c r="E693" s="4" t="s">
        <v>1064</v>
      </c>
      <c r="F693" s="4"/>
      <c r="G693" s="4"/>
      <c r="H693" s="4"/>
      <c r="I693" s="4" t="s">
        <v>1048</v>
      </c>
    </row>
    <row r="694" ht="15.75" customHeight="1">
      <c r="A694" s="4" t="s">
        <v>2462</v>
      </c>
      <c r="B694" s="13">
        <v>46125.7134953704</v>
      </c>
      <c r="C694" s="4" t="s">
        <v>2463</v>
      </c>
      <c r="D694" s="4" t="s">
        <v>1110</v>
      </c>
      <c r="E694" s="4" t="s">
        <v>1064</v>
      </c>
      <c r="F694" s="4"/>
      <c r="G694" s="4" t="s">
        <v>93</v>
      </c>
      <c r="H694" s="10">
        <v>71.73</v>
      </c>
      <c r="I694" s="4" t="s">
        <v>1039</v>
      </c>
    </row>
    <row r="695" ht="15.75" customHeight="1">
      <c r="A695" s="4" t="s">
        <v>2464</v>
      </c>
      <c r="B695" s="13">
        <v>46091.4752083333</v>
      </c>
      <c r="C695" s="4" t="s">
        <v>2465</v>
      </c>
      <c r="D695" s="4" t="s">
        <v>1071</v>
      </c>
      <c r="E695" s="4" t="s">
        <v>1072</v>
      </c>
      <c r="F695" s="4"/>
      <c r="G695" s="4"/>
      <c r="H695" s="4"/>
      <c r="I695" s="4" t="s">
        <v>1035</v>
      </c>
    </row>
    <row r="696" ht="15.75" customHeight="1">
      <c r="A696" s="4" t="s">
        <v>2466</v>
      </c>
      <c r="B696" s="13">
        <v>46044.8722222222</v>
      </c>
      <c r="C696" s="4" t="s">
        <v>2467</v>
      </c>
      <c r="D696" s="4" t="s">
        <v>1071</v>
      </c>
      <c r="E696" s="4" t="s">
        <v>1072</v>
      </c>
      <c r="F696" s="4"/>
      <c r="G696" s="4"/>
      <c r="H696" s="4"/>
      <c r="I696" s="4" t="s">
        <v>1046</v>
      </c>
    </row>
    <row r="697" ht="15.75" customHeight="1">
      <c r="A697" s="4" t="s">
        <v>2468</v>
      </c>
      <c r="B697" s="13">
        <v>46073.8462384259</v>
      </c>
      <c r="C697" s="4" t="s">
        <v>2469</v>
      </c>
      <c r="D697" s="4" t="s">
        <v>1089</v>
      </c>
      <c r="E697" s="4" t="s">
        <v>1105</v>
      </c>
      <c r="F697" s="4" t="s">
        <v>162</v>
      </c>
      <c r="G697" s="4"/>
      <c r="H697" s="4"/>
      <c r="I697" s="4" t="s">
        <v>1034</v>
      </c>
    </row>
    <row r="698" ht="15.75" customHeight="1">
      <c r="A698" s="4" t="s">
        <v>2470</v>
      </c>
      <c r="B698" s="13">
        <v>46036.6254050926</v>
      </c>
      <c r="C698" s="4" t="s">
        <v>2471</v>
      </c>
      <c r="D698" s="4" t="s">
        <v>1163</v>
      </c>
      <c r="E698" s="4" t="s">
        <v>1119</v>
      </c>
      <c r="F698" s="4"/>
      <c r="G698" s="4"/>
      <c r="H698" s="4"/>
      <c r="I698" s="4" t="s">
        <v>1034</v>
      </c>
    </row>
    <row r="699" ht="15.75" customHeight="1">
      <c r="A699" s="4" t="s">
        <v>2472</v>
      </c>
      <c r="B699" s="13">
        <v>46062.6525231482</v>
      </c>
      <c r="C699" s="4" t="s">
        <v>2473</v>
      </c>
      <c r="D699" s="4" t="s">
        <v>1093</v>
      </c>
      <c r="E699" s="4" t="s">
        <v>1064</v>
      </c>
      <c r="F699" s="4"/>
      <c r="G699" s="4"/>
      <c r="H699" s="4"/>
      <c r="I699" s="4" t="s">
        <v>1048</v>
      </c>
    </row>
    <row r="700" ht="15.75" customHeight="1">
      <c r="A700" s="4" t="s">
        <v>2474</v>
      </c>
      <c r="B700" s="13">
        <v>46076.6251041667</v>
      </c>
      <c r="C700" s="4" t="s">
        <v>2475</v>
      </c>
      <c r="D700" s="4" t="s">
        <v>1063</v>
      </c>
      <c r="E700" s="4" t="s">
        <v>1064</v>
      </c>
      <c r="F700" s="4"/>
      <c r="G700" s="4" t="s">
        <v>144</v>
      </c>
      <c r="H700" s="4"/>
      <c r="I700" s="4" t="s">
        <v>1052</v>
      </c>
    </row>
    <row r="701" ht="15.75" customHeight="1">
      <c r="A701" s="4" t="s">
        <v>2476</v>
      </c>
      <c r="B701" s="13">
        <v>46109.8238888889</v>
      </c>
      <c r="C701" s="4" t="s">
        <v>2477</v>
      </c>
      <c r="D701" s="4" t="s">
        <v>1089</v>
      </c>
      <c r="E701" s="4" t="s">
        <v>1090</v>
      </c>
      <c r="F701" s="4" t="s">
        <v>771</v>
      </c>
      <c r="G701" s="4"/>
      <c r="H701" s="4"/>
      <c r="I701" s="4" t="s">
        <v>1034</v>
      </c>
    </row>
    <row r="702" ht="15.75" customHeight="1">
      <c r="A702" s="4" t="s">
        <v>2478</v>
      </c>
      <c r="B702" s="13">
        <v>46060.4828240741</v>
      </c>
      <c r="C702" s="4" t="s">
        <v>2479</v>
      </c>
      <c r="D702" s="4" t="s">
        <v>1075</v>
      </c>
      <c r="E702" s="4" t="s">
        <v>1064</v>
      </c>
      <c r="F702" s="4"/>
      <c r="G702" s="4"/>
      <c r="H702" s="4"/>
      <c r="I702" s="4" t="s">
        <v>1028</v>
      </c>
    </row>
    <row r="703" ht="15.75" customHeight="1">
      <c r="A703" s="4" t="s">
        <v>2480</v>
      </c>
      <c r="B703" s="13">
        <v>46078.9417013889</v>
      </c>
      <c r="C703" s="4" t="s">
        <v>2481</v>
      </c>
      <c r="D703" s="4" t="s">
        <v>1078</v>
      </c>
      <c r="E703" s="4" t="s">
        <v>1064</v>
      </c>
      <c r="F703" s="4"/>
      <c r="G703" s="4" t="s">
        <v>190</v>
      </c>
      <c r="H703" s="10">
        <v>105.87</v>
      </c>
      <c r="I703" s="4" t="s">
        <v>427</v>
      </c>
    </row>
    <row r="704" ht="15.75" customHeight="1">
      <c r="A704" s="4" t="s">
        <v>2482</v>
      </c>
      <c r="B704" s="13">
        <v>46105.375775463</v>
      </c>
      <c r="C704" s="4" t="s">
        <v>2483</v>
      </c>
      <c r="D704" s="4" t="s">
        <v>1075</v>
      </c>
      <c r="E704" s="4" t="s">
        <v>1064</v>
      </c>
      <c r="F704" s="4"/>
      <c r="G704" s="4"/>
      <c r="H704" s="4"/>
      <c r="I704" s="4" t="s">
        <v>1042</v>
      </c>
    </row>
    <row r="705" ht="15.75" customHeight="1">
      <c r="A705" s="4" t="s">
        <v>2484</v>
      </c>
      <c r="B705" s="13">
        <v>46057.721712963</v>
      </c>
      <c r="C705" s="4" t="s">
        <v>2485</v>
      </c>
      <c r="D705" s="4" t="s">
        <v>1110</v>
      </c>
      <c r="E705" s="4" t="s">
        <v>1064</v>
      </c>
      <c r="F705" s="4"/>
      <c r="G705" s="4" t="s">
        <v>137</v>
      </c>
      <c r="H705" s="10">
        <v>86.14</v>
      </c>
      <c r="I705" s="4" t="s">
        <v>1034</v>
      </c>
    </row>
    <row r="706" ht="15.75" customHeight="1">
      <c r="A706" s="4" t="s">
        <v>2486</v>
      </c>
      <c r="B706" s="13">
        <v>46094.8701157407</v>
      </c>
      <c r="C706" s="4" t="s">
        <v>2487</v>
      </c>
      <c r="D706" s="4" t="s">
        <v>1075</v>
      </c>
      <c r="E706" s="4" t="s">
        <v>1064</v>
      </c>
      <c r="F706" s="4"/>
      <c r="G706" s="4"/>
      <c r="H706" s="4"/>
      <c r="I706" s="4" t="s">
        <v>427</v>
      </c>
    </row>
    <row r="707" ht="15.75" customHeight="1">
      <c r="A707" s="4" t="s">
        <v>2488</v>
      </c>
      <c r="B707" s="13">
        <v>46037.7905324074</v>
      </c>
      <c r="C707" s="4" t="s">
        <v>2489</v>
      </c>
      <c r="D707" s="4" t="s">
        <v>1128</v>
      </c>
      <c r="E707" s="4" t="s">
        <v>1105</v>
      </c>
      <c r="F707" s="4" t="s">
        <v>214</v>
      </c>
      <c r="G707" s="4"/>
      <c r="H707" s="4"/>
      <c r="I707" s="4" t="s">
        <v>1035</v>
      </c>
    </row>
    <row r="708" ht="15.75" customHeight="1">
      <c r="A708" s="4" t="s">
        <v>2490</v>
      </c>
      <c r="B708" s="13">
        <v>46046.5469675926</v>
      </c>
      <c r="C708" s="4" t="s">
        <v>2491</v>
      </c>
      <c r="D708" s="4" t="s">
        <v>1128</v>
      </c>
      <c r="E708" s="4" t="s">
        <v>1090</v>
      </c>
      <c r="F708" s="4" t="s">
        <v>792</v>
      </c>
      <c r="G708" s="4"/>
      <c r="H708" s="4"/>
      <c r="I708" s="4" t="s">
        <v>1046</v>
      </c>
    </row>
    <row r="709" ht="15.75" customHeight="1">
      <c r="A709" s="4" t="s">
        <v>2492</v>
      </c>
      <c r="B709" s="13">
        <v>46056.971875</v>
      </c>
      <c r="C709" s="4" t="s">
        <v>2493</v>
      </c>
      <c r="D709" s="4" t="s">
        <v>1089</v>
      </c>
      <c r="E709" s="4" t="s">
        <v>1090</v>
      </c>
      <c r="F709" s="4" t="s">
        <v>796</v>
      </c>
      <c r="G709" s="4"/>
      <c r="H709" s="4"/>
      <c r="I709" s="4" t="s">
        <v>1036</v>
      </c>
    </row>
    <row r="710" ht="15.75" customHeight="1">
      <c r="A710" s="4" t="s">
        <v>2494</v>
      </c>
      <c r="B710" s="13">
        <v>46099.8890046296</v>
      </c>
      <c r="C710" s="4" t="s">
        <v>2495</v>
      </c>
      <c r="D710" s="4" t="s">
        <v>1110</v>
      </c>
      <c r="E710" s="4" t="s">
        <v>1064</v>
      </c>
      <c r="F710" s="4"/>
      <c r="G710" s="4" t="s">
        <v>144</v>
      </c>
      <c r="H710" s="10">
        <v>131.69</v>
      </c>
      <c r="I710" s="4" t="s">
        <v>1030</v>
      </c>
    </row>
    <row r="711" ht="15.75" customHeight="1">
      <c r="A711" s="4" t="s">
        <v>2496</v>
      </c>
      <c r="B711" s="13">
        <v>46059.7821990741</v>
      </c>
      <c r="C711" s="4" t="s">
        <v>2497</v>
      </c>
      <c r="D711" s="4" t="s">
        <v>1128</v>
      </c>
      <c r="E711" s="4" t="s">
        <v>1090</v>
      </c>
      <c r="F711" s="4" t="s">
        <v>813</v>
      </c>
      <c r="G711" s="4"/>
      <c r="H711" s="4"/>
      <c r="I711" s="4" t="s">
        <v>1042</v>
      </c>
    </row>
    <row r="712" ht="15.75" customHeight="1">
      <c r="A712" s="4" t="s">
        <v>2498</v>
      </c>
      <c r="B712" s="13">
        <v>46117.6424537037</v>
      </c>
      <c r="C712" s="4" t="s">
        <v>2499</v>
      </c>
      <c r="D712" s="4" t="s">
        <v>1089</v>
      </c>
      <c r="E712" s="4" t="s">
        <v>1090</v>
      </c>
      <c r="F712" s="4" t="s">
        <v>788</v>
      </c>
      <c r="G712" s="4"/>
      <c r="H712" s="4"/>
      <c r="I712" s="4" t="s">
        <v>1035</v>
      </c>
    </row>
    <row r="713" ht="15.75" customHeight="1">
      <c r="A713" s="4" t="s">
        <v>2500</v>
      </c>
      <c r="B713" s="13">
        <v>46041.9383101852</v>
      </c>
      <c r="C713" s="4" t="s">
        <v>2501</v>
      </c>
      <c r="D713" s="4" t="s">
        <v>1081</v>
      </c>
      <c r="E713" s="4" t="s">
        <v>1064</v>
      </c>
      <c r="F713" s="4"/>
      <c r="G713" s="4"/>
      <c r="H713" s="4"/>
      <c r="I713" s="4" t="s">
        <v>1039</v>
      </c>
    </row>
    <row r="714" ht="15.75" customHeight="1">
      <c r="A714" s="4" t="s">
        <v>2502</v>
      </c>
      <c r="B714" s="13">
        <v>46102.8162037037</v>
      </c>
      <c r="C714" s="4" t="s">
        <v>2503</v>
      </c>
      <c r="D714" s="4" t="s">
        <v>1110</v>
      </c>
      <c r="E714" s="4" t="s">
        <v>1064</v>
      </c>
      <c r="F714" s="4"/>
      <c r="G714" s="4" t="s">
        <v>84</v>
      </c>
      <c r="H714" s="10">
        <v>64.11</v>
      </c>
      <c r="I714" s="4" t="s">
        <v>587</v>
      </c>
    </row>
    <row r="715" ht="15.75" customHeight="1">
      <c r="A715" s="4" t="s">
        <v>2504</v>
      </c>
      <c r="B715" s="13">
        <v>46040.7544560185</v>
      </c>
      <c r="C715" s="4" t="s">
        <v>2505</v>
      </c>
      <c r="D715" s="4" t="s">
        <v>1063</v>
      </c>
      <c r="E715" s="4" t="s">
        <v>1064</v>
      </c>
      <c r="F715" s="4"/>
      <c r="G715" s="4" t="s">
        <v>227</v>
      </c>
      <c r="H715" s="4"/>
      <c r="I715" s="4" t="s">
        <v>1046</v>
      </c>
    </row>
    <row r="716" ht="15.75" customHeight="1">
      <c r="A716" s="4" t="s">
        <v>2506</v>
      </c>
      <c r="B716" s="13">
        <v>46030.7903125</v>
      </c>
      <c r="C716" s="4" t="s">
        <v>2507</v>
      </c>
      <c r="D716" s="4" t="s">
        <v>1104</v>
      </c>
      <c r="E716" s="4" t="s">
        <v>1105</v>
      </c>
      <c r="F716" s="4" t="s">
        <v>218</v>
      </c>
      <c r="G716" s="4"/>
      <c r="H716" s="4"/>
      <c r="I716" s="4" t="s">
        <v>1046</v>
      </c>
    </row>
    <row r="717" ht="15.75" customHeight="1">
      <c r="A717" s="4" t="s">
        <v>2508</v>
      </c>
      <c r="B717" s="13">
        <v>46057.9686111111</v>
      </c>
      <c r="C717" s="4" t="s">
        <v>2509</v>
      </c>
      <c r="D717" s="4" t="s">
        <v>1078</v>
      </c>
      <c r="E717" s="4" t="s">
        <v>1064</v>
      </c>
      <c r="F717" s="4"/>
      <c r="G717" s="4" t="s">
        <v>69</v>
      </c>
      <c r="H717" s="10">
        <v>160.07</v>
      </c>
      <c r="I717" s="4" t="s">
        <v>1039</v>
      </c>
    </row>
    <row r="718" ht="15.75" customHeight="1">
      <c r="A718" s="4" t="s">
        <v>2510</v>
      </c>
      <c r="B718" s="13">
        <v>46132.7138078704</v>
      </c>
      <c r="C718" s="4" t="s">
        <v>2511</v>
      </c>
      <c r="D718" s="4" t="s">
        <v>1086</v>
      </c>
      <c r="E718" s="4" t="s">
        <v>1064</v>
      </c>
      <c r="F718" s="4"/>
      <c r="G718" s="4"/>
      <c r="H718" s="4"/>
      <c r="I718" s="4" t="s">
        <v>1039</v>
      </c>
    </row>
    <row r="719" ht="15.75" customHeight="1">
      <c r="A719" s="4" t="s">
        <v>2512</v>
      </c>
      <c r="B719" s="13">
        <v>46081.5946527778</v>
      </c>
      <c r="C719" s="4" t="s">
        <v>2513</v>
      </c>
      <c r="D719" s="4" t="s">
        <v>1071</v>
      </c>
      <c r="E719" s="4" t="s">
        <v>1072</v>
      </c>
      <c r="F719" s="4"/>
      <c r="G719" s="4"/>
      <c r="H719" s="4"/>
      <c r="I719" s="4" t="s">
        <v>1048</v>
      </c>
    </row>
    <row r="720" ht="15.75" customHeight="1">
      <c r="A720" s="4" t="s">
        <v>2514</v>
      </c>
      <c r="B720" s="13">
        <v>46051.5885763889</v>
      </c>
      <c r="C720" s="4" t="s">
        <v>2515</v>
      </c>
      <c r="D720" s="4" t="s">
        <v>1089</v>
      </c>
      <c r="E720" s="4" t="s">
        <v>1105</v>
      </c>
      <c r="F720" s="4" t="s">
        <v>269</v>
      </c>
      <c r="G720" s="4"/>
      <c r="H720" s="4"/>
      <c r="I720" s="4" t="s">
        <v>1048</v>
      </c>
    </row>
    <row r="721" ht="15.75" customHeight="1">
      <c r="A721" s="4" t="s">
        <v>2516</v>
      </c>
      <c r="B721" s="13">
        <v>46046.9159953704</v>
      </c>
      <c r="C721" s="4" t="s">
        <v>2517</v>
      </c>
      <c r="D721" s="4" t="s">
        <v>1071</v>
      </c>
      <c r="E721" s="4" t="s">
        <v>1119</v>
      </c>
      <c r="F721" s="4"/>
      <c r="G721" s="4"/>
      <c r="H721" s="4"/>
      <c r="I721" s="4" t="s">
        <v>1048</v>
      </c>
    </row>
    <row r="722" ht="15.75" customHeight="1">
      <c r="A722" s="4" t="s">
        <v>2518</v>
      </c>
      <c r="B722" s="13">
        <v>46068.5628935185</v>
      </c>
      <c r="C722" s="4" t="s">
        <v>2519</v>
      </c>
      <c r="D722" s="4" t="s">
        <v>1104</v>
      </c>
      <c r="E722" s="4" t="s">
        <v>1105</v>
      </c>
      <c r="F722" s="4" t="s">
        <v>132</v>
      </c>
      <c r="G722" s="4"/>
      <c r="H722" s="4"/>
      <c r="I722" s="4" t="s">
        <v>1034</v>
      </c>
    </row>
    <row r="723" ht="15.75" customHeight="1">
      <c r="A723" s="4" t="s">
        <v>2520</v>
      </c>
      <c r="B723" s="13">
        <v>46031.7577199074</v>
      </c>
      <c r="C723" s="4" t="s">
        <v>2521</v>
      </c>
      <c r="D723" s="4" t="s">
        <v>1081</v>
      </c>
      <c r="E723" s="4" t="s">
        <v>1064</v>
      </c>
      <c r="F723" s="4"/>
      <c r="G723" s="4"/>
      <c r="H723" s="4"/>
      <c r="I723" s="4" t="s">
        <v>1028</v>
      </c>
    </row>
    <row r="724" ht="15.75" customHeight="1">
      <c r="A724" s="4" t="s">
        <v>2522</v>
      </c>
      <c r="B724" s="13">
        <v>46064.6464236111</v>
      </c>
      <c r="C724" s="4" t="s">
        <v>2523</v>
      </c>
      <c r="D724" s="4" t="s">
        <v>1110</v>
      </c>
      <c r="E724" s="4" t="s">
        <v>1064</v>
      </c>
      <c r="F724" s="4"/>
      <c r="G724" s="4" t="s">
        <v>190</v>
      </c>
      <c r="H724" s="10">
        <v>103.52</v>
      </c>
      <c r="I724" s="4" t="s">
        <v>1028</v>
      </c>
    </row>
    <row r="725" ht="15.75" customHeight="1">
      <c r="A725" s="4" t="s">
        <v>2524</v>
      </c>
      <c r="B725" s="13">
        <v>46047.720775463</v>
      </c>
      <c r="C725" s="4" t="s">
        <v>2525</v>
      </c>
      <c r="D725" s="4" t="s">
        <v>1093</v>
      </c>
      <c r="E725" s="4" t="s">
        <v>1064</v>
      </c>
      <c r="F725" s="4"/>
      <c r="G725" s="4"/>
      <c r="H725" s="4"/>
      <c r="I725" s="4" t="s">
        <v>1046</v>
      </c>
    </row>
    <row r="726" ht="15.75" customHeight="1">
      <c r="A726" s="4" t="s">
        <v>2526</v>
      </c>
      <c r="B726" s="13">
        <v>46071.5679513889</v>
      </c>
      <c r="C726" s="4" t="s">
        <v>2527</v>
      </c>
      <c r="D726" s="4" t="s">
        <v>1086</v>
      </c>
      <c r="E726" s="4" t="s">
        <v>1064</v>
      </c>
      <c r="F726" s="4"/>
      <c r="G726" s="4"/>
      <c r="H726" s="4"/>
      <c r="I726" s="4" t="s">
        <v>1052</v>
      </c>
    </row>
    <row r="727" ht="15.75" customHeight="1">
      <c r="A727" s="4" t="s">
        <v>2528</v>
      </c>
      <c r="B727" s="13">
        <v>46127.8393171296</v>
      </c>
      <c r="C727" s="4" t="s">
        <v>2529</v>
      </c>
      <c r="D727" s="4" t="s">
        <v>1110</v>
      </c>
      <c r="E727" s="4" t="s">
        <v>1064</v>
      </c>
      <c r="F727" s="4"/>
      <c r="G727" s="4" t="s">
        <v>61</v>
      </c>
      <c r="H727" s="10">
        <v>83.54</v>
      </c>
      <c r="I727" s="4" t="s">
        <v>1034</v>
      </c>
    </row>
    <row r="728" ht="15.75" customHeight="1">
      <c r="A728" s="4" t="s">
        <v>2530</v>
      </c>
      <c r="B728" s="13">
        <v>46101.363912037</v>
      </c>
      <c r="C728" s="4" t="s">
        <v>2531</v>
      </c>
      <c r="D728" s="4" t="s">
        <v>1089</v>
      </c>
      <c r="E728" s="4" t="s">
        <v>1105</v>
      </c>
      <c r="F728" s="4" t="s">
        <v>153</v>
      </c>
      <c r="G728" s="4"/>
      <c r="H728" s="4"/>
      <c r="I728" s="4" t="s">
        <v>1036</v>
      </c>
    </row>
    <row r="729" ht="15.75" customHeight="1">
      <c r="A729" s="4" t="s">
        <v>2532</v>
      </c>
      <c r="B729" s="13">
        <v>46091.6624884259</v>
      </c>
      <c r="C729" s="4" t="s">
        <v>2533</v>
      </c>
      <c r="D729" s="4" t="s">
        <v>1089</v>
      </c>
      <c r="E729" s="4" t="s">
        <v>1105</v>
      </c>
      <c r="F729" s="4" t="s">
        <v>209</v>
      </c>
      <c r="G729" s="4"/>
      <c r="H729" s="4"/>
      <c r="I729" s="4" t="s">
        <v>1028</v>
      </c>
    </row>
    <row r="730" ht="15.75" customHeight="1">
      <c r="A730" s="4" t="s">
        <v>2534</v>
      </c>
      <c r="B730" s="13">
        <v>46060.7157523148</v>
      </c>
      <c r="C730" s="4" t="s">
        <v>2535</v>
      </c>
      <c r="D730" s="4" t="s">
        <v>1163</v>
      </c>
      <c r="E730" s="4" t="s">
        <v>1119</v>
      </c>
      <c r="F730" s="4"/>
      <c r="G730" s="4"/>
      <c r="H730" s="4"/>
      <c r="I730" s="4" t="s">
        <v>1050</v>
      </c>
    </row>
    <row r="731" ht="15.75" customHeight="1">
      <c r="A731" s="4" t="s">
        <v>2536</v>
      </c>
      <c r="B731" s="13">
        <v>46119.9426273148</v>
      </c>
      <c r="C731" s="4" t="s">
        <v>2537</v>
      </c>
      <c r="D731" s="4" t="s">
        <v>1071</v>
      </c>
      <c r="E731" s="4" t="s">
        <v>1119</v>
      </c>
      <c r="F731" s="4"/>
      <c r="G731" s="4"/>
      <c r="H731" s="4"/>
      <c r="I731" s="4" t="s">
        <v>1046</v>
      </c>
    </row>
    <row r="732" ht="15.75" customHeight="1">
      <c r="A732" s="4" t="s">
        <v>2538</v>
      </c>
      <c r="B732" s="13">
        <v>46104.8253819444</v>
      </c>
      <c r="C732" s="4" t="s">
        <v>2539</v>
      </c>
      <c r="D732" s="4" t="s">
        <v>1063</v>
      </c>
      <c r="E732" s="4" t="s">
        <v>1064</v>
      </c>
      <c r="F732" s="4"/>
      <c r="G732" s="4" t="s">
        <v>100</v>
      </c>
      <c r="H732" s="4"/>
      <c r="I732" s="4" t="s">
        <v>427</v>
      </c>
    </row>
    <row r="733" ht="15.75" customHeight="1">
      <c r="A733" s="4" t="s">
        <v>2540</v>
      </c>
      <c r="B733" s="13">
        <v>46032.9497337963</v>
      </c>
      <c r="C733" s="4" t="s">
        <v>2541</v>
      </c>
      <c r="D733" s="4" t="s">
        <v>1128</v>
      </c>
      <c r="E733" s="4" t="s">
        <v>1090</v>
      </c>
      <c r="F733" s="4" t="s">
        <v>827</v>
      </c>
      <c r="G733" s="4"/>
      <c r="H733" s="4"/>
      <c r="I733" s="4" t="s">
        <v>1030</v>
      </c>
    </row>
    <row r="734" ht="15.75" customHeight="1">
      <c r="A734" s="4" t="s">
        <v>2542</v>
      </c>
      <c r="B734" s="13">
        <v>46061.6115509259</v>
      </c>
      <c r="C734" s="4" t="s">
        <v>2543</v>
      </c>
      <c r="D734" s="4" t="s">
        <v>1128</v>
      </c>
      <c r="E734" s="4" t="s">
        <v>1090</v>
      </c>
      <c r="F734" s="4" t="s">
        <v>807</v>
      </c>
      <c r="G734" s="4"/>
      <c r="H734" s="4"/>
      <c r="I734" s="4" t="s">
        <v>1050</v>
      </c>
    </row>
    <row r="735" ht="15.75" customHeight="1">
      <c r="A735" s="4" t="s">
        <v>2544</v>
      </c>
      <c r="B735" s="13">
        <v>46065.4932523148</v>
      </c>
      <c r="C735" s="4" t="s">
        <v>2545</v>
      </c>
      <c r="D735" s="4" t="s">
        <v>1078</v>
      </c>
      <c r="E735" s="4" t="s">
        <v>1064</v>
      </c>
      <c r="F735" s="4"/>
      <c r="G735" s="4" t="s">
        <v>77</v>
      </c>
      <c r="H735" s="10">
        <v>177.16</v>
      </c>
      <c r="I735" s="4" t="s">
        <v>1030</v>
      </c>
    </row>
    <row r="736" ht="15.75" customHeight="1">
      <c r="A736" s="4" t="s">
        <v>2546</v>
      </c>
      <c r="B736" s="13">
        <v>46046.6111226852</v>
      </c>
      <c r="C736" s="4" t="s">
        <v>2547</v>
      </c>
      <c r="D736" s="4" t="s">
        <v>1104</v>
      </c>
      <c r="E736" s="4" t="s">
        <v>1105</v>
      </c>
      <c r="F736" s="4" t="s">
        <v>242</v>
      </c>
      <c r="G736" s="4"/>
      <c r="H736" s="4"/>
      <c r="I736" s="4" t="s">
        <v>1030</v>
      </c>
    </row>
    <row r="737" ht="15.75" customHeight="1">
      <c r="A737" s="4" t="s">
        <v>2548</v>
      </c>
      <c r="B737" s="13">
        <v>46096.6524421296</v>
      </c>
      <c r="C737" s="4" t="s">
        <v>2549</v>
      </c>
      <c r="D737" s="4" t="s">
        <v>1104</v>
      </c>
      <c r="E737" s="4" t="s">
        <v>1105</v>
      </c>
      <c r="F737" s="4" t="s">
        <v>63</v>
      </c>
      <c r="G737" s="4"/>
      <c r="H737" s="4"/>
      <c r="I737" s="4" t="s">
        <v>1039</v>
      </c>
    </row>
    <row r="738" ht="15.75" customHeight="1">
      <c r="A738" s="4" t="s">
        <v>2550</v>
      </c>
      <c r="B738" s="13">
        <v>46107.5785416667</v>
      </c>
      <c r="C738" s="4" t="s">
        <v>2551</v>
      </c>
      <c r="D738" s="4" t="s">
        <v>1071</v>
      </c>
      <c r="E738" s="4" t="s">
        <v>1072</v>
      </c>
      <c r="F738" s="4"/>
      <c r="G738" s="4"/>
      <c r="H738" s="4"/>
      <c r="I738" s="4" t="s">
        <v>1048</v>
      </c>
    </row>
    <row r="739" ht="15.75" customHeight="1">
      <c r="A739" s="4" t="s">
        <v>2552</v>
      </c>
      <c r="B739" s="13">
        <v>46077.5936574074</v>
      </c>
      <c r="C739" s="4" t="s">
        <v>2553</v>
      </c>
      <c r="D739" s="4" t="s">
        <v>1075</v>
      </c>
      <c r="E739" s="4" t="s">
        <v>1064</v>
      </c>
      <c r="F739" s="4"/>
      <c r="G739" s="4"/>
      <c r="H739" s="4"/>
      <c r="I739" s="4" t="s">
        <v>1039</v>
      </c>
    </row>
    <row r="740" ht="15.75" customHeight="1">
      <c r="A740" s="4" t="s">
        <v>2554</v>
      </c>
      <c r="B740" s="13">
        <v>46091.3671990741</v>
      </c>
      <c r="C740" s="4" t="s">
        <v>2555</v>
      </c>
      <c r="D740" s="4" t="s">
        <v>1163</v>
      </c>
      <c r="E740" s="4" t="s">
        <v>1072</v>
      </c>
      <c r="F740" s="4"/>
      <c r="G740" s="4"/>
      <c r="H740" s="4"/>
      <c r="I740" s="4" t="s">
        <v>1028</v>
      </c>
    </row>
    <row r="741" ht="15.75" customHeight="1">
      <c r="A741" s="4" t="s">
        <v>2556</v>
      </c>
      <c r="B741" s="13">
        <v>46025.4636111111</v>
      </c>
      <c r="C741" s="4" t="s">
        <v>2557</v>
      </c>
      <c r="D741" s="4" t="s">
        <v>1075</v>
      </c>
      <c r="E741" s="4" t="s">
        <v>1064</v>
      </c>
      <c r="F741" s="4"/>
      <c r="G741" s="4"/>
      <c r="H741" s="4"/>
      <c r="I741" s="4" t="s">
        <v>587</v>
      </c>
    </row>
    <row r="742" ht="15.75" customHeight="1">
      <c r="A742" s="4" t="s">
        <v>2558</v>
      </c>
      <c r="B742" s="13">
        <v>46039.9716203704</v>
      </c>
      <c r="C742" s="4" t="s">
        <v>2559</v>
      </c>
      <c r="D742" s="4" t="s">
        <v>1163</v>
      </c>
      <c r="E742" s="4" t="s">
        <v>1072</v>
      </c>
      <c r="F742" s="4"/>
      <c r="G742" s="4"/>
      <c r="H742" s="4"/>
      <c r="I742" s="4" t="s">
        <v>1036</v>
      </c>
    </row>
    <row r="743" ht="15.75" customHeight="1">
      <c r="A743" s="4" t="s">
        <v>2560</v>
      </c>
      <c r="B743" s="13">
        <v>46111.7865046296</v>
      </c>
      <c r="C743" s="4" t="s">
        <v>2561</v>
      </c>
      <c r="D743" s="4" t="s">
        <v>1089</v>
      </c>
      <c r="E743" s="4" t="s">
        <v>1105</v>
      </c>
      <c r="F743" s="4" t="s">
        <v>79</v>
      </c>
      <c r="G743" s="4"/>
      <c r="H743" s="4"/>
      <c r="I743" s="4" t="s">
        <v>427</v>
      </c>
    </row>
    <row r="744" ht="15.75" customHeight="1">
      <c r="A744" s="4" t="s">
        <v>2562</v>
      </c>
      <c r="B744" s="13">
        <v>46050.9259837963</v>
      </c>
      <c r="C744" s="4" t="s">
        <v>2563</v>
      </c>
      <c r="D744" s="4" t="s">
        <v>1078</v>
      </c>
      <c r="E744" s="4" t="s">
        <v>1064</v>
      </c>
      <c r="F744" s="4"/>
      <c r="G744" s="4" t="s">
        <v>244</v>
      </c>
      <c r="H744" s="10">
        <v>100.4</v>
      </c>
      <c r="I744" s="4" t="s">
        <v>1031</v>
      </c>
    </row>
    <row r="745" ht="15.75" customHeight="1">
      <c r="A745" s="4" t="s">
        <v>2564</v>
      </c>
      <c r="B745" s="13">
        <v>46040.9202893519</v>
      </c>
      <c r="C745" s="4" t="s">
        <v>2565</v>
      </c>
      <c r="D745" s="4" t="s">
        <v>1075</v>
      </c>
      <c r="E745" s="4" t="s">
        <v>1064</v>
      </c>
      <c r="F745" s="4"/>
      <c r="G745" s="4"/>
      <c r="H745" s="4"/>
      <c r="I745" s="4" t="s">
        <v>1036</v>
      </c>
    </row>
    <row r="746" ht="15.75" customHeight="1">
      <c r="A746" s="4" t="s">
        <v>2566</v>
      </c>
      <c r="B746" s="13">
        <v>46049.8026736111</v>
      </c>
      <c r="C746" s="4" t="s">
        <v>2567</v>
      </c>
      <c r="D746" s="4" t="s">
        <v>1110</v>
      </c>
      <c r="E746" s="4" t="s">
        <v>1064</v>
      </c>
      <c r="F746" s="4"/>
      <c r="G746" s="4" t="s">
        <v>93</v>
      </c>
      <c r="H746" s="10">
        <v>143.45</v>
      </c>
      <c r="I746" s="4" t="s">
        <v>587</v>
      </c>
    </row>
    <row r="747" ht="15.75" customHeight="1">
      <c r="A747" s="4" t="s">
        <v>2568</v>
      </c>
      <c r="B747" s="13">
        <v>46034.8196527778</v>
      </c>
      <c r="C747" s="4" t="s">
        <v>2569</v>
      </c>
      <c r="D747" s="4" t="s">
        <v>1075</v>
      </c>
      <c r="E747" s="4" t="s">
        <v>1064</v>
      </c>
      <c r="F747" s="4"/>
      <c r="G747" s="4"/>
      <c r="H747" s="4"/>
      <c r="I747" s="4" t="s">
        <v>587</v>
      </c>
    </row>
    <row r="748" ht="15.75" customHeight="1">
      <c r="A748" s="4" t="s">
        <v>2570</v>
      </c>
      <c r="B748" s="13">
        <v>46128.8441782407</v>
      </c>
      <c r="C748" s="4" t="s">
        <v>2571</v>
      </c>
      <c r="D748" s="4" t="s">
        <v>1075</v>
      </c>
      <c r="E748" s="4" t="s">
        <v>1064</v>
      </c>
      <c r="F748" s="4"/>
      <c r="G748" s="4"/>
      <c r="H748" s="4"/>
      <c r="I748" s="4" t="s">
        <v>1035</v>
      </c>
    </row>
    <row r="749" ht="15.75" customHeight="1">
      <c r="A749" s="4" t="s">
        <v>2572</v>
      </c>
      <c r="B749" s="13">
        <v>46035.8460069444</v>
      </c>
      <c r="C749" s="4" t="s">
        <v>2573</v>
      </c>
      <c r="D749" s="4" t="s">
        <v>1104</v>
      </c>
      <c r="E749" s="4" t="s">
        <v>1090</v>
      </c>
      <c r="F749" s="4" t="s">
        <v>833</v>
      </c>
      <c r="G749" s="4"/>
      <c r="H749" s="4"/>
      <c r="I749" s="4" t="s">
        <v>1052</v>
      </c>
    </row>
    <row r="750" ht="15.75" customHeight="1">
      <c r="A750" s="4" t="s">
        <v>2574</v>
      </c>
      <c r="B750" s="13">
        <v>46085.5618171296</v>
      </c>
      <c r="C750" s="4" t="s">
        <v>2575</v>
      </c>
      <c r="D750" s="4" t="s">
        <v>1093</v>
      </c>
      <c r="E750" s="4" t="s">
        <v>1064</v>
      </c>
      <c r="F750" s="4"/>
      <c r="G750" s="4"/>
      <c r="H750" s="4"/>
      <c r="I750" s="4" t="s">
        <v>1028</v>
      </c>
    </row>
    <row r="751" ht="15.75" customHeight="1">
      <c r="A751" s="4" t="s">
        <v>2576</v>
      </c>
      <c r="B751" s="13">
        <v>46075.348587963</v>
      </c>
      <c r="C751" s="4" t="s">
        <v>2577</v>
      </c>
      <c r="D751" s="4" t="s">
        <v>1075</v>
      </c>
      <c r="E751" s="4" t="s">
        <v>1064</v>
      </c>
      <c r="F751" s="4"/>
      <c r="G751" s="4"/>
      <c r="H751" s="4"/>
      <c r="I751" s="4" t="s">
        <v>1031</v>
      </c>
    </row>
    <row r="752" ht="15.75" customHeight="1">
      <c r="A752" s="4" t="s">
        <v>2578</v>
      </c>
      <c r="B752" s="13">
        <v>46055.4532986111</v>
      </c>
      <c r="C752" s="4" t="s">
        <v>2579</v>
      </c>
      <c r="D752" s="4" t="s">
        <v>1078</v>
      </c>
      <c r="E752" s="4" t="s">
        <v>1064</v>
      </c>
      <c r="F752" s="4"/>
      <c r="G752" s="4" t="s">
        <v>69</v>
      </c>
      <c r="H752" s="10">
        <v>173.51</v>
      </c>
      <c r="I752" s="4" t="s">
        <v>1034</v>
      </c>
    </row>
    <row r="753" ht="15.75" customHeight="1">
      <c r="A753" s="4" t="s">
        <v>2580</v>
      </c>
      <c r="B753" s="13">
        <v>46049.7742476852</v>
      </c>
      <c r="C753" s="4" t="s">
        <v>2581</v>
      </c>
      <c r="D753" s="4" t="s">
        <v>1081</v>
      </c>
      <c r="E753" s="4" t="s">
        <v>1064</v>
      </c>
      <c r="F753" s="4"/>
      <c r="G753" s="4"/>
      <c r="H753" s="4"/>
      <c r="I753" s="4" t="s">
        <v>1034</v>
      </c>
    </row>
    <row r="754" ht="15.75" customHeight="1">
      <c r="A754" s="4" t="s">
        <v>2582</v>
      </c>
      <c r="B754" s="13">
        <v>46027.6129050926</v>
      </c>
      <c r="C754" s="4" t="s">
        <v>2583</v>
      </c>
      <c r="D754" s="4" t="s">
        <v>1104</v>
      </c>
      <c r="E754" s="4" t="s">
        <v>1105</v>
      </c>
      <c r="F754" s="4" t="s">
        <v>121</v>
      </c>
      <c r="G754" s="4"/>
      <c r="H754" s="4"/>
      <c r="I754" s="4" t="s">
        <v>1046</v>
      </c>
    </row>
    <row r="755" ht="15.75" customHeight="1">
      <c r="A755" s="4" t="s">
        <v>2584</v>
      </c>
      <c r="B755" s="13">
        <v>46049.8812384259</v>
      </c>
      <c r="C755" s="4" t="s">
        <v>2585</v>
      </c>
      <c r="D755" s="4" t="s">
        <v>1075</v>
      </c>
      <c r="E755" s="4" t="s">
        <v>1064</v>
      </c>
      <c r="F755" s="4"/>
      <c r="G755" s="4"/>
      <c r="H755" s="4"/>
      <c r="I755" s="4" t="s">
        <v>1028</v>
      </c>
    </row>
    <row r="756" ht="15.75" customHeight="1">
      <c r="A756" s="4" t="s">
        <v>2586</v>
      </c>
      <c r="B756" s="13">
        <v>46081.4818055556</v>
      </c>
      <c r="C756" s="4" t="s">
        <v>2587</v>
      </c>
      <c r="D756" s="4" t="s">
        <v>1078</v>
      </c>
      <c r="E756" s="4" t="s">
        <v>1064</v>
      </c>
      <c r="F756" s="4"/>
      <c r="G756" s="4" t="s">
        <v>112</v>
      </c>
      <c r="H756" s="10">
        <v>168.4</v>
      </c>
      <c r="I756" s="4" t="s">
        <v>1036</v>
      </c>
    </row>
    <row r="757" ht="15.75" customHeight="1">
      <c r="A757" s="4" t="s">
        <v>2588</v>
      </c>
      <c r="B757" s="13">
        <v>46096.3934143519</v>
      </c>
      <c r="C757" s="4" t="s">
        <v>2589</v>
      </c>
      <c r="D757" s="4" t="s">
        <v>1075</v>
      </c>
      <c r="E757" s="4" t="s">
        <v>1064</v>
      </c>
      <c r="F757" s="4"/>
      <c r="G757" s="4"/>
      <c r="H757" s="4"/>
      <c r="I757" s="4" t="s">
        <v>1028</v>
      </c>
    </row>
    <row r="758" ht="15.75" customHeight="1">
      <c r="A758" s="4" t="s">
        <v>2590</v>
      </c>
      <c r="B758" s="13">
        <v>46023.5496759259</v>
      </c>
      <c r="C758" s="4" t="s">
        <v>2591</v>
      </c>
      <c r="D758" s="4" t="s">
        <v>1086</v>
      </c>
      <c r="E758" s="4" t="s">
        <v>1064</v>
      </c>
      <c r="F758" s="4"/>
      <c r="G758" s="4"/>
      <c r="H758" s="4"/>
      <c r="I758" s="4" t="s">
        <v>1046</v>
      </c>
    </row>
    <row r="759" ht="15.75" customHeight="1">
      <c r="A759" s="4" t="s">
        <v>2592</v>
      </c>
      <c r="B759" s="13">
        <v>46063.7971527778</v>
      </c>
      <c r="C759" s="4" t="s">
        <v>2593</v>
      </c>
      <c r="D759" s="4" t="s">
        <v>1078</v>
      </c>
      <c r="E759" s="4" t="s">
        <v>1064</v>
      </c>
      <c r="F759" s="4"/>
      <c r="G759" s="4" t="s">
        <v>232</v>
      </c>
      <c r="H759" s="10">
        <v>155.65</v>
      </c>
      <c r="I759" s="4" t="s">
        <v>1030</v>
      </c>
    </row>
    <row r="760" ht="15.75" customHeight="1">
      <c r="A760" s="4" t="s">
        <v>2594</v>
      </c>
      <c r="B760" s="13">
        <v>46057.5845023148</v>
      </c>
      <c r="C760" s="4" t="s">
        <v>2595</v>
      </c>
      <c r="D760" s="4" t="s">
        <v>1093</v>
      </c>
      <c r="E760" s="4" t="s">
        <v>1064</v>
      </c>
      <c r="F760" s="4"/>
      <c r="G760" s="4"/>
      <c r="H760" s="4"/>
      <c r="I760" s="4" t="s">
        <v>1035</v>
      </c>
    </row>
    <row r="761" ht="15.75" customHeight="1">
      <c r="A761" s="4" t="s">
        <v>2596</v>
      </c>
      <c r="B761" s="13">
        <v>46119.8707523148</v>
      </c>
      <c r="C761" s="4" t="s">
        <v>2597</v>
      </c>
      <c r="D761" s="4" t="s">
        <v>1104</v>
      </c>
      <c r="E761" s="4" t="s">
        <v>1105</v>
      </c>
      <c r="F761" s="4" t="s">
        <v>297</v>
      </c>
      <c r="G761" s="4"/>
      <c r="H761" s="4"/>
      <c r="I761" s="4" t="s">
        <v>1048</v>
      </c>
    </row>
    <row r="762" ht="15.75" customHeight="1">
      <c r="A762" s="4" t="s">
        <v>2598</v>
      </c>
      <c r="B762" s="13">
        <v>46087.9677662037</v>
      </c>
      <c r="C762" s="4" t="s">
        <v>2599</v>
      </c>
      <c r="D762" s="4" t="s">
        <v>1104</v>
      </c>
      <c r="E762" s="4" t="s">
        <v>1090</v>
      </c>
      <c r="F762" s="4" t="s">
        <v>788</v>
      </c>
      <c r="G762" s="4"/>
      <c r="H762" s="4"/>
      <c r="I762" s="4" t="s">
        <v>1039</v>
      </c>
    </row>
    <row r="763" ht="15.75" customHeight="1">
      <c r="A763" s="4" t="s">
        <v>2600</v>
      </c>
      <c r="B763" s="13">
        <v>46050.8463888889</v>
      </c>
      <c r="C763" s="4" t="s">
        <v>2601</v>
      </c>
      <c r="D763" s="4" t="s">
        <v>1110</v>
      </c>
      <c r="E763" s="4" t="s">
        <v>1064</v>
      </c>
      <c r="F763" s="4"/>
      <c r="G763" s="4" t="s">
        <v>126</v>
      </c>
      <c r="H763" s="10">
        <v>180.1</v>
      </c>
      <c r="I763" s="4" t="s">
        <v>1036</v>
      </c>
    </row>
    <row r="764" ht="15.75" customHeight="1">
      <c r="A764" s="4" t="s">
        <v>2602</v>
      </c>
      <c r="B764" s="13">
        <v>46102.47375</v>
      </c>
      <c r="C764" s="4" t="s">
        <v>2603</v>
      </c>
      <c r="D764" s="4" t="s">
        <v>1089</v>
      </c>
      <c r="E764" s="4" t="s">
        <v>1105</v>
      </c>
      <c r="F764" s="4" t="s">
        <v>205</v>
      </c>
      <c r="G764" s="4"/>
      <c r="H764" s="4"/>
      <c r="I764" s="4" t="s">
        <v>427</v>
      </c>
    </row>
    <row r="765" ht="15.75" customHeight="1">
      <c r="A765" s="4" t="s">
        <v>2604</v>
      </c>
      <c r="B765" s="13">
        <v>46056.5437384259</v>
      </c>
      <c r="C765" s="4" t="s">
        <v>2605</v>
      </c>
      <c r="D765" s="4" t="s">
        <v>1063</v>
      </c>
      <c r="E765" s="4" t="s">
        <v>1064</v>
      </c>
      <c r="F765" s="4"/>
      <c r="G765" s="4" t="s">
        <v>227</v>
      </c>
      <c r="H765" s="4"/>
      <c r="I765" s="4" t="s">
        <v>1036</v>
      </c>
    </row>
    <row r="766" ht="15.75" customHeight="1">
      <c r="A766" s="4" t="s">
        <v>2606</v>
      </c>
      <c r="B766" s="13">
        <v>46115.8114467593</v>
      </c>
      <c r="C766" s="4" t="s">
        <v>2607</v>
      </c>
      <c r="D766" s="4" t="s">
        <v>1089</v>
      </c>
      <c r="E766" s="4" t="s">
        <v>1105</v>
      </c>
      <c r="F766" s="4" t="s">
        <v>285</v>
      </c>
      <c r="G766" s="4"/>
      <c r="H766" s="4"/>
      <c r="I766" s="4" t="s">
        <v>1039</v>
      </c>
    </row>
    <row r="767" ht="15.75" customHeight="1">
      <c r="A767" s="4" t="s">
        <v>2608</v>
      </c>
      <c r="B767" s="13">
        <v>46111.67125</v>
      </c>
      <c r="C767" s="4" t="s">
        <v>2609</v>
      </c>
      <c r="D767" s="4" t="s">
        <v>1093</v>
      </c>
      <c r="E767" s="4" t="s">
        <v>1064</v>
      </c>
      <c r="F767" s="4"/>
      <c r="G767" s="4"/>
      <c r="H767" s="4"/>
      <c r="I767" s="4" t="s">
        <v>1052</v>
      </c>
    </row>
    <row r="768" ht="15.75" customHeight="1">
      <c r="A768" s="4" t="s">
        <v>2610</v>
      </c>
      <c r="B768" s="13">
        <v>46105.4192013889</v>
      </c>
      <c r="C768" s="4" t="s">
        <v>2611</v>
      </c>
      <c r="D768" s="4" t="s">
        <v>1163</v>
      </c>
      <c r="E768" s="4" t="s">
        <v>1119</v>
      </c>
      <c r="F768" s="4"/>
      <c r="G768" s="4"/>
      <c r="H768" s="4"/>
      <c r="I768" s="4" t="s">
        <v>427</v>
      </c>
    </row>
    <row r="769" ht="15.75" customHeight="1">
      <c r="A769" s="4" t="s">
        <v>2612</v>
      </c>
      <c r="B769" s="13">
        <v>46092.9177893519</v>
      </c>
      <c r="C769" s="4" t="s">
        <v>2613</v>
      </c>
      <c r="D769" s="4" t="s">
        <v>1078</v>
      </c>
      <c r="E769" s="4" t="s">
        <v>1064</v>
      </c>
      <c r="F769" s="4"/>
      <c r="G769" s="4" t="s">
        <v>107</v>
      </c>
      <c r="H769" s="10">
        <v>158.76</v>
      </c>
      <c r="I769" s="4" t="s">
        <v>1036</v>
      </c>
    </row>
    <row r="770" ht="15.75" customHeight="1">
      <c r="A770" s="4" t="s">
        <v>2614</v>
      </c>
      <c r="B770" s="13">
        <v>46049.5495717593</v>
      </c>
      <c r="C770" s="4" t="s">
        <v>2615</v>
      </c>
      <c r="D770" s="4" t="s">
        <v>1075</v>
      </c>
      <c r="E770" s="4" t="s">
        <v>1064</v>
      </c>
      <c r="F770" s="4"/>
      <c r="G770" s="4"/>
      <c r="H770" s="4"/>
      <c r="I770" s="4" t="s">
        <v>427</v>
      </c>
    </row>
    <row r="771" ht="15.75" customHeight="1">
      <c r="A771" s="4" t="s">
        <v>2616</v>
      </c>
      <c r="B771" s="13">
        <v>46060.3450578704</v>
      </c>
      <c r="C771" s="4" t="s">
        <v>2617</v>
      </c>
      <c r="D771" s="4" t="s">
        <v>1128</v>
      </c>
      <c r="E771" s="4" t="s">
        <v>1105</v>
      </c>
      <c r="F771" s="4" t="s">
        <v>261</v>
      </c>
      <c r="G771" s="4"/>
      <c r="H771" s="4"/>
      <c r="I771" s="4" t="s">
        <v>1042</v>
      </c>
    </row>
    <row r="772" ht="15.75" customHeight="1">
      <c r="A772" s="4" t="s">
        <v>2618</v>
      </c>
      <c r="B772" s="13">
        <v>46047.7253819444</v>
      </c>
      <c r="C772" s="4" t="s">
        <v>2619</v>
      </c>
      <c r="D772" s="4" t="s">
        <v>1089</v>
      </c>
      <c r="E772" s="4" t="s">
        <v>1105</v>
      </c>
      <c r="F772" s="4" t="s">
        <v>54</v>
      </c>
      <c r="G772" s="4"/>
      <c r="H772" s="4"/>
      <c r="I772" s="4" t="s">
        <v>427</v>
      </c>
    </row>
    <row r="773" ht="15.75" customHeight="1">
      <c r="A773" s="4" t="s">
        <v>2620</v>
      </c>
      <c r="B773" s="13">
        <v>46074.9476967593</v>
      </c>
      <c r="C773" s="4" t="s">
        <v>2621</v>
      </c>
      <c r="D773" s="4" t="s">
        <v>1163</v>
      </c>
      <c r="E773" s="4" t="s">
        <v>1072</v>
      </c>
      <c r="F773" s="4"/>
      <c r="G773" s="4"/>
      <c r="H773" s="4"/>
      <c r="I773" s="4" t="s">
        <v>1036</v>
      </c>
    </row>
    <row r="774" ht="15.75" customHeight="1">
      <c r="A774" s="4" t="s">
        <v>2622</v>
      </c>
      <c r="B774" s="13">
        <v>46122.6430208333</v>
      </c>
      <c r="C774" s="4" t="s">
        <v>2623</v>
      </c>
      <c r="D774" s="4" t="s">
        <v>1063</v>
      </c>
      <c r="E774" s="4" t="s">
        <v>1064</v>
      </c>
      <c r="F774" s="4"/>
      <c r="G774" s="4" t="s">
        <v>112</v>
      </c>
      <c r="H774" s="4"/>
      <c r="I774" s="4" t="s">
        <v>1031</v>
      </c>
    </row>
    <row r="775" ht="15.75" customHeight="1">
      <c r="A775" s="4" t="s">
        <v>2624</v>
      </c>
      <c r="B775" s="13">
        <v>46097.3335763889</v>
      </c>
      <c r="C775" s="4" t="s">
        <v>2625</v>
      </c>
      <c r="D775" s="4" t="s">
        <v>1163</v>
      </c>
      <c r="E775" s="4" t="s">
        <v>1072</v>
      </c>
      <c r="F775" s="4"/>
      <c r="G775" s="4"/>
      <c r="H775" s="4"/>
      <c r="I775" s="4" t="s">
        <v>1046</v>
      </c>
    </row>
    <row r="776" ht="15.75" customHeight="1">
      <c r="A776" s="4" t="s">
        <v>2626</v>
      </c>
      <c r="B776" s="13">
        <v>46040.7858333333</v>
      </c>
      <c r="C776" s="4" t="s">
        <v>2627</v>
      </c>
      <c r="D776" s="4" t="s">
        <v>1110</v>
      </c>
      <c r="E776" s="4" t="s">
        <v>1064</v>
      </c>
      <c r="F776" s="4"/>
      <c r="G776" s="4" t="s">
        <v>69</v>
      </c>
      <c r="H776" s="10">
        <v>46.97</v>
      </c>
      <c r="I776" s="4" t="s">
        <v>1035</v>
      </c>
    </row>
    <row r="777" ht="15.75" customHeight="1">
      <c r="A777" s="4" t="s">
        <v>2628</v>
      </c>
      <c r="B777" s="13">
        <v>46106.9237268519</v>
      </c>
      <c r="C777" s="4" t="s">
        <v>2629</v>
      </c>
      <c r="D777" s="4" t="s">
        <v>1089</v>
      </c>
      <c r="E777" s="4" t="s">
        <v>1105</v>
      </c>
      <c r="F777" s="4" t="s">
        <v>71</v>
      </c>
      <c r="G777" s="4"/>
      <c r="H777" s="4"/>
      <c r="I777" s="4" t="s">
        <v>1039</v>
      </c>
    </row>
    <row r="778" ht="15.75" customHeight="1">
      <c r="A778" s="4" t="s">
        <v>2630</v>
      </c>
      <c r="B778" s="13">
        <v>46083.4454166667</v>
      </c>
      <c r="C778" s="4" t="s">
        <v>2631</v>
      </c>
      <c r="D778" s="4" t="s">
        <v>1163</v>
      </c>
      <c r="E778" s="4" t="s">
        <v>1119</v>
      </c>
      <c r="F778" s="4"/>
      <c r="G778" s="4"/>
      <c r="H778" s="4"/>
      <c r="I778" s="4" t="s">
        <v>1050</v>
      </c>
    </row>
    <row r="779" ht="15.75" customHeight="1">
      <c r="A779" s="4" t="s">
        <v>2632</v>
      </c>
      <c r="B779" s="13">
        <v>46113.6996064815</v>
      </c>
      <c r="C779" s="4" t="s">
        <v>2633</v>
      </c>
      <c r="D779" s="4" t="s">
        <v>1063</v>
      </c>
      <c r="E779" s="4" t="s">
        <v>1064</v>
      </c>
      <c r="F779" s="4"/>
      <c r="G779" s="4" t="s">
        <v>227</v>
      </c>
      <c r="H779" s="4"/>
      <c r="I779" s="4" t="s">
        <v>1046</v>
      </c>
    </row>
    <row r="780" ht="15.75" customHeight="1">
      <c r="A780" s="4" t="s">
        <v>2634</v>
      </c>
      <c r="B780" s="13">
        <v>46081.6800347222</v>
      </c>
      <c r="C780" s="4" t="s">
        <v>2635</v>
      </c>
      <c r="D780" s="4" t="s">
        <v>1089</v>
      </c>
      <c r="E780" s="4" t="s">
        <v>1105</v>
      </c>
      <c r="F780" s="4" t="s">
        <v>115</v>
      </c>
      <c r="G780" s="4"/>
      <c r="H780" s="4"/>
      <c r="I780" s="4" t="s">
        <v>427</v>
      </c>
    </row>
    <row r="781" ht="15.75" customHeight="1">
      <c r="A781" s="4" t="s">
        <v>2636</v>
      </c>
      <c r="B781" s="13">
        <v>46041.4454282407</v>
      </c>
      <c r="C781" s="4" t="s">
        <v>2637</v>
      </c>
      <c r="D781" s="4" t="s">
        <v>1063</v>
      </c>
      <c r="E781" s="4" t="s">
        <v>1064</v>
      </c>
      <c r="F781" s="4"/>
      <c r="G781" s="4" t="s">
        <v>107</v>
      </c>
      <c r="H781" s="4"/>
      <c r="I781" s="4" t="s">
        <v>1035</v>
      </c>
    </row>
    <row r="782" ht="15.75" customHeight="1">
      <c r="A782" s="4" t="s">
        <v>2638</v>
      </c>
      <c r="B782" s="13">
        <v>46041.359224537</v>
      </c>
      <c r="C782" s="4" t="s">
        <v>2639</v>
      </c>
      <c r="D782" s="4" t="s">
        <v>1104</v>
      </c>
      <c r="E782" s="4" t="s">
        <v>1105</v>
      </c>
      <c r="F782" s="4" t="s">
        <v>63</v>
      </c>
      <c r="G782" s="4"/>
      <c r="H782" s="4"/>
      <c r="I782" s="4" t="s">
        <v>1052</v>
      </c>
    </row>
    <row r="783" ht="15.75" customHeight="1">
      <c r="A783" s="4" t="s">
        <v>2640</v>
      </c>
      <c r="B783" s="13">
        <v>46046.9039351852</v>
      </c>
      <c r="C783" s="4" t="s">
        <v>2641</v>
      </c>
      <c r="D783" s="4" t="s">
        <v>1081</v>
      </c>
      <c r="E783" s="4" t="s">
        <v>1064</v>
      </c>
      <c r="F783" s="4"/>
      <c r="G783" s="4"/>
      <c r="H783" s="4"/>
      <c r="I783" s="4" t="s">
        <v>1046</v>
      </c>
    </row>
    <row r="784" ht="15.75" customHeight="1">
      <c r="A784" s="4" t="s">
        <v>2642</v>
      </c>
      <c r="B784" s="13">
        <v>46033.9436574074</v>
      </c>
      <c r="C784" s="4" t="s">
        <v>2643</v>
      </c>
      <c r="D784" s="4" t="s">
        <v>1075</v>
      </c>
      <c r="E784" s="4" t="s">
        <v>1064</v>
      </c>
      <c r="F784" s="4"/>
      <c r="G784" s="4"/>
      <c r="H784" s="4"/>
      <c r="I784" s="4" t="s">
        <v>1050</v>
      </c>
    </row>
    <row r="785" ht="15.75" customHeight="1">
      <c r="A785" s="4" t="s">
        <v>2644</v>
      </c>
      <c r="B785" s="13">
        <v>46128.8177546296</v>
      </c>
      <c r="C785" s="4" t="s">
        <v>2645</v>
      </c>
      <c r="D785" s="4" t="s">
        <v>1063</v>
      </c>
      <c r="E785" s="4" t="s">
        <v>1064</v>
      </c>
      <c r="F785" s="4"/>
      <c r="G785" s="4" t="s">
        <v>190</v>
      </c>
      <c r="H785" s="4"/>
      <c r="I785" s="4" t="s">
        <v>1030</v>
      </c>
    </row>
    <row r="786" ht="15.75" customHeight="1">
      <c r="A786" s="4" t="s">
        <v>2646</v>
      </c>
      <c r="B786" s="13">
        <v>46108.4729050926</v>
      </c>
      <c r="C786" s="4" t="s">
        <v>2647</v>
      </c>
      <c r="D786" s="4" t="s">
        <v>1071</v>
      </c>
      <c r="E786" s="4" t="s">
        <v>1119</v>
      </c>
      <c r="F786" s="4"/>
      <c r="G786" s="4"/>
      <c r="H786" s="4"/>
      <c r="I786" s="4" t="s">
        <v>1048</v>
      </c>
    </row>
    <row r="787" ht="15.75" customHeight="1">
      <c r="A787" s="4" t="s">
        <v>2648</v>
      </c>
      <c r="B787" s="13">
        <v>46119.7407175926</v>
      </c>
      <c r="C787" s="4" t="s">
        <v>2649</v>
      </c>
      <c r="D787" s="4" t="s">
        <v>1075</v>
      </c>
      <c r="E787" s="4" t="s">
        <v>1064</v>
      </c>
      <c r="F787" s="4"/>
      <c r="G787" s="4"/>
      <c r="H787" s="4"/>
      <c r="I787" s="4" t="s">
        <v>1031</v>
      </c>
    </row>
    <row r="788" ht="15.75" customHeight="1">
      <c r="A788" s="4" t="s">
        <v>2650</v>
      </c>
      <c r="B788" s="13">
        <v>46109.8807060185</v>
      </c>
      <c r="C788" s="4" t="s">
        <v>2651</v>
      </c>
      <c r="D788" s="4" t="s">
        <v>1163</v>
      </c>
      <c r="E788" s="4" t="s">
        <v>1119</v>
      </c>
      <c r="F788" s="4"/>
      <c r="G788" s="4"/>
      <c r="H788" s="4"/>
      <c r="I788" s="4" t="s">
        <v>1050</v>
      </c>
    </row>
    <row r="789" ht="15.75" customHeight="1">
      <c r="A789" s="4" t="s">
        <v>2652</v>
      </c>
      <c r="B789" s="13">
        <v>46056.356099537</v>
      </c>
      <c r="C789" s="4" t="s">
        <v>2653</v>
      </c>
      <c r="D789" s="4" t="s">
        <v>1093</v>
      </c>
      <c r="E789" s="4" t="s">
        <v>1064</v>
      </c>
      <c r="F789" s="4"/>
      <c r="G789" s="4"/>
      <c r="H789" s="4"/>
      <c r="I789" s="4" t="s">
        <v>1030</v>
      </c>
    </row>
    <row r="790" ht="15.75" customHeight="1">
      <c r="A790" s="4" t="s">
        <v>2654</v>
      </c>
      <c r="B790" s="13">
        <v>46037.3967361111</v>
      </c>
      <c r="C790" s="4" t="s">
        <v>2655</v>
      </c>
      <c r="D790" s="4" t="s">
        <v>1071</v>
      </c>
      <c r="E790" s="4" t="s">
        <v>1072</v>
      </c>
      <c r="F790" s="4"/>
      <c r="G790" s="4"/>
      <c r="H790" s="4"/>
      <c r="I790" s="4" t="s">
        <v>1042</v>
      </c>
    </row>
    <row r="791" ht="15.75" customHeight="1">
      <c r="A791" s="4" t="s">
        <v>2656</v>
      </c>
      <c r="B791" s="13">
        <v>46096.6011342593</v>
      </c>
      <c r="C791" s="4" t="s">
        <v>2657</v>
      </c>
      <c r="D791" s="4" t="s">
        <v>1075</v>
      </c>
      <c r="E791" s="4" t="s">
        <v>1064</v>
      </c>
      <c r="F791" s="4"/>
      <c r="G791" s="4"/>
      <c r="H791" s="4"/>
      <c r="I791" s="4" t="s">
        <v>1050</v>
      </c>
    </row>
    <row r="792" ht="15.75" customHeight="1">
      <c r="A792" s="4" t="s">
        <v>2658</v>
      </c>
      <c r="B792" s="13">
        <v>46057.8871296296</v>
      </c>
      <c r="C792" s="4" t="s">
        <v>2659</v>
      </c>
      <c r="D792" s="4" t="s">
        <v>1163</v>
      </c>
      <c r="E792" s="4" t="s">
        <v>1119</v>
      </c>
      <c r="F792" s="4"/>
      <c r="G792" s="4"/>
      <c r="H792" s="4"/>
      <c r="I792" s="4" t="s">
        <v>1048</v>
      </c>
    </row>
    <row r="793" ht="15.75" customHeight="1">
      <c r="A793" s="4" t="s">
        <v>2660</v>
      </c>
      <c r="B793" s="13">
        <v>46063.6855439815</v>
      </c>
      <c r="C793" s="4" t="s">
        <v>2661</v>
      </c>
      <c r="D793" s="4" t="s">
        <v>1075</v>
      </c>
      <c r="E793" s="4" t="s">
        <v>1064</v>
      </c>
      <c r="F793" s="4"/>
      <c r="G793" s="4"/>
      <c r="H793" s="4"/>
      <c r="I793" s="4" t="s">
        <v>1052</v>
      </c>
    </row>
    <row r="794" ht="15.75" customHeight="1">
      <c r="A794" s="4" t="s">
        <v>2662</v>
      </c>
      <c r="B794" s="13">
        <v>46116.9887384259</v>
      </c>
      <c r="C794" s="4" t="s">
        <v>2663</v>
      </c>
      <c r="D794" s="4" t="s">
        <v>1086</v>
      </c>
      <c r="E794" s="4" t="s">
        <v>1064</v>
      </c>
      <c r="F794" s="4"/>
      <c r="G794" s="4"/>
      <c r="H794" s="4"/>
      <c r="I794" s="4" t="s">
        <v>1052</v>
      </c>
    </row>
    <row r="795" ht="15.75" customHeight="1">
      <c r="A795" s="4" t="s">
        <v>2664</v>
      </c>
      <c r="B795" s="13">
        <v>46023.3757060185</v>
      </c>
      <c r="C795" s="4" t="s">
        <v>2665</v>
      </c>
      <c r="D795" s="4" t="s">
        <v>1110</v>
      </c>
      <c r="E795" s="4" t="s">
        <v>1064</v>
      </c>
      <c r="F795" s="4"/>
      <c r="G795" s="4" t="s">
        <v>84</v>
      </c>
      <c r="H795" s="10">
        <v>185.68</v>
      </c>
      <c r="I795" s="4" t="s">
        <v>1031</v>
      </c>
    </row>
    <row r="796" ht="15.75" customHeight="1">
      <c r="A796" s="4" t="s">
        <v>2666</v>
      </c>
      <c r="B796" s="13">
        <v>46053.4854166667</v>
      </c>
      <c r="C796" s="4" t="s">
        <v>2667</v>
      </c>
      <c r="D796" s="4" t="s">
        <v>1093</v>
      </c>
      <c r="E796" s="4" t="s">
        <v>1064</v>
      </c>
      <c r="F796" s="4"/>
      <c r="G796" s="4"/>
      <c r="H796" s="4"/>
      <c r="I796" s="4" t="s">
        <v>1035</v>
      </c>
    </row>
    <row r="797" ht="15.75" customHeight="1">
      <c r="A797" s="4" t="s">
        <v>2668</v>
      </c>
      <c r="B797" s="13">
        <v>46034.469525463</v>
      </c>
      <c r="C797" s="4" t="s">
        <v>2669</v>
      </c>
      <c r="D797" s="4" t="s">
        <v>1071</v>
      </c>
      <c r="E797" s="4" t="s">
        <v>1119</v>
      </c>
      <c r="F797" s="4"/>
      <c r="G797" s="4"/>
      <c r="H797" s="4"/>
      <c r="I797" s="4" t="s">
        <v>1031</v>
      </c>
    </row>
    <row r="798" ht="15.75" customHeight="1">
      <c r="A798" s="4" t="s">
        <v>2670</v>
      </c>
      <c r="B798" s="13">
        <v>46119.5362847222</v>
      </c>
      <c r="C798" s="4" t="s">
        <v>2671</v>
      </c>
      <c r="D798" s="4" t="s">
        <v>1071</v>
      </c>
      <c r="E798" s="4" t="s">
        <v>1119</v>
      </c>
      <c r="F798" s="4"/>
      <c r="G798" s="4"/>
      <c r="H798" s="4"/>
      <c r="I798" s="4" t="s">
        <v>1028</v>
      </c>
    </row>
    <row r="799" ht="15.75" customHeight="1">
      <c r="A799" s="4" t="s">
        <v>2672</v>
      </c>
      <c r="B799" s="13">
        <v>46121.9498263889</v>
      </c>
      <c r="C799" s="4" t="s">
        <v>2673</v>
      </c>
      <c r="D799" s="4" t="s">
        <v>1163</v>
      </c>
      <c r="E799" s="4" t="s">
        <v>1119</v>
      </c>
      <c r="F799" s="4"/>
      <c r="G799" s="4"/>
      <c r="H799" s="4"/>
      <c r="I799" s="4" t="s">
        <v>1034</v>
      </c>
    </row>
    <row r="800" ht="15.75" customHeight="1">
      <c r="A800" s="4" t="s">
        <v>2674</v>
      </c>
      <c r="B800" s="13">
        <v>46092.4548032407</v>
      </c>
      <c r="C800" s="4" t="s">
        <v>2675</v>
      </c>
      <c r="D800" s="4" t="s">
        <v>1078</v>
      </c>
      <c r="E800" s="4" t="s">
        <v>1064</v>
      </c>
      <c r="F800" s="4"/>
      <c r="G800" s="4" t="s">
        <v>126</v>
      </c>
      <c r="H800" s="10">
        <v>28.42</v>
      </c>
      <c r="I800" s="4" t="s">
        <v>1042</v>
      </c>
    </row>
    <row r="801" ht="15.75" customHeight="1">
      <c r="A801" s="4" t="s">
        <v>2676</v>
      </c>
      <c r="B801" s="13">
        <v>46127.6966898148</v>
      </c>
      <c r="C801" s="4" t="s">
        <v>2677</v>
      </c>
      <c r="D801" s="4" t="s">
        <v>1071</v>
      </c>
      <c r="E801" s="4" t="s">
        <v>1119</v>
      </c>
      <c r="F801" s="4"/>
      <c r="G801" s="4"/>
      <c r="H801" s="4"/>
      <c r="I801" s="4" t="s">
        <v>1046</v>
      </c>
    </row>
    <row r="802" ht="15.75" customHeight="1">
      <c r="A802" s="4" t="s">
        <v>2678</v>
      </c>
      <c r="B802" s="13">
        <v>46035.4306134259</v>
      </c>
      <c r="C802" s="4" t="s">
        <v>2679</v>
      </c>
      <c r="D802" s="4" t="s">
        <v>1104</v>
      </c>
      <c r="E802" s="4" t="s">
        <v>1105</v>
      </c>
      <c r="F802" s="4" t="s">
        <v>234</v>
      </c>
      <c r="G802" s="4"/>
      <c r="H802" s="4"/>
      <c r="I802" s="4" t="s">
        <v>427</v>
      </c>
    </row>
    <row r="803" ht="15.75" customHeight="1">
      <c r="A803" s="4" t="s">
        <v>2680</v>
      </c>
      <c r="B803" s="13">
        <v>46126.7145949074</v>
      </c>
      <c r="C803" s="4" t="s">
        <v>2681</v>
      </c>
      <c r="D803" s="4" t="s">
        <v>1071</v>
      </c>
      <c r="E803" s="4" t="s">
        <v>1072</v>
      </c>
      <c r="F803" s="4"/>
      <c r="G803" s="4"/>
      <c r="H803" s="4"/>
      <c r="I803" s="4" t="s">
        <v>1052</v>
      </c>
    </row>
    <row r="804" ht="15.75" customHeight="1">
      <c r="A804" s="4" t="s">
        <v>2682</v>
      </c>
      <c r="B804" s="13">
        <v>46120.6371064815</v>
      </c>
      <c r="C804" s="4" t="s">
        <v>2683</v>
      </c>
      <c r="D804" s="4" t="s">
        <v>1063</v>
      </c>
      <c r="E804" s="4" t="s">
        <v>1064</v>
      </c>
      <c r="F804" s="4"/>
      <c r="G804" s="4" t="s">
        <v>107</v>
      </c>
      <c r="H804" s="4"/>
      <c r="I804" s="4" t="s">
        <v>1050</v>
      </c>
    </row>
    <row r="805" ht="15.75" customHeight="1">
      <c r="A805" s="4" t="s">
        <v>2684</v>
      </c>
      <c r="B805" s="13">
        <v>46113.705150463</v>
      </c>
      <c r="C805" s="4" t="s">
        <v>2685</v>
      </c>
      <c r="D805" s="4" t="s">
        <v>1071</v>
      </c>
      <c r="E805" s="4" t="s">
        <v>1072</v>
      </c>
      <c r="F805" s="4"/>
      <c r="G805" s="4"/>
      <c r="H805" s="4"/>
      <c r="I805" s="4" t="s">
        <v>1048</v>
      </c>
    </row>
    <row r="806" ht="15.75" customHeight="1">
      <c r="A806" s="4" t="s">
        <v>2686</v>
      </c>
      <c r="B806" s="13">
        <v>46057.3688425926</v>
      </c>
      <c r="C806" s="4" t="s">
        <v>2687</v>
      </c>
      <c r="D806" s="4" t="s">
        <v>1128</v>
      </c>
      <c r="E806" s="4" t="s">
        <v>1090</v>
      </c>
      <c r="F806" s="4" t="s">
        <v>815</v>
      </c>
      <c r="G806" s="4"/>
      <c r="H806" s="4"/>
      <c r="I806" s="4" t="s">
        <v>1052</v>
      </c>
    </row>
    <row r="807" ht="15.75" customHeight="1">
      <c r="A807" s="4" t="s">
        <v>2688</v>
      </c>
      <c r="B807" s="13">
        <v>46080.7084375</v>
      </c>
      <c r="C807" s="4" t="s">
        <v>2689</v>
      </c>
      <c r="D807" s="4" t="s">
        <v>1163</v>
      </c>
      <c r="E807" s="4" t="s">
        <v>1119</v>
      </c>
      <c r="F807" s="4"/>
      <c r="G807" s="4"/>
      <c r="H807" s="4"/>
      <c r="I807" s="4" t="s">
        <v>1030</v>
      </c>
    </row>
    <row r="808" ht="15.75" customHeight="1">
      <c r="A808" s="4" t="s">
        <v>2690</v>
      </c>
      <c r="B808" s="13">
        <v>46056.7896759259</v>
      </c>
      <c r="C808" s="4" t="s">
        <v>2691</v>
      </c>
      <c r="D808" s="4" t="s">
        <v>1093</v>
      </c>
      <c r="E808" s="4" t="s">
        <v>1064</v>
      </c>
      <c r="F808" s="4"/>
      <c r="G808" s="4"/>
      <c r="H808" s="4"/>
      <c r="I808" s="4" t="s">
        <v>1052</v>
      </c>
    </row>
    <row r="809" ht="15.75" customHeight="1">
      <c r="A809" s="4" t="s">
        <v>2692</v>
      </c>
      <c r="B809" s="13">
        <v>46062.5828009259</v>
      </c>
      <c r="C809" s="4" t="s">
        <v>2693</v>
      </c>
      <c r="D809" s="4" t="s">
        <v>1075</v>
      </c>
      <c r="E809" s="4" t="s">
        <v>1064</v>
      </c>
      <c r="F809" s="4"/>
      <c r="G809" s="4"/>
      <c r="H809" s="4"/>
      <c r="I809" s="4" t="s">
        <v>1030</v>
      </c>
    </row>
    <row r="810" ht="15.75" customHeight="1">
      <c r="A810" s="4" t="s">
        <v>2694</v>
      </c>
      <c r="B810" s="13">
        <v>46102.4927662037</v>
      </c>
      <c r="C810" s="4" t="s">
        <v>2695</v>
      </c>
      <c r="D810" s="4" t="s">
        <v>1128</v>
      </c>
      <c r="E810" s="4" t="s">
        <v>1105</v>
      </c>
      <c r="F810" s="4" t="s">
        <v>277</v>
      </c>
      <c r="G810" s="4"/>
      <c r="H810" s="4"/>
      <c r="I810" s="4" t="s">
        <v>1031</v>
      </c>
    </row>
    <row r="811" ht="15.75" customHeight="1">
      <c r="A811" s="4" t="s">
        <v>2696</v>
      </c>
      <c r="B811" s="13">
        <v>46103.5768518519</v>
      </c>
      <c r="C811" s="4" t="s">
        <v>2697</v>
      </c>
      <c r="D811" s="4" t="s">
        <v>1104</v>
      </c>
      <c r="E811" s="4" t="s">
        <v>1090</v>
      </c>
      <c r="F811" s="4" t="s">
        <v>831</v>
      </c>
      <c r="G811" s="4"/>
      <c r="H811" s="4"/>
      <c r="I811" s="4" t="s">
        <v>1031</v>
      </c>
    </row>
    <row r="812" ht="15.75" customHeight="1">
      <c r="A812" s="4" t="s">
        <v>2698</v>
      </c>
      <c r="B812" s="13">
        <v>46027.3955787037</v>
      </c>
      <c r="C812" s="4" t="s">
        <v>2699</v>
      </c>
      <c r="D812" s="4" t="s">
        <v>1104</v>
      </c>
      <c r="E812" s="4" t="s">
        <v>1105</v>
      </c>
      <c r="F812" s="4" t="s">
        <v>79</v>
      </c>
      <c r="G812" s="4"/>
      <c r="H812" s="4"/>
      <c r="I812" s="4" t="s">
        <v>1030</v>
      </c>
    </row>
    <row r="813" ht="15.75" customHeight="1">
      <c r="A813" s="4" t="s">
        <v>2700</v>
      </c>
      <c r="B813" s="13">
        <v>46094.6480208333</v>
      </c>
      <c r="C813" s="4" t="s">
        <v>2701</v>
      </c>
      <c r="D813" s="4" t="s">
        <v>1128</v>
      </c>
      <c r="E813" s="4" t="s">
        <v>1090</v>
      </c>
      <c r="F813" s="4" t="s">
        <v>833</v>
      </c>
      <c r="G813" s="4"/>
      <c r="H813" s="4"/>
      <c r="I813" s="4" t="s">
        <v>427</v>
      </c>
    </row>
    <row r="814" ht="15.75" customHeight="1">
      <c r="A814" s="4" t="s">
        <v>2702</v>
      </c>
      <c r="B814" s="13">
        <v>46039.8780324074</v>
      </c>
      <c r="C814" s="4" t="s">
        <v>2703</v>
      </c>
      <c r="D814" s="4" t="s">
        <v>1110</v>
      </c>
      <c r="E814" s="4" t="s">
        <v>1064</v>
      </c>
      <c r="F814" s="4"/>
      <c r="G814" s="4" t="s">
        <v>195</v>
      </c>
      <c r="H814" s="10">
        <v>30.44</v>
      </c>
      <c r="I814" s="4" t="s">
        <v>1039</v>
      </c>
    </row>
    <row r="815" ht="15.75" customHeight="1">
      <c r="A815" s="4" t="s">
        <v>2704</v>
      </c>
      <c r="B815" s="13">
        <v>46078.7603240741</v>
      </c>
      <c r="C815" s="4" t="s">
        <v>2705</v>
      </c>
      <c r="D815" s="4" t="s">
        <v>1075</v>
      </c>
      <c r="E815" s="4" t="s">
        <v>1064</v>
      </c>
      <c r="F815" s="4"/>
      <c r="G815" s="4"/>
      <c r="H815" s="4"/>
      <c r="I815" s="4" t="s">
        <v>1050</v>
      </c>
    </row>
    <row r="816" ht="15.75" customHeight="1">
      <c r="A816" s="4" t="s">
        <v>2706</v>
      </c>
      <c r="B816" s="13">
        <v>46045.5197453704</v>
      </c>
      <c r="C816" s="4" t="s">
        <v>2707</v>
      </c>
      <c r="D816" s="4" t="s">
        <v>1081</v>
      </c>
      <c r="E816" s="4" t="s">
        <v>1064</v>
      </c>
      <c r="F816" s="4"/>
      <c r="G816" s="4"/>
      <c r="H816" s="4"/>
      <c r="I816" s="4" t="s">
        <v>1036</v>
      </c>
    </row>
    <row r="817" ht="15.75" customHeight="1">
      <c r="A817" s="4" t="s">
        <v>2708</v>
      </c>
      <c r="B817" s="13">
        <v>46065.6252662037</v>
      </c>
      <c r="C817" s="4" t="s">
        <v>2709</v>
      </c>
      <c r="D817" s="4" t="s">
        <v>1104</v>
      </c>
      <c r="E817" s="4" t="s">
        <v>1105</v>
      </c>
      <c r="F817" s="4" t="s">
        <v>121</v>
      </c>
      <c r="G817" s="4"/>
      <c r="H817" s="4"/>
      <c r="I817" s="4" t="s">
        <v>1050</v>
      </c>
    </row>
    <row r="818" ht="15.75" customHeight="1">
      <c r="A818" s="4" t="s">
        <v>2710</v>
      </c>
      <c r="B818" s="13">
        <v>46067.8788310185</v>
      </c>
      <c r="C818" s="4" t="s">
        <v>2711</v>
      </c>
      <c r="D818" s="4" t="s">
        <v>1110</v>
      </c>
      <c r="E818" s="4" t="s">
        <v>1064</v>
      </c>
      <c r="F818" s="4"/>
      <c r="G818" s="4" t="s">
        <v>190</v>
      </c>
      <c r="H818" s="10">
        <v>186.88</v>
      </c>
      <c r="I818" s="4" t="s">
        <v>427</v>
      </c>
    </row>
    <row r="819" ht="15.75" customHeight="1">
      <c r="A819" s="4" t="s">
        <v>2712</v>
      </c>
      <c r="B819" s="13">
        <v>46108.5593518519</v>
      </c>
      <c r="C819" s="4" t="s">
        <v>2713</v>
      </c>
      <c r="D819" s="4" t="s">
        <v>1093</v>
      </c>
      <c r="E819" s="4" t="s">
        <v>1064</v>
      </c>
      <c r="F819" s="4"/>
      <c r="G819" s="4"/>
      <c r="H819" s="4"/>
      <c r="I819" s="4" t="s">
        <v>1035</v>
      </c>
    </row>
    <row r="820" ht="15.75" customHeight="1">
      <c r="A820" s="4" t="s">
        <v>2714</v>
      </c>
      <c r="B820" s="13">
        <v>46067.8402083333</v>
      </c>
      <c r="C820" s="4" t="s">
        <v>2715</v>
      </c>
      <c r="D820" s="4" t="s">
        <v>1075</v>
      </c>
      <c r="E820" s="4" t="s">
        <v>1064</v>
      </c>
      <c r="F820" s="4"/>
      <c r="G820" s="4"/>
      <c r="H820" s="4"/>
      <c r="I820" s="4" t="s">
        <v>1031</v>
      </c>
    </row>
    <row r="821" ht="15.75" customHeight="1">
      <c r="A821" s="4" t="s">
        <v>2716</v>
      </c>
      <c r="B821" s="13">
        <v>46079.7018402778</v>
      </c>
      <c r="C821" s="4" t="s">
        <v>2717</v>
      </c>
      <c r="D821" s="4" t="s">
        <v>1163</v>
      </c>
      <c r="E821" s="4" t="s">
        <v>1072</v>
      </c>
      <c r="F821" s="4"/>
      <c r="G821" s="4"/>
      <c r="H821" s="4"/>
      <c r="I821" s="4" t="s">
        <v>1042</v>
      </c>
    </row>
    <row r="822" ht="15.75" customHeight="1">
      <c r="A822" s="4" t="s">
        <v>2718</v>
      </c>
      <c r="B822" s="13">
        <v>46049.7916898148</v>
      </c>
      <c r="C822" s="4" t="s">
        <v>2719</v>
      </c>
      <c r="D822" s="4" t="s">
        <v>1081</v>
      </c>
      <c r="E822" s="4" t="s">
        <v>1064</v>
      </c>
      <c r="F822" s="4"/>
      <c r="G822" s="4"/>
      <c r="H822" s="4"/>
      <c r="I822" s="4" t="s">
        <v>1048</v>
      </c>
    </row>
    <row r="823" ht="15.75" customHeight="1">
      <c r="A823" s="4" t="s">
        <v>2720</v>
      </c>
      <c r="B823" s="13">
        <v>46084.7146759259</v>
      </c>
      <c r="C823" s="4" t="s">
        <v>2721</v>
      </c>
      <c r="D823" s="4" t="s">
        <v>1071</v>
      </c>
      <c r="E823" s="4" t="s">
        <v>1072</v>
      </c>
      <c r="F823" s="4"/>
      <c r="G823" s="4"/>
      <c r="H823" s="4"/>
      <c r="I823" s="4" t="s">
        <v>1042</v>
      </c>
    </row>
    <row r="824" ht="15.75" customHeight="1">
      <c r="A824" s="4" t="s">
        <v>2722</v>
      </c>
      <c r="B824" s="13">
        <v>46115.9144328704</v>
      </c>
      <c r="C824" s="4" t="s">
        <v>2723</v>
      </c>
      <c r="D824" s="4" t="s">
        <v>1078</v>
      </c>
      <c r="E824" s="4" t="s">
        <v>1064</v>
      </c>
      <c r="F824" s="4"/>
      <c r="G824" s="4" t="s">
        <v>227</v>
      </c>
      <c r="H824" s="10">
        <v>75.13</v>
      </c>
      <c r="I824" s="4" t="s">
        <v>1028</v>
      </c>
    </row>
    <row r="825" ht="15.75" customHeight="1">
      <c r="A825" s="4" t="s">
        <v>2724</v>
      </c>
      <c r="B825" s="13">
        <v>46130.693599537</v>
      </c>
      <c r="C825" s="4" t="s">
        <v>2725</v>
      </c>
      <c r="D825" s="4" t="s">
        <v>1075</v>
      </c>
      <c r="E825" s="4" t="s">
        <v>1064</v>
      </c>
      <c r="F825" s="4"/>
      <c r="G825" s="4"/>
      <c r="H825" s="4"/>
      <c r="I825" s="4" t="s">
        <v>1035</v>
      </c>
    </row>
    <row r="826" ht="15.75" customHeight="1">
      <c r="A826" s="4" t="s">
        <v>2726</v>
      </c>
      <c r="B826" s="13">
        <v>46025.8630092593</v>
      </c>
      <c r="C826" s="4" t="s">
        <v>2727</v>
      </c>
      <c r="D826" s="4" t="s">
        <v>1128</v>
      </c>
      <c r="E826" s="4" t="s">
        <v>1105</v>
      </c>
      <c r="F826" s="4" t="s">
        <v>273</v>
      </c>
      <c r="G826" s="4"/>
      <c r="H826" s="4"/>
      <c r="I826" s="4" t="s">
        <v>1039</v>
      </c>
    </row>
    <row r="827" ht="15.75" customHeight="1">
      <c r="A827" s="4" t="s">
        <v>2728</v>
      </c>
      <c r="B827" s="13">
        <v>46086.607349537</v>
      </c>
      <c r="C827" s="4" t="s">
        <v>2729</v>
      </c>
      <c r="D827" s="4" t="s">
        <v>1071</v>
      </c>
      <c r="E827" s="4" t="s">
        <v>1072</v>
      </c>
      <c r="F827" s="4"/>
      <c r="G827" s="4"/>
      <c r="H827" s="4"/>
      <c r="I827" s="4" t="s">
        <v>1028</v>
      </c>
    </row>
    <row r="828" ht="15.75" customHeight="1">
      <c r="A828" s="4" t="s">
        <v>2730</v>
      </c>
      <c r="B828" s="13">
        <v>46052.7182986111</v>
      </c>
      <c r="C828" s="4" t="s">
        <v>2731</v>
      </c>
      <c r="D828" s="4" t="s">
        <v>1075</v>
      </c>
      <c r="E828" s="4" t="s">
        <v>1064</v>
      </c>
      <c r="F828" s="4"/>
      <c r="G828" s="4"/>
      <c r="H828" s="4"/>
      <c r="I828" s="4" t="s">
        <v>427</v>
      </c>
    </row>
    <row r="829" ht="15.75" customHeight="1">
      <c r="A829" s="4" t="s">
        <v>2732</v>
      </c>
      <c r="B829" s="13">
        <v>46031.6929513889</v>
      </c>
      <c r="C829" s="4" t="s">
        <v>2733</v>
      </c>
      <c r="D829" s="4" t="s">
        <v>1086</v>
      </c>
      <c r="E829" s="4" t="s">
        <v>1064</v>
      </c>
      <c r="F829" s="4"/>
      <c r="G829" s="4"/>
      <c r="H829" s="4"/>
      <c r="I829" s="4" t="s">
        <v>1050</v>
      </c>
    </row>
    <row r="830" ht="15.75" customHeight="1">
      <c r="A830" s="4" t="s">
        <v>2734</v>
      </c>
      <c r="B830" s="13">
        <v>46067.4945138889</v>
      </c>
      <c r="C830" s="4" t="s">
        <v>2735</v>
      </c>
      <c r="D830" s="4" t="s">
        <v>1089</v>
      </c>
      <c r="E830" s="4" t="s">
        <v>1090</v>
      </c>
      <c r="F830" s="4" t="s">
        <v>792</v>
      </c>
      <c r="G830" s="4"/>
      <c r="H830" s="4"/>
      <c r="I830" s="4" t="s">
        <v>1052</v>
      </c>
    </row>
    <row r="831" ht="15.75" customHeight="1">
      <c r="A831" s="4" t="s">
        <v>2736</v>
      </c>
      <c r="B831" s="13">
        <v>46118.6707291667</v>
      </c>
      <c r="C831" s="4" t="s">
        <v>2737</v>
      </c>
      <c r="D831" s="4" t="s">
        <v>1081</v>
      </c>
      <c r="E831" s="4" t="s">
        <v>1064</v>
      </c>
      <c r="F831" s="4"/>
      <c r="G831" s="4"/>
      <c r="H831" s="4"/>
      <c r="I831" s="4" t="s">
        <v>1039</v>
      </c>
    </row>
    <row r="832" ht="15.75" customHeight="1">
      <c r="A832" s="4" t="s">
        <v>2738</v>
      </c>
      <c r="B832" s="13">
        <v>46029.7359606482</v>
      </c>
      <c r="C832" s="4" t="s">
        <v>2739</v>
      </c>
      <c r="D832" s="4" t="s">
        <v>1075</v>
      </c>
      <c r="E832" s="4" t="s">
        <v>1064</v>
      </c>
      <c r="F832" s="4"/>
      <c r="G832" s="4"/>
      <c r="H832" s="4"/>
      <c r="I832" s="4" t="s">
        <v>427</v>
      </c>
    </row>
    <row r="833" ht="15.75" customHeight="1">
      <c r="A833" s="4" t="s">
        <v>2740</v>
      </c>
      <c r="B833" s="13">
        <v>46114.8354513889</v>
      </c>
      <c r="C833" s="4" t="s">
        <v>2741</v>
      </c>
      <c r="D833" s="4" t="s">
        <v>1104</v>
      </c>
      <c r="E833" s="4" t="s">
        <v>1105</v>
      </c>
      <c r="F833" s="4" t="s">
        <v>218</v>
      </c>
      <c r="G833" s="4"/>
      <c r="H833" s="4"/>
      <c r="I833" s="4" t="s">
        <v>1048</v>
      </c>
    </row>
    <row r="834" ht="15.75" customHeight="1">
      <c r="A834" s="4" t="s">
        <v>2742</v>
      </c>
      <c r="B834" s="13">
        <v>46102.3785300926</v>
      </c>
      <c r="C834" s="4" t="s">
        <v>2743</v>
      </c>
      <c r="D834" s="4" t="s">
        <v>1071</v>
      </c>
      <c r="E834" s="4" t="s">
        <v>1072</v>
      </c>
      <c r="F834" s="4"/>
      <c r="G834" s="4"/>
      <c r="H834" s="4"/>
      <c r="I834" s="4" t="s">
        <v>1046</v>
      </c>
    </row>
    <row r="835" ht="15.75" customHeight="1">
      <c r="A835" s="4" t="s">
        <v>2744</v>
      </c>
      <c r="B835" s="13">
        <v>46053.4921759259</v>
      </c>
      <c r="C835" s="4" t="s">
        <v>2745</v>
      </c>
      <c r="D835" s="4" t="s">
        <v>1104</v>
      </c>
      <c r="E835" s="4" t="s">
        <v>1090</v>
      </c>
      <c r="F835" s="4" t="s">
        <v>800</v>
      </c>
      <c r="G835" s="4"/>
      <c r="H835" s="4"/>
      <c r="I835" s="4" t="s">
        <v>1042</v>
      </c>
    </row>
    <row r="836" ht="15.75" customHeight="1">
      <c r="A836" s="4" t="s">
        <v>2746</v>
      </c>
      <c r="B836" s="13">
        <v>46036.8729050926</v>
      </c>
      <c r="C836" s="4" t="s">
        <v>2747</v>
      </c>
      <c r="D836" s="4" t="s">
        <v>1086</v>
      </c>
      <c r="E836" s="4" t="s">
        <v>1064</v>
      </c>
      <c r="F836" s="4"/>
      <c r="G836" s="4"/>
      <c r="H836" s="4"/>
      <c r="I836" s="4" t="s">
        <v>1035</v>
      </c>
    </row>
    <row r="837" ht="15.75" customHeight="1">
      <c r="A837" s="4" t="s">
        <v>2748</v>
      </c>
      <c r="B837" s="13">
        <v>46115.6712615741</v>
      </c>
      <c r="C837" s="4" t="s">
        <v>2749</v>
      </c>
      <c r="D837" s="4" t="s">
        <v>1089</v>
      </c>
      <c r="E837" s="4" t="s">
        <v>1090</v>
      </c>
      <c r="F837" s="4" t="s">
        <v>833</v>
      </c>
      <c r="G837" s="4"/>
      <c r="H837" s="4"/>
      <c r="I837" s="4" t="s">
        <v>1042</v>
      </c>
    </row>
    <row r="838" ht="15.75" customHeight="1">
      <c r="A838" s="4" t="s">
        <v>2750</v>
      </c>
      <c r="B838" s="13">
        <v>46038.4260185185</v>
      </c>
      <c r="C838" s="4" t="s">
        <v>2751</v>
      </c>
      <c r="D838" s="4" t="s">
        <v>1081</v>
      </c>
      <c r="E838" s="4" t="s">
        <v>1064</v>
      </c>
      <c r="F838" s="4"/>
      <c r="G838" s="4"/>
      <c r="H838" s="4"/>
      <c r="I838" s="4" t="s">
        <v>1039</v>
      </c>
    </row>
    <row r="839" ht="15.75" customHeight="1">
      <c r="A839" s="4" t="s">
        <v>2752</v>
      </c>
      <c r="B839" s="13">
        <v>46025.9994212963</v>
      </c>
      <c r="C839" s="4" t="s">
        <v>2753</v>
      </c>
      <c r="D839" s="4" t="s">
        <v>1104</v>
      </c>
      <c r="E839" s="4" t="s">
        <v>1090</v>
      </c>
      <c r="F839" s="4" t="s">
        <v>805</v>
      </c>
      <c r="G839" s="4"/>
      <c r="H839" s="4"/>
      <c r="I839" s="4" t="s">
        <v>427</v>
      </c>
    </row>
    <row r="840" ht="15.75" customHeight="1">
      <c r="A840" s="4" t="s">
        <v>2754</v>
      </c>
      <c r="B840" s="13">
        <v>46099.406412037</v>
      </c>
      <c r="C840" s="4" t="s">
        <v>2755</v>
      </c>
      <c r="D840" s="4" t="s">
        <v>1093</v>
      </c>
      <c r="E840" s="4" t="s">
        <v>1064</v>
      </c>
      <c r="F840" s="4"/>
      <c r="G840" s="4"/>
      <c r="H840" s="4"/>
      <c r="I840" s="4" t="s">
        <v>1031</v>
      </c>
    </row>
    <row r="841" ht="15.75" customHeight="1">
      <c r="A841" s="4" t="s">
        <v>2756</v>
      </c>
      <c r="B841" s="13">
        <v>46093.4928125</v>
      </c>
      <c r="C841" s="4" t="s">
        <v>2757</v>
      </c>
      <c r="D841" s="4" t="s">
        <v>1089</v>
      </c>
      <c r="E841" s="4" t="s">
        <v>1105</v>
      </c>
      <c r="F841" s="4" t="s">
        <v>297</v>
      </c>
      <c r="G841" s="4"/>
      <c r="H841" s="4"/>
      <c r="I841" s="4" t="s">
        <v>1036</v>
      </c>
    </row>
    <row r="842" ht="15.75" customHeight="1">
      <c r="A842" s="4" t="s">
        <v>2758</v>
      </c>
      <c r="B842" s="13">
        <v>46072.6878587963</v>
      </c>
      <c r="C842" s="4" t="s">
        <v>2759</v>
      </c>
      <c r="D842" s="4" t="s">
        <v>1081</v>
      </c>
      <c r="E842" s="4" t="s">
        <v>1064</v>
      </c>
      <c r="F842" s="4"/>
      <c r="G842" s="4"/>
      <c r="H842" s="4"/>
      <c r="I842" s="4" t="s">
        <v>587</v>
      </c>
    </row>
    <row r="843" ht="15.75" customHeight="1">
      <c r="A843" s="4" t="s">
        <v>2760</v>
      </c>
      <c r="B843" s="13">
        <v>46028.9558564815</v>
      </c>
      <c r="C843" s="4" t="s">
        <v>2761</v>
      </c>
      <c r="D843" s="4" t="s">
        <v>1110</v>
      </c>
      <c r="E843" s="4" t="s">
        <v>1064</v>
      </c>
      <c r="F843" s="4"/>
      <c r="G843" s="4" t="s">
        <v>84</v>
      </c>
      <c r="H843" s="10">
        <v>143.97</v>
      </c>
      <c r="I843" s="4" t="s">
        <v>1028</v>
      </c>
    </row>
    <row r="844" ht="15.75" customHeight="1">
      <c r="A844" s="4" t="s">
        <v>2762</v>
      </c>
      <c r="B844" s="13">
        <v>46114.8266435185</v>
      </c>
      <c r="C844" s="4" t="s">
        <v>2763</v>
      </c>
      <c r="D844" s="4" t="s">
        <v>1086</v>
      </c>
      <c r="E844" s="4" t="s">
        <v>1064</v>
      </c>
      <c r="F844" s="4"/>
      <c r="G844" s="4"/>
      <c r="H844" s="4"/>
      <c r="I844" s="4" t="s">
        <v>1028</v>
      </c>
    </row>
    <row r="845" ht="15.75" customHeight="1">
      <c r="A845" s="4" t="s">
        <v>2764</v>
      </c>
      <c r="B845" s="13">
        <v>46108.7172569444</v>
      </c>
      <c r="C845" s="4" t="s">
        <v>2765</v>
      </c>
      <c r="D845" s="4" t="s">
        <v>1078</v>
      </c>
      <c r="E845" s="4" t="s">
        <v>1064</v>
      </c>
      <c r="F845" s="4"/>
      <c r="G845" s="4" t="s">
        <v>150</v>
      </c>
      <c r="H845" s="10">
        <v>175.3</v>
      </c>
      <c r="I845" s="4" t="s">
        <v>1030</v>
      </c>
    </row>
    <row r="846" ht="15.75" customHeight="1">
      <c r="A846" s="4" t="s">
        <v>2766</v>
      </c>
      <c r="B846" s="13">
        <v>46097.41</v>
      </c>
      <c r="C846" s="4" t="s">
        <v>2767</v>
      </c>
      <c r="D846" s="4" t="s">
        <v>1075</v>
      </c>
      <c r="E846" s="4" t="s">
        <v>1064</v>
      </c>
      <c r="F846" s="4"/>
      <c r="G846" s="4"/>
      <c r="H846" s="4"/>
      <c r="I846" s="4" t="s">
        <v>1046</v>
      </c>
    </row>
    <row r="847" ht="15.75" customHeight="1">
      <c r="A847" s="4" t="s">
        <v>2768</v>
      </c>
      <c r="B847" s="13">
        <v>46073.9593055556</v>
      </c>
      <c r="C847" s="4" t="s">
        <v>2769</v>
      </c>
      <c r="D847" s="4" t="s">
        <v>1078</v>
      </c>
      <c r="E847" s="4" t="s">
        <v>1064</v>
      </c>
      <c r="F847" s="4"/>
      <c r="G847" s="4" t="s">
        <v>190</v>
      </c>
      <c r="H847" s="10">
        <v>60.85</v>
      </c>
      <c r="I847" s="4" t="s">
        <v>587</v>
      </c>
    </row>
    <row r="848" ht="15.75" customHeight="1">
      <c r="A848" s="4" t="s">
        <v>2770</v>
      </c>
      <c r="B848" s="13">
        <v>46112.5037037037</v>
      </c>
      <c r="C848" s="4" t="s">
        <v>2771</v>
      </c>
      <c r="D848" s="4" t="s">
        <v>1063</v>
      </c>
      <c r="E848" s="4" t="s">
        <v>1064</v>
      </c>
      <c r="F848" s="4"/>
      <c r="G848" s="4" t="s">
        <v>232</v>
      </c>
      <c r="H848" s="4"/>
      <c r="I848" s="4" t="s">
        <v>1031</v>
      </c>
    </row>
    <row r="849" ht="15.75" customHeight="1">
      <c r="A849" s="4" t="s">
        <v>2772</v>
      </c>
      <c r="B849" s="13">
        <v>46023.9993055556</v>
      </c>
      <c r="C849" s="4" t="s">
        <v>2773</v>
      </c>
      <c r="D849" s="4" t="s">
        <v>1104</v>
      </c>
      <c r="E849" s="4" t="s">
        <v>1090</v>
      </c>
      <c r="F849" s="4" t="s">
        <v>823</v>
      </c>
      <c r="G849" s="4"/>
      <c r="H849" s="4"/>
      <c r="I849" s="4" t="s">
        <v>1050</v>
      </c>
    </row>
    <row r="850" ht="15.75" customHeight="1">
      <c r="A850" s="4" t="s">
        <v>2774</v>
      </c>
      <c r="B850" s="13">
        <v>46059.6144328704</v>
      </c>
      <c r="C850" s="4" t="s">
        <v>2775</v>
      </c>
      <c r="D850" s="4" t="s">
        <v>1128</v>
      </c>
      <c r="E850" s="4" t="s">
        <v>1105</v>
      </c>
      <c r="F850" s="4" t="s">
        <v>242</v>
      </c>
      <c r="G850" s="4"/>
      <c r="H850" s="4"/>
      <c r="I850" s="4" t="s">
        <v>587</v>
      </c>
    </row>
    <row r="851" ht="15.75" customHeight="1">
      <c r="A851" s="4" t="s">
        <v>2776</v>
      </c>
      <c r="B851" s="13">
        <v>46087.426400463</v>
      </c>
      <c r="C851" s="4" t="s">
        <v>2777</v>
      </c>
      <c r="D851" s="4" t="s">
        <v>1078</v>
      </c>
      <c r="E851" s="4" t="s">
        <v>1064</v>
      </c>
      <c r="F851" s="4"/>
      <c r="G851" s="4" t="s">
        <v>61</v>
      </c>
      <c r="H851" s="10">
        <v>116.91</v>
      </c>
      <c r="I851" s="4" t="s">
        <v>1035</v>
      </c>
    </row>
    <row r="852" ht="15.75" customHeight="1">
      <c r="A852" s="4" t="s">
        <v>2778</v>
      </c>
      <c r="B852" s="13">
        <v>46127.3478472222</v>
      </c>
      <c r="C852" s="4" t="s">
        <v>2779</v>
      </c>
      <c r="D852" s="4" t="s">
        <v>1104</v>
      </c>
      <c r="E852" s="4" t="s">
        <v>1090</v>
      </c>
      <c r="F852" s="4" t="s">
        <v>798</v>
      </c>
      <c r="G852" s="4"/>
      <c r="H852" s="4"/>
      <c r="I852" s="4" t="s">
        <v>1046</v>
      </c>
    </row>
    <row r="853" ht="15.75" customHeight="1">
      <c r="A853" s="4" t="s">
        <v>2780</v>
      </c>
      <c r="B853" s="13">
        <v>46069.8640972222</v>
      </c>
      <c r="C853" s="4" t="s">
        <v>2781</v>
      </c>
      <c r="D853" s="4" t="s">
        <v>1086</v>
      </c>
      <c r="E853" s="4" t="s">
        <v>1064</v>
      </c>
      <c r="F853" s="4"/>
      <c r="G853" s="4"/>
      <c r="H853" s="4"/>
      <c r="I853" s="4" t="s">
        <v>587</v>
      </c>
    </row>
    <row r="854" ht="15.75" customHeight="1">
      <c r="A854" s="4" t="s">
        <v>2782</v>
      </c>
      <c r="B854" s="13">
        <v>46052.7326967593</v>
      </c>
      <c r="C854" s="4" t="s">
        <v>2783</v>
      </c>
      <c r="D854" s="4" t="s">
        <v>1063</v>
      </c>
      <c r="E854" s="4" t="s">
        <v>1064</v>
      </c>
      <c r="F854" s="4"/>
      <c r="G854" s="4" t="s">
        <v>190</v>
      </c>
      <c r="H854" s="4"/>
      <c r="I854" s="4" t="s">
        <v>1035</v>
      </c>
    </row>
    <row r="855" ht="15.75" customHeight="1">
      <c r="A855" s="4" t="s">
        <v>2784</v>
      </c>
      <c r="B855" s="13">
        <v>46086.8866782407</v>
      </c>
      <c r="C855" s="4" t="s">
        <v>2785</v>
      </c>
      <c r="D855" s="4" t="s">
        <v>1078</v>
      </c>
      <c r="E855" s="4" t="s">
        <v>1064</v>
      </c>
      <c r="F855" s="4"/>
      <c r="G855" s="4" t="s">
        <v>61</v>
      </c>
      <c r="H855" s="10">
        <v>157.17</v>
      </c>
      <c r="I855" s="4" t="s">
        <v>1030</v>
      </c>
    </row>
    <row r="856" ht="15.75" customHeight="1">
      <c r="A856" s="4" t="s">
        <v>2786</v>
      </c>
      <c r="B856" s="13">
        <v>46083.6495486111</v>
      </c>
      <c r="C856" s="4" t="s">
        <v>2787</v>
      </c>
      <c r="D856" s="4" t="s">
        <v>1063</v>
      </c>
      <c r="E856" s="4" t="s">
        <v>1064</v>
      </c>
      <c r="F856" s="4"/>
      <c r="G856" s="4" t="s">
        <v>227</v>
      </c>
      <c r="H856" s="4"/>
      <c r="I856" s="4" t="s">
        <v>1046</v>
      </c>
    </row>
    <row r="857" ht="15.75" customHeight="1">
      <c r="A857" s="4" t="s">
        <v>2788</v>
      </c>
      <c r="B857" s="13">
        <v>46065.4640509259</v>
      </c>
      <c r="C857" s="4" t="s">
        <v>2789</v>
      </c>
      <c r="D857" s="4" t="s">
        <v>1093</v>
      </c>
      <c r="E857" s="4" t="s">
        <v>1064</v>
      </c>
      <c r="F857" s="4"/>
      <c r="G857" s="4"/>
      <c r="H857" s="4"/>
      <c r="I857" s="4" t="s">
        <v>1048</v>
      </c>
    </row>
    <row r="858" ht="15.75" customHeight="1">
      <c r="A858" s="4" t="s">
        <v>2790</v>
      </c>
      <c r="B858" s="13">
        <v>46066.8028819444</v>
      </c>
      <c r="C858" s="4" t="s">
        <v>2791</v>
      </c>
      <c r="D858" s="4" t="s">
        <v>1104</v>
      </c>
      <c r="E858" s="4" t="s">
        <v>1105</v>
      </c>
      <c r="F858" s="4" t="s">
        <v>128</v>
      </c>
      <c r="G858" s="4"/>
      <c r="H858" s="4"/>
      <c r="I858" s="4" t="s">
        <v>1052</v>
      </c>
    </row>
    <row r="859" ht="15.75" customHeight="1">
      <c r="A859" s="4" t="s">
        <v>2792</v>
      </c>
      <c r="B859" s="13">
        <v>46072.3397916667</v>
      </c>
      <c r="C859" s="4" t="s">
        <v>2793</v>
      </c>
      <c r="D859" s="4" t="s">
        <v>1086</v>
      </c>
      <c r="E859" s="4" t="s">
        <v>1064</v>
      </c>
      <c r="F859" s="4"/>
      <c r="G859" s="4"/>
      <c r="H859" s="4"/>
      <c r="I859" s="4" t="s">
        <v>1034</v>
      </c>
    </row>
    <row r="860" ht="15.75" customHeight="1">
      <c r="A860" s="4" t="s">
        <v>2794</v>
      </c>
      <c r="B860" s="13">
        <v>46077.9369097222</v>
      </c>
      <c r="C860" s="4" t="s">
        <v>2795</v>
      </c>
      <c r="D860" s="4" t="s">
        <v>1078</v>
      </c>
      <c r="E860" s="4" t="s">
        <v>1064</v>
      </c>
      <c r="F860" s="4"/>
      <c r="G860" s="4" t="s">
        <v>144</v>
      </c>
      <c r="H860" s="10">
        <v>94.79</v>
      </c>
      <c r="I860" s="4" t="s">
        <v>1042</v>
      </c>
    </row>
    <row r="861" ht="15.75" customHeight="1">
      <c r="A861" s="4" t="s">
        <v>2796</v>
      </c>
      <c r="B861" s="13">
        <v>46082.4745833333</v>
      </c>
      <c r="C861" s="4" t="s">
        <v>2797</v>
      </c>
      <c r="D861" s="4" t="s">
        <v>1163</v>
      </c>
      <c r="E861" s="4" t="s">
        <v>1072</v>
      </c>
      <c r="F861" s="4"/>
      <c r="G861" s="4"/>
      <c r="H861" s="4"/>
      <c r="I861" s="4" t="s">
        <v>1028</v>
      </c>
    </row>
    <row r="862" ht="15.75" customHeight="1">
      <c r="A862" s="4" t="s">
        <v>2798</v>
      </c>
      <c r="B862" s="13">
        <v>46030.5878587963</v>
      </c>
      <c r="C862" s="4" t="s">
        <v>2799</v>
      </c>
      <c r="D862" s="4" t="s">
        <v>1086</v>
      </c>
      <c r="E862" s="4" t="s">
        <v>1064</v>
      </c>
      <c r="F862" s="4"/>
      <c r="G862" s="4"/>
      <c r="H862" s="4"/>
      <c r="I862" s="4" t="s">
        <v>1035</v>
      </c>
    </row>
    <row r="863" ht="15.75" customHeight="1">
      <c r="A863" s="4" t="s">
        <v>2800</v>
      </c>
      <c r="B863" s="13">
        <v>46079.7444907407</v>
      </c>
      <c r="C863" s="4" t="s">
        <v>2801</v>
      </c>
      <c r="D863" s="4" t="s">
        <v>1128</v>
      </c>
      <c r="E863" s="4" t="s">
        <v>1105</v>
      </c>
      <c r="F863" s="4" t="s">
        <v>132</v>
      </c>
      <c r="G863" s="4"/>
      <c r="H863" s="4"/>
      <c r="I863" s="4" t="s">
        <v>1031</v>
      </c>
    </row>
    <row r="864" ht="15.75" customHeight="1">
      <c r="A864" s="4" t="s">
        <v>2802</v>
      </c>
      <c r="B864" s="13">
        <v>46043.5564351852</v>
      </c>
      <c r="C864" s="4" t="s">
        <v>2803</v>
      </c>
      <c r="D864" s="4" t="s">
        <v>1089</v>
      </c>
      <c r="E864" s="4" t="s">
        <v>1105</v>
      </c>
      <c r="F864" s="4" t="s">
        <v>238</v>
      </c>
      <c r="G864" s="4"/>
      <c r="H864" s="4"/>
      <c r="I864" s="4" t="s">
        <v>587</v>
      </c>
    </row>
    <row r="865" ht="15.75" customHeight="1">
      <c r="A865" s="4" t="s">
        <v>2804</v>
      </c>
      <c r="B865" s="13">
        <v>46028.9350347222</v>
      </c>
      <c r="C865" s="4" t="s">
        <v>2805</v>
      </c>
      <c r="D865" s="4" t="s">
        <v>1078</v>
      </c>
      <c r="E865" s="4" t="s">
        <v>1064</v>
      </c>
      <c r="F865" s="4"/>
      <c r="G865" s="4" t="s">
        <v>77</v>
      </c>
      <c r="H865" s="10">
        <v>129.94</v>
      </c>
      <c r="I865" s="4" t="s">
        <v>427</v>
      </c>
    </row>
    <row r="866" ht="15.75" customHeight="1">
      <c r="A866" s="4" t="s">
        <v>2806</v>
      </c>
      <c r="B866" s="13">
        <v>46031.5980671296</v>
      </c>
      <c r="C866" s="4" t="s">
        <v>2807</v>
      </c>
      <c r="D866" s="4" t="s">
        <v>1093</v>
      </c>
      <c r="E866" s="4" t="s">
        <v>1064</v>
      </c>
      <c r="F866" s="4"/>
      <c r="G866" s="4"/>
      <c r="H866" s="4"/>
      <c r="I866" s="4" t="s">
        <v>427</v>
      </c>
    </row>
    <row r="867" ht="15.75" customHeight="1">
      <c r="A867" s="4" t="s">
        <v>2808</v>
      </c>
      <c r="B867" s="13">
        <v>46100.5096875</v>
      </c>
      <c r="C867" s="4" t="s">
        <v>2809</v>
      </c>
      <c r="D867" s="4" t="s">
        <v>1063</v>
      </c>
      <c r="E867" s="4" t="s">
        <v>1064</v>
      </c>
      <c r="F867" s="4"/>
      <c r="G867" s="4" t="s">
        <v>137</v>
      </c>
      <c r="H867" s="4"/>
      <c r="I867" s="4" t="s">
        <v>1036</v>
      </c>
    </row>
    <row r="868" ht="15.75" customHeight="1">
      <c r="A868" s="4" t="s">
        <v>2810</v>
      </c>
      <c r="B868" s="13">
        <v>46075.3689351852</v>
      </c>
      <c r="C868" s="4" t="s">
        <v>2811</v>
      </c>
      <c r="D868" s="4" t="s">
        <v>1089</v>
      </c>
      <c r="E868" s="4" t="s">
        <v>1105</v>
      </c>
      <c r="F868" s="4" t="s">
        <v>79</v>
      </c>
      <c r="G868" s="4"/>
      <c r="H868" s="4"/>
      <c r="I868" s="4" t="s">
        <v>1039</v>
      </c>
    </row>
    <row r="869" ht="15.75" customHeight="1">
      <c r="A869" s="4" t="s">
        <v>2812</v>
      </c>
      <c r="B869" s="13">
        <v>46122.8258680556</v>
      </c>
      <c r="C869" s="4" t="s">
        <v>2813</v>
      </c>
      <c r="D869" s="4" t="s">
        <v>1063</v>
      </c>
      <c r="E869" s="4" t="s">
        <v>1064</v>
      </c>
      <c r="F869" s="4"/>
      <c r="G869" s="4" t="s">
        <v>244</v>
      </c>
      <c r="H869" s="4"/>
      <c r="I869" s="4" t="s">
        <v>587</v>
      </c>
    </row>
    <row r="870" ht="15.75" customHeight="1">
      <c r="A870" s="4" t="s">
        <v>2814</v>
      </c>
      <c r="B870" s="13">
        <v>46121.5209722222</v>
      </c>
      <c r="C870" s="4" t="s">
        <v>2815</v>
      </c>
      <c r="D870" s="4" t="s">
        <v>1071</v>
      </c>
      <c r="E870" s="4" t="s">
        <v>1119</v>
      </c>
      <c r="F870" s="4"/>
      <c r="G870" s="4"/>
      <c r="H870" s="4"/>
      <c r="I870" s="4" t="s">
        <v>1046</v>
      </c>
    </row>
    <row r="871" ht="15.75" customHeight="1">
      <c r="A871" s="4" t="s">
        <v>2816</v>
      </c>
      <c r="B871" s="13">
        <v>46055.3473611111</v>
      </c>
      <c r="C871" s="4" t="s">
        <v>2817</v>
      </c>
      <c r="D871" s="4" t="s">
        <v>1075</v>
      </c>
      <c r="E871" s="4" t="s">
        <v>1064</v>
      </c>
      <c r="F871" s="4"/>
      <c r="G871" s="4"/>
      <c r="H871" s="4"/>
      <c r="I871" s="4" t="s">
        <v>1046</v>
      </c>
    </row>
    <row r="872" ht="15.75" customHeight="1">
      <c r="A872" s="4" t="s">
        <v>2818</v>
      </c>
      <c r="B872" s="13">
        <v>46099.9387152778</v>
      </c>
      <c r="C872" s="4" t="s">
        <v>2819</v>
      </c>
      <c r="D872" s="4" t="s">
        <v>1163</v>
      </c>
      <c r="E872" s="4" t="s">
        <v>1119</v>
      </c>
      <c r="F872" s="4"/>
      <c r="G872" s="4"/>
      <c r="H872" s="4"/>
      <c r="I872" s="4" t="s">
        <v>1036</v>
      </c>
    </row>
    <row r="873" ht="15.75" customHeight="1">
      <c r="A873" s="4" t="s">
        <v>2820</v>
      </c>
      <c r="B873" s="13">
        <v>46026.6623842593</v>
      </c>
      <c r="C873" s="4" t="s">
        <v>2821</v>
      </c>
      <c r="D873" s="4" t="s">
        <v>1086</v>
      </c>
      <c r="E873" s="4" t="s">
        <v>1064</v>
      </c>
      <c r="F873" s="4"/>
      <c r="G873" s="4"/>
      <c r="H873" s="4"/>
      <c r="I873" s="4" t="s">
        <v>1052</v>
      </c>
    </row>
    <row r="874" ht="15.75" customHeight="1">
      <c r="A874" s="4" t="s">
        <v>2822</v>
      </c>
      <c r="B874" s="13">
        <v>46118.5206712963</v>
      </c>
      <c r="C874" s="4" t="s">
        <v>2823</v>
      </c>
      <c r="D874" s="4" t="s">
        <v>1075</v>
      </c>
      <c r="E874" s="4" t="s">
        <v>1064</v>
      </c>
      <c r="F874" s="4"/>
      <c r="G874" s="4"/>
      <c r="H874" s="4"/>
      <c r="I874" s="4" t="s">
        <v>427</v>
      </c>
    </row>
    <row r="875" ht="15.75" customHeight="1">
      <c r="A875" s="4" t="s">
        <v>2824</v>
      </c>
      <c r="B875" s="13">
        <v>46041.9625694445</v>
      </c>
      <c r="C875" s="4" t="s">
        <v>2825</v>
      </c>
      <c r="D875" s="4" t="s">
        <v>1081</v>
      </c>
      <c r="E875" s="4" t="s">
        <v>1064</v>
      </c>
      <c r="F875" s="4"/>
      <c r="G875" s="4"/>
      <c r="H875" s="4"/>
      <c r="I875" s="4" t="s">
        <v>1046</v>
      </c>
    </row>
    <row r="876" ht="15.75" customHeight="1">
      <c r="A876" s="4" t="s">
        <v>2826</v>
      </c>
      <c r="B876" s="13">
        <v>46100.4799305556</v>
      </c>
      <c r="C876" s="4" t="s">
        <v>2827</v>
      </c>
      <c r="D876" s="4" t="s">
        <v>1075</v>
      </c>
      <c r="E876" s="4" t="s">
        <v>1064</v>
      </c>
      <c r="F876" s="4"/>
      <c r="G876" s="4"/>
      <c r="H876" s="4"/>
      <c r="I876" s="4" t="s">
        <v>1036</v>
      </c>
    </row>
    <row r="877" ht="15.75" customHeight="1">
      <c r="A877" s="4" t="s">
        <v>2828</v>
      </c>
      <c r="B877" s="13">
        <v>46070.4710300926</v>
      </c>
      <c r="C877" s="4" t="s">
        <v>2829</v>
      </c>
      <c r="D877" s="4" t="s">
        <v>1163</v>
      </c>
      <c r="E877" s="4" t="s">
        <v>1072</v>
      </c>
      <c r="F877" s="4"/>
      <c r="G877" s="4"/>
      <c r="H877" s="4"/>
      <c r="I877" s="4" t="s">
        <v>427</v>
      </c>
    </row>
    <row r="878" ht="15.75" customHeight="1">
      <c r="A878" s="4" t="s">
        <v>2830</v>
      </c>
      <c r="B878" s="13">
        <v>46129.9006944444</v>
      </c>
      <c r="C878" s="4" t="s">
        <v>2831</v>
      </c>
      <c r="D878" s="4" t="s">
        <v>1104</v>
      </c>
      <c r="E878" s="4" t="s">
        <v>1105</v>
      </c>
      <c r="F878" s="4" t="s">
        <v>132</v>
      </c>
      <c r="G878" s="4"/>
      <c r="H878" s="4"/>
      <c r="I878" s="4" t="s">
        <v>1039</v>
      </c>
    </row>
    <row r="879" ht="15.75" customHeight="1">
      <c r="A879" s="4" t="s">
        <v>2832</v>
      </c>
      <c r="B879" s="13">
        <v>46095.3381481482</v>
      </c>
      <c r="C879" s="4" t="s">
        <v>2833</v>
      </c>
      <c r="D879" s="4" t="s">
        <v>1075</v>
      </c>
      <c r="E879" s="4" t="s">
        <v>1064</v>
      </c>
      <c r="F879" s="4"/>
      <c r="G879" s="4"/>
      <c r="H879" s="4"/>
      <c r="I879" s="4" t="s">
        <v>1046</v>
      </c>
    </row>
    <row r="880" ht="15.75" customHeight="1">
      <c r="A880" s="4" t="s">
        <v>2834</v>
      </c>
      <c r="B880" s="13">
        <v>46030.8986226852</v>
      </c>
      <c r="C880" s="4" t="s">
        <v>2835</v>
      </c>
      <c r="D880" s="4" t="s">
        <v>1104</v>
      </c>
      <c r="E880" s="4" t="s">
        <v>1090</v>
      </c>
      <c r="F880" s="4" t="s">
        <v>778</v>
      </c>
      <c r="G880" s="4"/>
      <c r="H880" s="4"/>
      <c r="I880" s="4" t="s">
        <v>1031</v>
      </c>
    </row>
    <row r="881" ht="15.75" customHeight="1">
      <c r="A881" s="4" t="s">
        <v>2836</v>
      </c>
      <c r="B881" s="13">
        <v>46080.4141319445</v>
      </c>
      <c r="C881" s="4" t="s">
        <v>2837</v>
      </c>
      <c r="D881" s="4" t="s">
        <v>1110</v>
      </c>
      <c r="E881" s="4" t="s">
        <v>1064</v>
      </c>
      <c r="F881" s="4"/>
      <c r="G881" s="4" t="s">
        <v>112</v>
      </c>
      <c r="H881" s="10">
        <v>67.17</v>
      </c>
      <c r="I881" s="4" t="s">
        <v>587</v>
      </c>
    </row>
    <row r="882" ht="15.75" customHeight="1">
      <c r="A882" s="4" t="s">
        <v>2838</v>
      </c>
      <c r="B882" s="13">
        <v>46046.7071412037</v>
      </c>
      <c r="C882" s="4" t="s">
        <v>2839</v>
      </c>
      <c r="D882" s="4" t="s">
        <v>1093</v>
      </c>
      <c r="E882" s="4" t="s">
        <v>1064</v>
      </c>
      <c r="F882" s="4"/>
      <c r="G882" s="4"/>
      <c r="H882" s="4"/>
      <c r="I882" s="4" t="s">
        <v>1046</v>
      </c>
    </row>
    <row r="883" ht="15.75" customHeight="1">
      <c r="A883" s="4" t="s">
        <v>2840</v>
      </c>
      <c r="B883" s="13">
        <v>46095.701712963</v>
      </c>
      <c r="C883" s="4" t="s">
        <v>2841</v>
      </c>
      <c r="D883" s="4" t="s">
        <v>1128</v>
      </c>
      <c r="E883" s="4" t="s">
        <v>1105</v>
      </c>
      <c r="F883" s="4" t="s">
        <v>251</v>
      </c>
      <c r="G883" s="4"/>
      <c r="H883" s="4"/>
      <c r="I883" s="4" t="s">
        <v>1042</v>
      </c>
    </row>
    <row r="884" ht="15.75" customHeight="1">
      <c r="A884" s="4" t="s">
        <v>2842</v>
      </c>
      <c r="B884" s="13">
        <v>46073.7611458333</v>
      </c>
      <c r="C884" s="4" t="s">
        <v>2843</v>
      </c>
      <c r="D884" s="4" t="s">
        <v>1086</v>
      </c>
      <c r="E884" s="4" t="s">
        <v>1064</v>
      </c>
      <c r="F884" s="4"/>
      <c r="G884" s="4"/>
      <c r="H884" s="4"/>
      <c r="I884" s="4" t="s">
        <v>587</v>
      </c>
    </row>
    <row r="885" ht="15.75" customHeight="1">
      <c r="A885" s="4" t="s">
        <v>2844</v>
      </c>
      <c r="B885" s="13">
        <v>46064.4893287037</v>
      </c>
      <c r="C885" s="4" t="s">
        <v>2845</v>
      </c>
      <c r="D885" s="4" t="s">
        <v>1163</v>
      </c>
      <c r="E885" s="4" t="s">
        <v>1119</v>
      </c>
      <c r="F885" s="4"/>
      <c r="G885" s="4"/>
      <c r="H885" s="4"/>
      <c r="I885" s="4" t="s">
        <v>1035</v>
      </c>
    </row>
    <row r="886" ht="15.75" customHeight="1">
      <c r="A886" s="4" t="s">
        <v>2846</v>
      </c>
      <c r="B886" s="13">
        <v>46046.4242708333</v>
      </c>
      <c r="C886" s="4" t="s">
        <v>2847</v>
      </c>
      <c r="D886" s="4" t="s">
        <v>1093</v>
      </c>
      <c r="E886" s="4" t="s">
        <v>1064</v>
      </c>
      <c r="F886" s="4"/>
      <c r="G886" s="4"/>
      <c r="H886" s="4"/>
      <c r="I886" s="4" t="s">
        <v>1034</v>
      </c>
    </row>
    <row r="887" ht="15.75" customHeight="1">
      <c r="A887" s="4" t="s">
        <v>2848</v>
      </c>
      <c r="B887" s="13">
        <v>46029.7427777778</v>
      </c>
      <c r="C887" s="4" t="s">
        <v>2849</v>
      </c>
      <c r="D887" s="4" t="s">
        <v>1081</v>
      </c>
      <c r="E887" s="4" t="s">
        <v>1064</v>
      </c>
      <c r="F887" s="4"/>
      <c r="G887" s="4"/>
      <c r="H887" s="4"/>
      <c r="I887" s="4" t="s">
        <v>1031</v>
      </c>
    </row>
    <row r="888" ht="15.75" customHeight="1">
      <c r="A888" s="4" t="s">
        <v>2850</v>
      </c>
      <c r="B888" s="13">
        <v>46073.7862268519</v>
      </c>
      <c r="C888" s="4" t="s">
        <v>2851</v>
      </c>
      <c r="D888" s="4" t="s">
        <v>1093</v>
      </c>
      <c r="E888" s="4" t="s">
        <v>1064</v>
      </c>
      <c r="F888" s="4"/>
      <c r="G888" s="4"/>
      <c r="H888" s="4"/>
      <c r="I888" s="4" t="s">
        <v>1034</v>
      </c>
    </row>
    <row r="889" ht="15.75" customHeight="1">
      <c r="A889" s="4" t="s">
        <v>2852</v>
      </c>
      <c r="B889" s="13">
        <v>46098.9698958333</v>
      </c>
      <c r="C889" s="4" t="s">
        <v>2853</v>
      </c>
      <c r="D889" s="4" t="s">
        <v>1110</v>
      </c>
      <c r="E889" s="4" t="s">
        <v>1064</v>
      </c>
      <c r="F889" s="4"/>
      <c r="G889" s="4" t="s">
        <v>144</v>
      </c>
      <c r="H889" s="10">
        <v>135.2</v>
      </c>
      <c r="I889" s="4" t="s">
        <v>1048</v>
      </c>
    </row>
    <row r="890" ht="15.75" customHeight="1">
      <c r="A890" s="4" t="s">
        <v>2854</v>
      </c>
      <c r="B890" s="13">
        <v>46061.3519328704</v>
      </c>
      <c r="C890" s="4" t="s">
        <v>2855</v>
      </c>
      <c r="D890" s="4" t="s">
        <v>1075</v>
      </c>
      <c r="E890" s="4" t="s">
        <v>1064</v>
      </c>
      <c r="F890" s="4"/>
      <c r="G890" s="4"/>
      <c r="H890" s="4"/>
      <c r="I890" s="4" t="s">
        <v>587</v>
      </c>
    </row>
    <row r="891" ht="15.75" customHeight="1">
      <c r="A891" s="4" t="s">
        <v>2856</v>
      </c>
      <c r="B891" s="13">
        <v>46044.3986111111</v>
      </c>
      <c r="C891" s="4" t="s">
        <v>2857</v>
      </c>
      <c r="D891" s="4" t="s">
        <v>1089</v>
      </c>
      <c r="E891" s="4" t="s">
        <v>1105</v>
      </c>
      <c r="F891" s="4" t="s">
        <v>132</v>
      </c>
      <c r="G891" s="4"/>
      <c r="H891" s="4"/>
      <c r="I891" s="4" t="s">
        <v>1035</v>
      </c>
    </row>
    <row r="892" ht="15.75" customHeight="1">
      <c r="A892" s="4" t="s">
        <v>2858</v>
      </c>
      <c r="B892" s="13">
        <v>46070.7478240741</v>
      </c>
      <c r="C892" s="4" t="s">
        <v>2859</v>
      </c>
      <c r="D892" s="4" t="s">
        <v>1104</v>
      </c>
      <c r="E892" s="4" t="s">
        <v>1105</v>
      </c>
      <c r="F892" s="4" t="s">
        <v>71</v>
      </c>
      <c r="G892" s="4"/>
      <c r="H892" s="4"/>
      <c r="I892" s="4" t="s">
        <v>1036</v>
      </c>
    </row>
    <row r="893" ht="15.75" customHeight="1">
      <c r="A893" s="4" t="s">
        <v>2860</v>
      </c>
      <c r="B893" s="13">
        <v>46045.5570833333</v>
      </c>
      <c r="C893" s="4" t="s">
        <v>2861</v>
      </c>
      <c r="D893" s="4" t="s">
        <v>1110</v>
      </c>
      <c r="E893" s="4" t="s">
        <v>1064</v>
      </c>
      <c r="F893" s="4"/>
      <c r="G893" s="4" t="s">
        <v>126</v>
      </c>
      <c r="H893" s="10">
        <v>103.79</v>
      </c>
      <c r="I893" s="4" t="s">
        <v>1042</v>
      </c>
    </row>
    <row r="894" ht="15.75" customHeight="1">
      <c r="A894" s="4" t="s">
        <v>2862</v>
      </c>
      <c r="B894" s="13">
        <v>46126.831724537</v>
      </c>
      <c r="C894" s="4" t="s">
        <v>2863</v>
      </c>
      <c r="D894" s="4" t="s">
        <v>1128</v>
      </c>
      <c r="E894" s="4" t="s">
        <v>1090</v>
      </c>
      <c r="F894" s="4" t="s">
        <v>821</v>
      </c>
      <c r="G894" s="4"/>
      <c r="H894" s="4"/>
      <c r="I894" s="4" t="s">
        <v>1052</v>
      </c>
    </row>
    <row r="895" ht="15.75" customHeight="1">
      <c r="A895" s="4" t="s">
        <v>2864</v>
      </c>
      <c r="B895" s="13">
        <v>46059.7852430556</v>
      </c>
      <c r="C895" s="4" t="s">
        <v>2865</v>
      </c>
      <c r="D895" s="4" t="s">
        <v>1063</v>
      </c>
      <c r="E895" s="4" t="s">
        <v>1064</v>
      </c>
      <c r="F895" s="4"/>
      <c r="G895" s="4" t="s">
        <v>244</v>
      </c>
      <c r="H895" s="4"/>
      <c r="I895" s="4" t="s">
        <v>587</v>
      </c>
    </row>
    <row r="896" ht="15.75" customHeight="1">
      <c r="A896" s="4" t="s">
        <v>2866</v>
      </c>
      <c r="B896" s="13">
        <v>46126.7394675926</v>
      </c>
      <c r="C896" s="4" t="s">
        <v>2867</v>
      </c>
      <c r="D896" s="4" t="s">
        <v>1163</v>
      </c>
      <c r="E896" s="4" t="s">
        <v>1119</v>
      </c>
      <c r="F896" s="4"/>
      <c r="G896" s="4"/>
      <c r="H896" s="4"/>
      <c r="I896" s="4" t="s">
        <v>1050</v>
      </c>
    </row>
    <row r="897" ht="15.75" customHeight="1">
      <c r="A897" s="4" t="s">
        <v>2868</v>
      </c>
      <c r="B897" s="13">
        <v>46073.5676736111</v>
      </c>
      <c r="C897" s="4" t="s">
        <v>2869</v>
      </c>
      <c r="D897" s="4" t="s">
        <v>1110</v>
      </c>
      <c r="E897" s="4" t="s">
        <v>1064</v>
      </c>
      <c r="F897" s="4"/>
      <c r="G897" s="4" t="s">
        <v>195</v>
      </c>
      <c r="H897" s="10">
        <v>147.64</v>
      </c>
      <c r="I897" s="4" t="s">
        <v>1039</v>
      </c>
    </row>
    <row r="898" ht="15.75" customHeight="1">
      <c r="A898" s="4" t="s">
        <v>2870</v>
      </c>
      <c r="B898" s="13">
        <v>46105.6299537037</v>
      </c>
      <c r="C898" s="4" t="s">
        <v>2871</v>
      </c>
      <c r="D898" s="4" t="s">
        <v>1163</v>
      </c>
      <c r="E898" s="4" t="s">
        <v>1072</v>
      </c>
      <c r="F898" s="4"/>
      <c r="G898" s="4"/>
      <c r="H898" s="4"/>
      <c r="I898" s="4" t="s">
        <v>1035</v>
      </c>
    </row>
    <row r="899" ht="15.75" customHeight="1">
      <c r="A899" s="4" t="s">
        <v>2872</v>
      </c>
      <c r="B899" s="13">
        <v>46119.8478935185</v>
      </c>
      <c r="C899" s="4" t="s">
        <v>2873</v>
      </c>
      <c r="D899" s="4" t="s">
        <v>1063</v>
      </c>
      <c r="E899" s="4" t="s">
        <v>1064</v>
      </c>
      <c r="F899" s="4"/>
      <c r="G899" s="4" t="s">
        <v>190</v>
      </c>
      <c r="H899" s="4"/>
      <c r="I899" s="4" t="s">
        <v>427</v>
      </c>
    </row>
    <row r="900" ht="15.75" customHeight="1">
      <c r="A900" s="4" t="s">
        <v>2874</v>
      </c>
      <c r="B900" s="13">
        <v>46086.841712963</v>
      </c>
      <c r="C900" s="4" t="s">
        <v>2875</v>
      </c>
      <c r="D900" s="4" t="s">
        <v>1110</v>
      </c>
      <c r="E900" s="4" t="s">
        <v>1064</v>
      </c>
      <c r="F900" s="4"/>
      <c r="G900" s="4" t="s">
        <v>107</v>
      </c>
      <c r="H900" s="10">
        <v>61.93</v>
      </c>
      <c r="I900" s="4" t="s">
        <v>1042</v>
      </c>
    </row>
    <row r="901" ht="15.75" customHeight="1">
      <c r="A901" s="4" t="s">
        <v>2876</v>
      </c>
      <c r="B901" s="13">
        <v>46046.6951967593</v>
      </c>
      <c r="C901" s="4" t="s">
        <v>2877</v>
      </c>
      <c r="D901" s="4" t="s">
        <v>1075</v>
      </c>
      <c r="E901" s="4" t="s">
        <v>1064</v>
      </c>
      <c r="F901" s="4"/>
      <c r="G901" s="4"/>
      <c r="H901" s="4"/>
      <c r="I901" s="4" t="s">
        <v>1036</v>
      </c>
    </row>
    <row r="902" ht="15.75" customHeight="1">
      <c r="A902" s="4" t="s">
        <v>2878</v>
      </c>
      <c r="B902" s="13">
        <v>46098.5079282407</v>
      </c>
      <c r="C902" s="4" t="s">
        <v>2879</v>
      </c>
      <c r="D902" s="4" t="s">
        <v>1104</v>
      </c>
      <c r="E902" s="4" t="s">
        <v>1105</v>
      </c>
      <c r="F902" s="4" t="s">
        <v>153</v>
      </c>
      <c r="G902" s="4"/>
      <c r="H902" s="4"/>
      <c r="I902" s="4" t="s">
        <v>1039</v>
      </c>
    </row>
    <row r="903" ht="15.75" customHeight="1">
      <c r="A903" s="4" t="s">
        <v>2880</v>
      </c>
      <c r="B903" s="13">
        <v>46039.9126967593</v>
      </c>
      <c r="C903" s="4" t="s">
        <v>2881</v>
      </c>
      <c r="D903" s="4" t="s">
        <v>1075</v>
      </c>
      <c r="E903" s="4" t="s">
        <v>1064</v>
      </c>
      <c r="F903" s="4"/>
      <c r="G903" s="4"/>
      <c r="H903" s="4"/>
      <c r="I903" s="4" t="s">
        <v>1048</v>
      </c>
    </row>
    <row r="904" ht="15.75" customHeight="1">
      <c r="A904" s="4" t="s">
        <v>2882</v>
      </c>
      <c r="B904" s="13">
        <v>46074.6834027778</v>
      </c>
      <c r="C904" s="4" t="s">
        <v>2883</v>
      </c>
      <c r="D904" s="4" t="s">
        <v>1081</v>
      </c>
      <c r="E904" s="4" t="s">
        <v>1064</v>
      </c>
      <c r="F904" s="4"/>
      <c r="G904" s="4"/>
      <c r="H904" s="4"/>
      <c r="I904" s="4" t="s">
        <v>1030</v>
      </c>
    </row>
    <row r="905" ht="15.75" customHeight="1">
      <c r="A905" s="4" t="s">
        <v>2884</v>
      </c>
      <c r="B905" s="13">
        <v>46126.6256944445</v>
      </c>
      <c r="C905" s="4" t="s">
        <v>2885</v>
      </c>
      <c r="D905" s="4" t="s">
        <v>1093</v>
      </c>
      <c r="E905" s="4" t="s">
        <v>1064</v>
      </c>
      <c r="F905" s="4"/>
      <c r="G905" s="4"/>
      <c r="H905" s="4"/>
      <c r="I905" s="4" t="s">
        <v>1048</v>
      </c>
    </row>
    <row r="906" ht="15.75" customHeight="1">
      <c r="A906" s="4" t="s">
        <v>2886</v>
      </c>
      <c r="B906" s="13">
        <v>46063.5118402778</v>
      </c>
      <c r="C906" s="4" t="s">
        <v>2887</v>
      </c>
      <c r="D906" s="4" t="s">
        <v>1078</v>
      </c>
      <c r="E906" s="4" t="s">
        <v>1064</v>
      </c>
      <c r="F906" s="4"/>
      <c r="G906" s="4" t="s">
        <v>195</v>
      </c>
      <c r="H906" s="10">
        <v>131.19</v>
      </c>
      <c r="I906" s="4" t="s">
        <v>587</v>
      </c>
    </row>
    <row r="907" ht="15.75" customHeight="1">
      <c r="A907" s="4" t="s">
        <v>2888</v>
      </c>
      <c r="B907" s="13">
        <v>46068.3472916667</v>
      </c>
      <c r="C907" s="4" t="s">
        <v>2889</v>
      </c>
      <c r="D907" s="4" t="s">
        <v>1063</v>
      </c>
      <c r="E907" s="4" t="s">
        <v>1064</v>
      </c>
      <c r="F907" s="4"/>
      <c r="G907" s="4" t="s">
        <v>190</v>
      </c>
      <c r="H907" s="4"/>
      <c r="I907" s="4" t="s">
        <v>1050</v>
      </c>
    </row>
    <row r="908" ht="15.75" customHeight="1">
      <c r="A908" s="4" t="s">
        <v>2890</v>
      </c>
      <c r="B908" s="13">
        <v>46108.3985416667</v>
      </c>
      <c r="C908" s="4" t="s">
        <v>2891</v>
      </c>
      <c r="D908" s="4" t="s">
        <v>1110</v>
      </c>
      <c r="E908" s="4" t="s">
        <v>1064</v>
      </c>
      <c r="F908" s="4"/>
      <c r="G908" s="4" t="s">
        <v>232</v>
      </c>
      <c r="H908" s="10">
        <v>83.32</v>
      </c>
      <c r="I908" s="4" t="s">
        <v>1036</v>
      </c>
    </row>
    <row r="909" ht="15.75" customHeight="1">
      <c r="A909" s="4" t="s">
        <v>2892</v>
      </c>
      <c r="B909" s="13">
        <v>46070.7049537037</v>
      </c>
      <c r="C909" s="4" t="s">
        <v>2893</v>
      </c>
      <c r="D909" s="4" t="s">
        <v>1128</v>
      </c>
      <c r="E909" s="4" t="s">
        <v>1090</v>
      </c>
      <c r="F909" s="4" t="s">
        <v>790</v>
      </c>
      <c r="G909" s="4"/>
      <c r="H909" s="4"/>
      <c r="I909" s="4" t="s">
        <v>1028</v>
      </c>
    </row>
    <row r="910" ht="15.75" customHeight="1">
      <c r="A910" s="4" t="s">
        <v>2894</v>
      </c>
      <c r="B910" s="13">
        <v>46064.4841550926</v>
      </c>
      <c r="C910" s="4" t="s">
        <v>2895</v>
      </c>
      <c r="D910" s="4" t="s">
        <v>1081</v>
      </c>
      <c r="E910" s="4" t="s">
        <v>1064</v>
      </c>
      <c r="F910" s="4"/>
      <c r="G910" s="4"/>
      <c r="H910" s="4"/>
      <c r="I910" s="4" t="s">
        <v>1046</v>
      </c>
    </row>
    <row r="911" ht="15.75" customHeight="1">
      <c r="A911" s="4" t="s">
        <v>2896</v>
      </c>
      <c r="B911" s="13">
        <v>46078.9863888889</v>
      </c>
      <c r="C911" s="4" t="s">
        <v>2897</v>
      </c>
      <c r="D911" s="4" t="s">
        <v>1089</v>
      </c>
      <c r="E911" s="4" t="s">
        <v>1090</v>
      </c>
      <c r="F911" s="4" t="s">
        <v>811</v>
      </c>
      <c r="G911" s="4"/>
      <c r="H911" s="4"/>
      <c r="I911" s="4" t="s">
        <v>1036</v>
      </c>
    </row>
    <row r="912" ht="15.75" customHeight="1">
      <c r="A912" s="4" t="s">
        <v>2898</v>
      </c>
      <c r="B912" s="13">
        <v>46078.796087963</v>
      </c>
      <c r="C912" s="4" t="s">
        <v>2899</v>
      </c>
      <c r="D912" s="4" t="s">
        <v>1163</v>
      </c>
      <c r="E912" s="4" t="s">
        <v>1119</v>
      </c>
      <c r="F912" s="4"/>
      <c r="G912" s="4"/>
      <c r="H912" s="4"/>
      <c r="I912" s="4" t="s">
        <v>1028</v>
      </c>
    </row>
    <row r="913" ht="15.75" customHeight="1">
      <c r="A913" s="4" t="s">
        <v>2900</v>
      </c>
      <c r="B913" s="13">
        <v>46078.6693981482</v>
      </c>
      <c r="C913" s="4" t="s">
        <v>2901</v>
      </c>
      <c r="D913" s="4" t="s">
        <v>1078</v>
      </c>
      <c r="E913" s="4" t="s">
        <v>1064</v>
      </c>
      <c r="F913" s="4"/>
      <c r="G913" s="4" t="s">
        <v>195</v>
      </c>
      <c r="H913" s="10">
        <v>138.17</v>
      </c>
      <c r="I913" s="4" t="s">
        <v>1048</v>
      </c>
    </row>
    <row r="914" ht="15.75" customHeight="1">
      <c r="A914" s="4" t="s">
        <v>2902</v>
      </c>
      <c r="B914" s="13">
        <v>46129.5759259259</v>
      </c>
      <c r="C914" s="4" t="s">
        <v>2903</v>
      </c>
      <c r="D914" s="4" t="s">
        <v>1110</v>
      </c>
      <c r="E914" s="4" t="s">
        <v>1064</v>
      </c>
      <c r="F914" s="4"/>
      <c r="G914" s="4" t="s">
        <v>150</v>
      </c>
      <c r="H914" s="10">
        <v>31.81</v>
      </c>
      <c r="I914" s="4" t="s">
        <v>1048</v>
      </c>
    </row>
    <row r="915" ht="15.75" customHeight="1">
      <c r="A915" s="4" t="s">
        <v>2904</v>
      </c>
      <c r="B915" s="13">
        <v>46073.964375</v>
      </c>
      <c r="C915" s="4" t="s">
        <v>2905</v>
      </c>
      <c r="D915" s="4" t="s">
        <v>1078</v>
      </c>
      <c r="E915" s="4" t="s">
        <v>1064</v>
      </c>
      <c r="F915" s="4"/>
      <c r="G915" s="4" t="s">
        <v>93</v>
      </c>
      <c r="H915" s="10">
        <v>138.46</v>
      </c>
      <c r="I915" s="4" t="s">
        <v>1030</v>
      </c>
    </row>
    <row r="916" ht="15.75" customHeight="1">
      <c r="A916" s="4" t="s">
        <v>2906</v>
      </c>
      <c r="B916" s="13">
        <v>46073.566087963</v>
      </c>
      <c r="C916" s="4" t="s">
        <v>2907</v>
      </c>
      <c r="D916" s="4" t="s">
        <v>1071</v>
      </c>
      <c r="E916" s="4" t="s">
        <v>1119</v>
      </c>
      <c r="F916" s="4"/>
      <c r="G916" s="4"/>
      <c r="H916" s="4"/>
      <c r="I916" s="4" t="s">
        <v>1048</v>
      </c>
    </row>
    <row r="917" ht="15.75" customHeight="1">
      <c r="A917" s="4" t="s">
        <v>2908</v>
      </c>
      <c r="B917" s="13">
        <v>46068.8408333333</v>
      </c>
      <c r="C917" s="4" t="s">
        <v>2909</v>
      </c>
      <c r="D917" s="4" t="s">
        <v>1128</v>
      </c>
      <c r="E917" s="4" t="s">
        <v>1105</v>
      </c>
      <c r="F917" s="4" t="s">
        <v>297</v>
      </c>
      <c r="G917" s="4"/>
      <c r="H917" s="4"/>
      <c r="I917" s="4" t="s">
        <v>1050</v>
      </c>
    </row>
    <row r="918" ht="15.75" customHeight="1">
      <c r="A918" s="4" t="s">
        <v>2910</v>
      </c>
      <c r="B918" s="13">
        <v>46105.3374305556</v>
      </c>
      <c r="C918" s="4" t="s">
        <v>2911</v>
      </c>
      <c r="D918" s="4" t="s">
        <v>1128</v>
      </c>
      <c r="E918" s="4" t="s">
        <v>1105</v>
      </c>
      <c r="F918" s="4" t="s">
        <v>251</v>
      </c>
      <c r="G918" s="4"/>
      <c r="H918" s="4"/>
      <c r="I918" s="4" t="s">
        <v>427</v>
      </c>
    </row>
    <row r="919" ht="15.75" customHeight="1">
      <c r="A919" s="4" t="s">
        <v>2912</v>
      </c>
      <c r="B919" s="13">
        <v>46024.3602314815</v>
      </c>
      <c r="C919" s="4" t="s">
        <v>2913</v>
      </c>
      <c r="D919" s="4" t="s">
        <v>1071</v>
      </c>
      <c r="E919" s="4" t="s">
        <v>1072</v>
      </c>
      <c r="F919" s="4"/>
      <c r="G919" s="4"/>
      <c r="H919" s="4"/>
      <c r="I919" s="4" t="s">
        <v>1031</v>
      </c>
    </row>
    <row r="920" ht="15.75" customHeight="1">
      <c r="A920" s="4" t="s">
        <v>2914</v>
      </c>
      <c r="B920" s="13">
        <v>46023.7075578704</v>
      </c>
      <c r="C920" s="4" t="s">
        <v>2915</v>
      </c>
      <c r="D920" s="4" t="s">
        <v>1075</v>
      </c>
      <c r="E920" s="4" t="s">
        <v>1064</v>
      </c>
      <c r="F920" s="4"/>
      <c r="G920" s="4"/>
      <c r="H920" s="4"/>
      <c r="I920" s="4" t="s">
        <v>1031</v>
      </c>
    </row>
    <row r="921" ht="15.75" customHeight="1">
      <c r="A921" s="4" t="s">
        <v>2916</v>
      </c>
      <c r="B921" s="13">
        <v>46046.4381134259</v>
      </c>
      <c r="C921" s="4" t="s">
        <v>2917</v>
      </c>
      <c r="D921" s="4" t="s">
        <v>1110</v>
      </c>
      <c r="E921" s="4" t="s">
        <v>1064</v>
      </c>
      <c r="F921" s="4"/>
      <c r="G921" s="4" t="s">
        <v>227</v>
      </c>
      <c r="H921" s="10">
        <v>38.58</v>
      </c>
      <c r="I921" s="4" t="s">
        <v>1035</v>
      </c>
    </row>
    <row r="922" ht="15.75" customHeight="1">
      <c r="A922" s="4" t="s">
        <v>2918</v>
      </c>
      <c r="B922" s="13">
        <v>46096.6356828704</v>
      </c>
      <c r="C922" s="4" t="s">
        <v>2919</v>
      </c>
      <c r="D922" s="4" t="s">
        <v>1104</v>
      </c>
      <c r="E922" s="4" t="s">
        <v>1105</v>
      </c>
      <c r="F922" s="4" t="s">
        <v>221</v>
      </c>
      <c r="G922" s="4"/>
      <c r="H922" s="4"/>
      <c r="I922" s="4" t="s">
        <v>1030</v>
      </c>
    </row>
    <row r="923" ht="15.75" customHeight="1">
      <c r="A923" s="4" t="s">
        <v>2920</v>
      </c>
      <c r="B923" s="13">
        <v>46098.6422916667</v>
      </c>
      <c r="C923" s="4" t="s">
        <v>2921</v>
      </c>
      <c r="D923" s="4" t="s">
        <v>1104</v>
      </c>
      <c r="E923" s="4" t="s">
        <v>1105</v>
      </c>
      <c r="F923" s="4" t="s">
        <v>229</v>
      </c>
      <c r="G923" s="4"/>
      <c r="H923" s="4"/>
      <c r="I923" s="4" t="s">
        <v>1028</v>
      </c>
    </row>
    <row r="924" ht="15.75" customHeight="1">
      <c r="A924" s="4" t="s">
        <v>2922</v>
      </c>
      <c r="B924" s="13">
        <v>46064.8454282407</v>
      </c>
      <c r="C924" s="4" t="s">
        <v>2923</v>
      </c>
      <c r="D924" s="4" t="s">
        <v>1089</v>
      </c>
      <c r="E924" s="4" t="s">
        <v>1090</v>
      </c>
      <c r="F924" s="4" t="s">
        <v>829</v>
      </c>
      <c r="G924" s="4"/>
      <c r="H924" s="4"/>
      <c r="I924" s="4" t="s">
        <v>427</v>
      </c>
    </row>
    <row r="925" ht="15.75" customHeight="1">
      <c r="A925" s="4" t="s">
        <v>2924</v>
      </c>
      <c r="B925" s="13">
        <v>46059.6149652778</v>
      </c>
      <c r="C925" s="4" t="s">
        <v>2925</v>
      </c>
      <c r="D925" s="4" t="s">
        <v>1075</v>
      </c>
      <c r="E925" s="4" t="s">
        <v>1064</v>
      </c>
      <c r="F925" s="4"/>
      <c r="G925" s="4"/>
      <c r="H925" s="4"/>
      <c r="I925" s="4" t="s">
        <v>1052</v>
      </c>
    </row>
    <row r="926" ht="15.75" customHeight="1">
      <c r="A926" s="4" t="s">
        <v>2926</v>
      </c>
      <c r="B926" s="13">
        <v>46045.5954513889</v>
      </c>
      <c r="C926" s="4" t="s">
        <v>2927</v>
      </c>
      <c r="D926" s="4" t="s">
        <v>1093</v>
      </c>
      <c r="E926" s="4" t="s">
        <v>1064</v>
      </c>
      <c r="F926" s="4"/>
      <c r="G926" s="4"/>
      <c r="H926" s="4"/>
      <c r="I926" s="4" t="s">
        <v>427</v>
      </c>
    </row>
    <row r="927" ht="15.75" customHeight="1">
      <c r="A927" s="4" t="s">
        <v>2928</v>
      </c>
      <c r="B927" s="13">
        <v>46109.4679976852</v>
      </c>
      <c r="C927" s="4" t="s">
        <v>2929</v>
      </c>
      <c r="D927" s="4" t="s">
        <v>1110</v>
      </c>
      <c r="E927" s="4" t="s">
        <v>1064</v>
      </c>
      <c r="F927" s="4"/>
      <c r="G927" s="4" t="s">
        <v>107</v>
      </c>
      <c r="H927" s="10">
        <v>88.02</v>
      </c>
      <c r="I927" s="4" t="s">
        <v>1030</v>
      </c>
    </row>
    <row r="928" ht="15.75" customHeight="1">
      <c r="A928" s="4" t="s">
        <v>2930</v>
      </c>
      <c r="B928" s="13">
        <v>46061.5088541667</v>
      </c>
      <c r="C928" s="4" t="s">
        <v>2931</v>
      </c>
      <c r="D928" s="4" t="s">
        <v>1075</v>
      </c>
      <c r="E928" s="4" t="s">
        <v>1064</v>
      </c>
      <c r="F928" s="4"/>
      <c r="G928" s="4"/>
      <c r="H928" s="4"/>
      <c r="I928" s="4" t="s">
        <v>1050</v>
      </c>
    </row>
    <row r="929" ht="15.75" customHeight="1">
      <c r="A929" s="4" t="s">
        <v>2932</v>
      </c>
      <c r="B929" s="13">
        <v>46118.603599537</v>
      </c>
      <c r="C929" s="4" t="s">
        <v>2933</v>
      </c>
      <c r="D929" s="4" t="s">
        <v>1104</v>
      </c>
      <c r="E929" s="4" t="s">
        <v>1105</v>
      </c>
      <c r="F929" s="4" t="s">
        <v>209</v>
      </c>
      <c r="G929" s="4"/>
      <c r="H929" s="4"/>
      <c r="I929" s="4" t="s">
        <v>1035</v>
      </c>
    </row>
    <row r="930" ht="15.75" customHeight="1">
      <c r="A930" s="4" t="s">
        <v>2934</v>
      </c>
      <c r="B930" s="13">
        <v>46077.6182407407</v>
      </c>
      <c r="C930" s="4" t="s">
        <v>2935</v>
      </c>
      <c r="D930" s="4" t="s">
        <v>1089</v>
      </c>
      <c r="E930" s="4" t="s">
        <v>1090</v>
      </c>
      <c r="F930" s="4" t="s">
        <v>831</v>
      </c>
      <c r="G930" s="4"/>
      <c r="H930" s="4"/>
      <c r="I930" s="4" t="s">
        <v>1031</v>
      </c>
    </row>
    <row r="931" ht="15.75" customHeight="1">
      <c r="A931" s="4" t="s">
        <v>2936</v>
      </c>
      <c r="B931" s="13">
        <v>46083.7877430556</v>
      </c>
      <c r="C931" s="4" t="s">
        <v>2937</v>
      </c>
      <c r="D931" s="4" t="s">
        <v>1104</v>
      </c>
      <c r="E931" s="4" t="s">
        <v>1090</v>
      </c>
      <c r="F931" s="4" t="s">
        <v>827</v>
      </c>
      <c r="G931" s="4"/>
      <c r="H931" s="4"/>
      <c r="I931" s="4" t="s">
        <v>587</v>
      </c>
    </row>
    <row r="932" ht="15.75" customHeight="1">
      <c r="A932" s="4" t="s">
        <v>2938</v>
      </c>
      <c r="B932" s="13">
        <v>46102.5911921296</v>
      </c>
      <c r="C932" s="4" t="s">
        <v>2939</v>
      </c>
      <c r="D932" s="4" t="s">
        <v>1093</v>
      </c>
      <c r="E932" s="4" t="s">
        <v>1064</v>
      </c>
      <c r="F932" s="4"/>
      <c r="G932" s="4"/>
      <c r="H932" s="4"/>
      <c r="I932" s="4" t="s">
        <v>1048</v>
      </c>
    </row>
    <row r="933" ht="15.75" customHeight="1">
      <c r="A933" s="4" t="s">
        <v>2940</v>
      </c>
      <c r="B933" s="13">
        <v>46079.7207060185</v>
      </c>
      <c r="C933" s="4" t="s">
        <v>2941</v>
      </c>
      <c r="D933" s="4" t="s">
        <v>1110</v>
      </c>
      <c r="E933" s="4" t="s">
        <v>1064</v>
      </c>
      <c r="F933" s="4"/>
      <c r="G933" s="4" t="s">
        <v>126</v>
      </c>
      <c r="H933" s="10">
        <v>84.96</v>
      </c>
      <c r="I933" s="4" t="s">
        <v>1031</v>
      </c>
    </row>
    <row r="934" ht="15.75" customHeight="1">
      <c r="A934" s="4" t="s">
        <v>2942</v>
      </c>
      <c r="B934" s="13">
        <v>46124.6061574074</v>
      </c>
      <c r="C934" s="4" t="s">
        <v>2943</v>
      </c>
      <c r="D934" s="4" t="s">
        <v>1063</v>
      </c>
      <c r="E934" s="4" t="s">
        <v>1064</v>
      </c>
      <c r="F934" s="4"/>
      <c r="G934" s="4" t="s">
        <v>144</v>
      </c>
      <c r="H934" s="4"/>
      <c r="I934" s="4" t="s">
        <v>427</v>
      </c>
    </row>
    <row r="935" ht="15.75" customHeight="1">
      <c r="A935" s="4" t="s">
        <v>2944</v>
      </c>
      <c r="B935" s="13">
        <v>46060.8244675926</v>
      </c>
      <c r="C935" s="4" t="s">
        <v>2945</v>
      </c>
      <c r="D935" s="4" t="s">
        <v>1063</v>
      </c>
      <c r="E935" s="4" t="s">
        <v>1064</v>
      </c>
      <c r="F935" s="4"/>
      <c r="G935" s="4" t="s">
        <v>100</v>
      </c>
      <c r="H935" s="4"/>
      <c r="I935" s="4" t="s">
        <v>1050</v>
      </c>
    </row>
    <row r="936" ht="15.75" customHeight="1">
      <c r="A936" s="4" t="s">
        <v>2946</v>
      </c>
      <c r="B936" s="13">
        <v>46082.5503819444</v>
      </c>
      <c r="C936" s="4" t="s">
        <v>2947</v>
      </c>
      <c r="D936" s="4" t="s">
        <v>1086</v>
      </c>
      <c r="E936" s="4" t="s">
        <v>1064</v>
      </c>
      <c r="F936" s="4"/>
      <c r="G936" s="4"/>
      <c r="H936" s="4"/>
      <c r="I936" s="4" t="s">
        <v>1042</v>
      </c>
    </row>
    <row r="937" ht="15.75" customHeight="1">
      <c r="A937" s="4" t="s">
        <v>2948</v>
      </c>
      <c r="B937" s="13">
        <v>46066.6478587963</v>
      </c>
      <c r="C937" s="4" t="s">
        <v>2949</v>
      </c>
      <c r="D937" s="4" t="s">
        <v>1071</v>
      </c>
      <c r="E937" s="4" t="s">
        <v>1072</v>
      </c>
      <c r="F937" s="4"/>
      <c r="G937" s="4"/>
      <c r="H937" s="4"/>
      <c r="I937" s="4" t="s">
        <v>1031</v>
      </c>
    </row>
    <row r="938" ht="15.75" customHeight="1">
      <c r="A938" s="4" t="s">
        <v>2950</v>
      </c>
      <c r="B938" s="13">
        <v>46058.6394560185</v>
      </c>
      <c r="C938" s="4" t="s">
        <v>2951</v>
      </c>
      <c r="D938" s="4" t="s">
        <v>1086</v>
      </c>
      <c r="E938" s="4" t="s">
        <v>1064</v>
      </c>
      <c r="F938" s="4"/>
      <c r="G938" s="4"/>
      <c r="H938" s="4"/>
      <c r="I938" s="4" t="s">
        <v>1035</v>
      </c>
    </row>
    <row r="939" ht="15.75" customHeight="1">
      <c r="A939" s="4" t="s">
        <v>2952</v>
      </c>
      <c r="B939" s="13">
        <v>46084.428275463</v>
      </c>
      <c r="C939" s="4" t="s">
        <v>2953</v>
      </c>
      <c r="D939" s="4" t="s">
        <v>1110</v>
      </c>
      <c r="E939" s="4" t="s">
        <v>1064</v>
      </c>
      <c r="F939" s="4"/>
      <c r="G939" s="4" t="s">
        <v>61</v>
      </c>
      <c r="H939" s="10">
        <v>184.25</v>
      </c>
      <c r="I939" s="4" t="s">
        <v>1050</v>
      </c>
    </row>
    <row r="940" ht="15.75" customHeight="1">
      <c r="A940" s="4" t="s">
        <v>2954</v>
      </c>
      <c r="B940" s="13">
        <v>46081.6786226852</v>
      </c>
      <c r="C940" s="4" t="s">
        <v>2955</v>
      </c>
      <c r="D940" s="4" t="s">
        <v>1110</v>
      </c>
      <c r="E940" s="4" t="s">
        <v>1064</v>
      </c>
      <c r="F940" s="4"/>
      <c r="G940" s="4" t="s">
        <v>227</v>
      </c>
      <c r="H940" s="10">
        <v>142.95</v>
      </c>
      <c r="I940" s="4" t="s">
        <v>1046</v>
      </c>
    </row>
    <row r="941" ht="15.75" customHeight="1">
      <c r="A941" s="4" t="s">
        <v>2956</v>
      </c>
      <c r="B941" s="13">
        <v>46132.8308564815</v>
      </c>
      <c r="C941" s="4" t="s">
        <v>2957</v>
      </c>
      <c r="D941" s="4" t="s">
        <v>1081</v>
      </c>
      <c r="E941" s="4" t="s">
        <v>1064</v>
      </c>
      <c r="F941" s="4"/>
      <c r="G941" s="4"/>
      <c r="H941" s="4"/>
      <c r="I941" s="4" t="s">
        <v>1028</v>
      </c>
    </row>
    <row r="942" ht="15.75" customHeight="1">
      <c r="A942" s="4" t="s">
        <v>2958</v>
      </c>
      <c r="B942" s="13">
        <v>46119.6427662037</v>
      </c>
      <c r="C942" s="4" t="s">
        <v>2959</v>
      </c>
      <c r="D942" s="4" t="s">
        <v>1075</v>
      </c>
      <c r="E942" s="4" t="s">
        <v>1064</v>
      </c>
      <c r="F942" s="4"/>
      <c r="G942" s="4"/>
      <c r="H942" s="4"/>
      <c r="I942" s="4" t="s">
        <v>1030</v>
      </c>
    </row>
    <row r="943" ht="15.75" customHeight="1">
      <c r="A943" s="4" t="s">
        <v>2960</v>
      </c>
      <c r="B943" s="13">
        <v>46070.3771875</v>
      </c>
      <c r="C943" s="4" t="s">
        <v>2961</v>
      </c>
      <c r="D943" s="4" t="s">
        <v>1163</v>
      </c>
      <c r="E943" s="4" t="s">
        <v>1119</v>
      </c>
      <c r="F943" s="4"/>
      <c r="G943" s="4"/>
      <c r="H943" s="4"/>
      <c r="I943" s="4" t="s">
        <v>1030</v>
      </c>
    </row>
    <row r="944" ht="15.75" customHeight="1">
      <c r="A944" s="4" t="s">
        <v>2962</v>
      </c>
      <c r="B944" s="13">
        <v>46122.7229398148</v>
      </c>
      <c r="C944" s="4" t="s">
        <v>2963</v>
      </c>
      <c r="D944" s="4" t="s">
        <v>1089</v>
      </c>
      <c r="E944" s="4" t="s">
        <v>1090</v>
      </c>
      <c r="F944" s="4" t="s">
        <v>796</v>
      </c>
      <c r="G944" s="4"/>
      <c r="H944" s="4"/>
      <c r="I944" s="4" t="s">
        <v>1031</v>
      </c>
    </row>
    <row r="945" ht="15.75" customHeight="1">
      <c r="A945" s="4" t="s">
        <v>2964</v>
      </c>
      <c r="B945" s="13">
        <v>46027.7896064815</v>
      </c>
      <c r="C945" s="4" t="s">
        <v>2965</v>
      </c>
      <c r="D945" s="4" t="s">
        <v>1075</v>
      </c>
      <c r="E945" s="4" t="s">
        <v>1064</v>
      </c>
      <c r="F945" s="4"/>
      <c r="G945" s="4"/>
      <c r="H945" s="4"/>
      <c r="I945" s="4" t="s">
        <v>1036</v>
      </c>
    </row>
    <row r="946" ht="15.75" customHeight="1">
      <c r="A946" s="4" t="s">
        <v>2966</v>
      </c>
      <c r="B946" s="13">
        <v>46054.5843171296</v>
      </c>
      <c r="C946" s="4" t="s">
        <v>2967</v>
      </c>
      <c r="D946" s="4" t="s">
        <v>1163</v>
      </c>
      <c r="E946" s="4" t="s">
        <v>1119</v>
      </c>
      <c r="F946" s="4"/>
      <c r="G946" s="4"/>
      <c r="H946" s="4"/>
      <c r="I946" s="4" t="s">
        <v>1046</v>
      </c>
    </row>
    <row r="947" ht="15.75" customHeight="1">
      <c r="A947" s="4" t="s">
        <v>2968</v>
      </c>
      <c r="B947" s="13">
        <v>46124.4833217593</v>
      </c>
      <c r="C947" s="4" t="s">
        <v>2969</v>
      </c>
      <c r="D947" s="4" t="s">
        <v>1086</v>
      </c>
      <c r="E947" s="4" t="s">
        <v>1064</v>
      </c>
      <c r="F947" s="4"/>
      <c r="G947" s="4"/>
      <c r="H947" s="4"/>
      <c r="I947" s="4" t="s">
        <v>1031</v>
      </c>
    </row>
    <row r="948" ht="15.75" customHeight="1">
      <c r="A948" s="4" t="s">
        <v>2970</v>
      </c>
      <c r="B948" s="13">
        <v>46096.7007523148</v>
      </c>
      <c r="C948" s="4" t="s">
        <v>2971</v>
      </c>
      <c r="D948" s="4" t="s">
        <v>1093</v>
      </c>
      <c r="E948" s="4" t="s">
        <v>1064</v>
      </c>
      <c r="F948" s="4"/>
      <c r="G948" s="4"/>
      <c r="H948" s="4"/>
      <c r="I948" s="4" t="s">
        <v>1048</v>
      </c>
    </row>
    <row r="949" ht="15.75" customHeight="1">
      <c r="A949" s="4" t="s">
        <v>2972</v>
      </c>
      <c r="B949" s="13">
        <v>46087.8897337963</v>
      </c>
      <c r="C949" s="4" t="s">
        <v>2973</v>
      </c>
      <c r="D949" s="4" t="s">
        <v>1081</v>
      </c>
      <c r="E949" s="4" t="s">
        <v>1064</v>
      </c>
      <c r="F949" s="4"/>
      <c r="G949" s="4"/>
      <c r="H949" s="4"/>
      <c r="I949" s="4" t="s">
        <v>587</v>
      </c>
    </row>
    <row r="950" ht="15.75" customHeight="1">
      <c r="A950" s="4" t="s">
        <v>2974</v>
      </c>
      <c r="B950" s="13">
        <v>46072.9918171296</v>
      </c>
      <c r="C950" s="4" t="s">
        <v>2975</v>
      </c>
      <c r="D950" s="4" t="s">
        <v>1089</v>
      </c>
      <c r="E950" s="4" t="s">
        <v>1090</v>
      </c>
      <c r="F950" s="4" t="s">
        <v>819</v>
      </c>
      <c r="G950" s="4"/>
      <c r="H950" s="4"/>
      <c r="I950" s="4" t="s">
        <v>1048</v>
      </c>
    </row>
    <row r="951" ht="15.75" customHeight="1">
      <c r="A951" s="4" t="s">
        <v>2976</v>
      </c>
      <c r="B951" s="13">
        <v>46102.9757060185</v>
      </c>
      <c r="C951" s="4" t="s">
        <v>2977</v>
      </c>
      <c r="D951" s="4" t="s">
        <v>1086</v>
      </c>
      <c r="E951" s="4" t="s">
        <v>1064</v>
      </c>
      <c r="F951" s="4"/>
      <c r="G951" s="4"/>
      <c r="H951" s="4"/>
      <c r="I951" s="4" t="s">
        <v>1028</v>
      </c>
    </row>
    <row r="952" ht="15.75" customHeight="1">
      <c r="A952" s="4" t="s">
        <v>2978</v>
      </c>
      <c r="B952" s="13">
        <v>46061.5061689815</v>
      </c>
      <c r="C952" s="4" t="s">
        <v>2979</v>
      </c>
      <c r="D952" s="4" t="s">
        <v>1081</v>
      </c>
      <c r="E952" s="4" t="s">
        <v>1064</v>
      </c>
      <c r="F952" s="4"/>
      <c r="G952" s="4"/>
      <c r="H952" s="4"/>
      <c r="I952" s="4" t="s">
        <v>587</v>
      </c>
    </row>
    <row r="953" ht="15.75" customHeight="1">
      <c r="A953" s="4" t="s">
        <v>2980</v>
      </c>
      <c r="B953" s="13">
        <v>46077.4409143519</v>
      </c>
      <c r="C953" s="4" t="s">
        <v>2981</v>
      </c>
      <c r="D953" s="4" t="s">
        <v>1163</v>
      </c>
      <c r="E953" s="4" t="s">
        <v>1072</v>
      </c>
      <c r="F953" s="4"/>
      <c r="G953" s="4"/>
      <c r="H953" s="4"/>
      <c r="I953" s="4" t="s">
        <v>587</v>
      </c>
    </row>
    <row r="954" ht="15.75" customHeight="1">
      <c r="A954" s="4" t="s">
        <v>2982</v>
      </c>
      <c r="B954" s="13">
        <v>46120.4345833333</v>
      </c>
      <c r="C954" s="4" t="s">
        <v>2983</v>
      </c>
      <c r="D954" s="4" t="s">
        <v>1089</v>
      </c>
      <c r="E954" s="4" t="s">
        <v>1105</v>
      </c>
      <c r="F954" s="4" t="s">
        <v>253</v>
      </c>
      <c r="G954" s="4"/>
      <c r="H954" s="4"/>
      <c r="I954" s="4" t="s">
        <v>1036</v>
      </c>
    </row>
    <row r="955" ht="15.75" customHeight="1">
      <c r="A955" s="4" t="s">
        <v>2984</v>
      </c>
      <c r="B955" s="13">
        <v>46121.4469444445</v>
      </c>
      <c r="C955" s="4" t="s">
        <v>2985</v>
      </c>
      <c r="D955" s="4" t="s">
        <v>1128</v>
      </c>
      <c r="E955" s="4" t="s">
        <v>1105</v>
      </c>
      <c r="F955" s="4" t="s">
        <v>280</v>
      </c>
      <c r="G955" s="4"/>
      <c r="H955" s="4"/>
      <c r="I955" s="4" t="s">
        <v>1034</v>
      </c>
    </row>
    <row r="956" ht="15.75" customHeight="1">
      <c r="A956" s="4" t="s">
        <v>2986</v>
      </c>
      <c r="B956" s="13">
        <v>46121.6451967593</v>
      </c>
      <c r="C956" s="4" t="s">
        <v>2987</v>
      </c>
      <c r="D956" s="4" t="s">
        <v>1110</v>
      </c>
      <c r="E956" s="4" t="s">
        <v>1064</v>
      </c>
      <c r="F956" s="4"/>
      <c r="G956" s="4" t="s">
        <v>84</v>
      </c>
      <c r="H956" s="10">
        <v>157.48</v>
      </c>
      <c r="I956" s="4" t="s">
        <v>427</v>
      </c>
    </row>
    <row r="957" ht="15.75" customHeight="1">
      <c r="A957" s="4" t="s">
        <v>2988</v>
      </c>
      <c r="B957" s="13">
        <v>46098.7152893519</v>
      </c>
      <c r="C957" s="4" t="s">
        <v>2989</v>
      </c>
      <c r="D957" s="4" t="s">
        <v>1075</v>
      </c>
      <c r="E957" s="4" t="s">
        <v>1064</v>
      </c>
      <c r="F957" s="4"/>
      <c r="G957" s="4"/>
      <c r="H957" s="4"/>
      <c r="I957" s="4" t="s">
        <v>1052</v>
      </c>
    </row>
    <row r="958" ht="15.75" customHeight="1">
      <c r="A958" s="4" t="s">
        <v>2990</v>
      </c>
      <c r="B958" s="13">
        <v>46109.6391087963</v>
      </c>
      <c r="C958" s="4" t="s">
        <v>2991</v>
      </c>
      <c r="D958" s="4" t="s">
        <v>1104</v>
      </c>
      <c r="E958" s="4" t="s">
        <v>1090</v>
      </c>
      <c r="F958" s="4" t="s">
        <v>813</v>
      </c>
      <c r="G958" s="4"/>
      <c r="H958" s="4"/>
      <c r="I958" s="4" t="s">
        <v>1031</v>
      </c>
    </row>
    <row r="959" ht="15.75" customHeight="1">
      <c r="A959" s="4" t="s">
        <v>2992</v>
      </c>
      <c r="B959" s="13">
        <v>46026.859849537</v>
      </c>
      <c r="C959" s="4" t="s">
        <v>2993</v>
      </c>
      <c r="D959" s="4" t="s">
        <v>1093</v>
      </c>
      <c r="E959" s="4" t="s">
        <v>1064</v>
      </c>
      <c r="F959" s="4"/>
      <c r="G959" s="4"/>
      <c r="H959" s="4"/>
      <c r="I959" s="4" t="s">
        <v>1052</v>
      </c>
    </row>
    <row r="960" ht="15.75" customHeight="1">
      <c r="A960" s="4" t="s">
        <v>2994</v>
      </c>
      <c r="B960" s="13">
        <v>46070.6934375</v>
      </c>
      <c r="C960" s="4" t="s">
        <v>2995</v>
      </c>
      <c r="D960" s="4" t="s">
        <v>1089</v>
      </c>
      <c r="E960" s="4" t="s">
        <v>1090</v>
      </c>
      <c r="F960" s="4" t="s">
        <v>790</v>
      </c>
      <c r="G960" s="4"/>
      <c r="H960" s="4"/>
      <c r="I960" s="4" t="s">
        <v>1028</v>
      </c>
    </row>
    <row r="961" ht="15.75" customHeight="1">
      <c r="A961" s="4" t="s">
        <v>2996</v>
      </c>
      <c r="B961" s="13">
        <v>46126.4056597222</v>
      </c>
      <c r="C961" s="4" t="s">
        <v>2997</v>
      </c>
      <c r="D961" s="4" t="s">
        <v>1110</v>
      </c>
      <c r="E961" s="4" t="s">
        <v>1064</v>
      </c>
      <c r="F961" s="4"/>
      <c r="G961" s="4" t="s">
        <v>61</v>
      </c>
      <c r="H961" s="10">
        <v>127.95</v>
      </c>
      <c r="I961" s="4" t="s">
        <v>587</v>
      </c>
    </row>
    <row r="962" ht="15.75" customHeight="1">
      <c r="A962" s="4" t="s">
        <v>2998</v>
      </c>
      <c r="B962" s="13">
        <v>46072.8620023148</v>
      </c>
      <c r="C962" s="4" t="s">
        <v>2999</v>
      </c>
      <c r="D962" s="4" t="s">
        <v>1089</v>
      </c>
      <c r="E962" s="4" t="s">
        <v>1105</v>
      </c>
      <c r="F962" s="4" t="s">
        <v>297</v>
      </c>
      <c r="G962" s="4"/>
      <c r="H962" s="4"/>
      <c r="I962" s="4" t="s">
        <v>1035</v>
      </c>
    </row>
    <row r="963" ht="15.75" customHeight="1">
      <c r="A963" s="4" t="s">
        <v>3000</v>
      </c>
      <c r="B963" s="13">
        <v>46036.8624305556</v>
      </c>
      <c r="C963" s="4" t="s">
        <v>3001</v>
      </c>
      <c r="D963" s="4" t="s">
        <v>1089</v>
      </c>
      <c r="E963" s="4" t="s">
        <v>1105</v>
      </c>
      <c r="F963" s="4" t="s">
        <v>269</v>
      </c>
      <c r="G963" s="4"/>
      <c r="H963" s="4"/>
      <c r="I963" s="4" t="s">
        <v>1048</v>
      </c>
    </row>
    <row r="964" ht="15.75" customHeight="1">
      <c r="A964" s="4" t="s">
        <v>3002</v>
      </c>
      <c r="B964" s="13">
        <v>46065.3419907407</v>
      </c>
      <c r="C964" s="4" t="s">
        <v>3003</v>
      </c>
      <c r="D964" s="4" t="s">
        <v>1104</v>
      </c>
      <c r="E964" s="4" t="s">
        <v>1090</v>
      </c>
      <c r="F964" s="4" t="s">
        <v>800</v>
      </c>
      <c r="G964" s="4"/>
      <c r="H964" s="4"/>
      <c r="I964" s="4" t="s">
        <v>1028</v>
      </c>
    </row>
    <row r="965" ht="15.75" customHeight="1">
      <c r="A965" s="4" t="s">
        <v>3004</v>
      </c>
      <c r="B965" s="13">
        <v>46028.9555902778</v>
      </c>
      <c r="C965" s="4" t="s">
        <v>3005</v>
      </c>
      <c r="D965" s="4" t="s">
        <v>1078</v>
      </c>
      <c r="E965" s="4" t="s">
        <v>1064</v>
      </c>
      <c r="F965" s="4"/>
      <c r="G965" s="4" t="s">
        <v>100</v>
      </c>
      <c r="H965" s="10">
        <v>103.78</v>
      </c>
      <c r="I965" s="4" t="s">
        <v>587</v>
      </c>
    </row>
    <row r="966" ht="15.75" customHeight="1">
      <c r="A966" s="4" t="s">
        <v>3006</v>
      </c>
      <c r="B966" s="13">
        <v>46081.5591319444</v>
      </c>
      <c r="C966" s="4" t="s">
        <v>3007</v>
      </c>
      <c r="D966" s="4" t="s">
        <v>1104</v>
      </c>
      <c r="E966" s="4" t="s">
        <v>1105</v>
      </c>
      <c r="F966" s="4" t="s">
        <v>302</v>
      </c>
      <c r="G966" s="4"/>
      <c r="H966" s="4"/>
      <c r="I966" s="4" t="s">
        <v>1050</v>
      </c>
    </row>
    <row r="967" ht="15.75" customHeight="1">
      <c r="A967" s="4" t="s">
        <v>3008</v>
      </c>
      <c r="B967" s="13">
        <v>46130.7833449074</v>
      </c>
      <c r="C967" s="4" t="s">
        <v>3009</v>
      </c>
      <c r="D967" s="4" t="s">
        <v>1078</v>
      </c>
      <c r="E967" s="4" t="s">
        <v>1064</v>
      </c>
      <c r="F967" s="4"/>
      <c r="G967" s="4" t="s">
        <v>93</v>
      </c>
      <c r="H967" s="10">
        <v>172.32</v>
      </c>
      <c r="I967" s="4" t="s">
        <v>427</v>
      </c>
    </row>
    <row r="968" ht="15.75" customHeight="1">
      <c r="A968" s="4" t="s">
        <v>3010</v>
      </c>
      <c r="B968" s="13">
        <v>46105.9446412037</v>
      </c>
      <c r="C968" s="4" t="s">
        <v>3011</v>
      </c>
      <c r="D968" s="4" t="s">
        <v>1081</v>
      </c>
      <c r="E968" s="4" t="s">
        <v>1064</v>
      </c>
      <c r="F968" s="4"/>
      <c r="G968" s="4"/>
      <c r="H968" s="4"/>
      <c r="I968" s="4" t="s">
        <v>1031</v>
      </c>
    </row>
    <row r="969" ht="15.75" customHeight="1">
      <c r="A969" s="4" t="s">
        <v>3012</v>
      </c>
      <c r="B969" s="13">
        <v>46110.4907175926</v>
      </c>
      <c r="C969" s="4" t="s">
        <v>3013</v>
      </c>
      <c r="D969" s="4" t="s">
        <v>1071</v>
      </c>
      <c r="E969" s="4" t="s">
        <v>1072</v>
      </c>
      <c r="F969" s="4"/>
      <c r="G969" s="4"/>
      <c r="H969" s="4"/>
      <c r="I969" s="4" t="s">
        <v>1042</v>
      </c>
    </row>
    <row r="970" ht="15.75" customHeight="1">
      <c r="A970" s="4" t="s">
        <v>3014</v>
      </c>
      <c r="B970" s="13">
        <v>46027.5368171296</v>
      </c>
      <c r="C970" s="4" t="s">
        <v>3015</v>
      </c>
      <c r="D970" s="4" t="s">
        <v>1163</v>
      </c>
      <c r="E970" s="4" t="s">
        <v>1119</v>
      </c>
      <c r="F970" s="4"/>
      <c r="G970" s="4"/>
      <c r="H970" s="4"/>
      <c r="I970" s="4" t="s">
        <v>1035</v>
      </c>
    </row>
    <row r="971" ht="15.75" customHeight="1">
      <c r="A971" s="4" t="s">
        <v>3016</v>
      </c>
      <c r="B971" s="13">
        <v>46076.6138541667</v>
      </c>
      <c r="C971" s="4" t="s">
        <v>3017</v>
      </c>
      <c r="D971" s="4" t="s">
        <v>1128</v>
      </c>
      <c r="E971" s="4" t="s">
        <v>1090</v>
      </c>
      <c r="F971" s="4" t="s">
        <v>798</v>
      </c>
      <c r="G971" s="4"/>
      <c r="H971" s="4"/>
      <c r="I971" s="4" t="s">
        <v>1028</v>
      </c>
    </row>
    <row r="972" ht="15.75" customHeight="1">
      <c r="A972" s="4" t="s">
        <v>3018</v>
      </c>
      <c r="B972" s="13">
        <v>46046.6816319445</v>
      </c>
      <c r="C972" s="4" t="s">
        <v>3019</v>
      </c>
      <c r="D972" s="4" t="s">
        <v>1081</v>
      </c>
      <c r="E972" s="4" t="s">
        <v>1064</v>
      </c>
      <c r="F972" s="4"/>
      <c r="G972" s="4"/>
      <c r="H972" s="4"/>
      <c r="I972" s="4" t="s">
        <v>1039</v>
      </c>
    </row>
    <row r="973" ht="15.75" customHeight="1">
      <c r="A973" s="4" t="s">
        <v>3020</v>
      </c>
      <c r="B973" s="13">
        <v>46060.5133101852</v>
      </c>
      <c r="C973" s="4" t="s">
        <v>3021</v>
      </c>
      <c r="D973" s="4" t="s">
        <v>1086</v>
      </c>
      <c r="E973" s="4" t="s">
        <v>1064</v>
      </c>
      <c r="F973" s="4"/>
      <c r="G973" s="4"/>
      <c r="H973" s="4"/>
      <c r="I973" s="4" t="s">
        <v>1036</v>
      </c>
    </row>
    <row r="974" ht="15.75" customHeight="1">
      <c r="A974" s="4" t="s">
        <v>3022</v>
      </c>
      <c r="B974" s="13">
        <v>46042.6454050926</v>
      </c>
      <c r="C974" s="4" t="s">
        <v>3023</v>
      </c>
      <c r="D974" s="4" t="s">
        <v>1104</v>
      </c>
      <c r="E974" s="4" t="s">
        <v>1105</v>
      </c>
      <c r="F974" s="4" t="s">
        <v>205</v>
      </c>
      <c r="G974" s="4"/>
      <c r="H974" s="4"/>
      <c r="I974" s="4" t="s">
        <v>587</v>
      </c>
    </row>
    <row r="975" ht="15.75" customHeight="1">
      <c r="A975" s="4" t="s">
        <v>3024</v>
      </c>
      <c r="B975" s="13">
        <v>46030.6523611111</v>
      </c>
      <c r="C975" s="4" t="s">
        <v>3025</v>
      </c>
      <c r="D975" s="4" t="s">
        <v>1086</v>
      </c>
      <c r="E975" s="4" t="s">
        <v>1064</v>
      </c>
      <c r="F975" s="4"/>
      <c r="G975" s="4"/>
      <c r="H975" s="4"/>
      <c r="I975" s="4" t="s">
        <v>1031</v>
      </c>
    </row>
    <row r="976" ht="15.75" customHeight="1">
      <c r="A976" s="4" t="s">
        <v>3026</v>
      </c>
      <c r="B976" s="13">
        <v>46040.7099768519</v>
      </c>
      <c r="C976" s="4" t="s">
        <v>3027</v>
      </c>
      <c r="D976" s="4" t="s">
        <v>1063</v>
      </c>
      <c r="E976" s="4" t="s">
        <v>1064</v>
      </c>
      <c r="F976" s="4"/>
      <c r="G976" s="4" t="s">
        <v>244</v>
      </c>
      <c r="H976" s="4"/>
      <c r="I976" s="4" t="s">
        <v>1035</v>
      </c>
    </row>
    <row r="977" ht="15.75" customHeight="1">
      <c r="A977" s="4" t="s">
        <v>3028</v>
      </c>
      <c r="B977" s="13">
        <v>46112.9516550926</v>
      </c>
      <c r="C977" s="4" t="s">
        <v>3029</v>
      </c>
      <c r="D977" s="4" t="s">
        <v>1104</v>
      </c>
      <c r="E977" s="4" t="s">
        <v>1090</v>
      </c>
      <c r="F977" s="4" t="s">
        <v>790</v>
      </c>
      <c r="G977" s="4"/>
      <c r="H977" s="4"/>
      <c r="I977" s="4" t="s">
        <v>587</v>
      </c>
    </row>
    <row r="978" ht="15.75" customHeight="1">
      <c r="A978" s="4" t="s">
        <v>3030</v>
      </c>
      <c r="B978" s="13">
        <v>46092.5051157407</v>
      </c>
      <c r="C978" s="4" t="s">
        <v>3031</v>
      </c>
      <c r="D978" s="4" t="s">
        <v>1163</v>
      </c>
      <c r="E978" s="4" t="s">
        <v>1072</v>
      </c>
      <c r="F978" s="4"/>
      <c r="G978" s="4"/>
      <c r="H978" s="4"/>
      <c r="I978" s="4" t="s">
        <v>1039</v>
      </c>
    </row>
    <row r="979" ht="15.75" customHeight="1">
      <c r="A979" s="4" t="s">
        <v>3032</v>
      </c>
      <c r="B979" s="13">
        <v>46075.5084259259</v>
      </c>
      <c r="C979" s="4" t="s">
        <v>3033</v>
      </c>
      <c r="D979" s="4" t="s">
        <v>1075</v>
      </c>
      <c r="E979" s="4" t="s">
        <v>1064</v>
      </c>
      <c r="F979" s="4"/>
      <c r="G979" s="4"/>
      <c r="H979" s="4"/>
      <c r="I979" s="4" t="s">
        <v>1035</v>
      </c>
    </row>
    <row r="980" ht="15.75" customHeight="1">
      <c r="A980" s="4" t="s">
        <v>3034</v>
      </c>
      <c r="B980" s="13">
        <v>46100.8879282407</v>
      </c>
      <c r="C980" s="4" t="s">
        <v>3035</v>
      </c>
      <c r="D980" s="4" t="s">
        <v>1093</v>
      </c>
      <c r="E980" s="4" t="s">
        <v>1064</v>
      </c>
      <c r="F980" s="4"/>
      <c r="G980" s="4"/>
      <c r="H980" s="4"/>
      <c r="I980" s="4" t="s">
        <v>1036</v>
      </c>
    </row>
    <row r="981" ht="15.75" customHeight="1">
      <c r="A981" s="4" t="s">
        <v>3036</v>
      </c>
      <c r="B981" s="13">
        <v>46132.5477662037</v>
      </c>
      <c r="C981" s="4" t="s">
        <v>3037</v>
      </c>
      <c r="D981" s="4" t="s">
        <v>1093</v>
      </c>
      <c r="E981" s="4" t="s">
        <v>1064</v>
      </c>
      <c r="F981" s="4"/>
      <c r="G981" s="4"/>
      <c r="H981" s="4"/>
      <c r="I981" s="4" t="s">
        <v>1031</v>
      </c>
    </row>
    <row r="982" ht="15.75" customHeight="1">
      <c r="A982" s="4" t="s">
        <v>3038</v>
      </c>
      <c r="B982" s="13">
        <v>46044.9004513889</v>
      </c>
      <c r="C982" s="4" t="s">
        <v>3039</v>
      </c>
      <c r="D982" s="4" t="s">
        <v>1128</v>
      </c>
      <c r="E982" s="4" t="s">
        <v>1105</v>
      </c>
      <c r="F982" s="4" t="s">
        <v>221</v>
      </c>
      <c r="G982" s="4"/>
      <c r="H982" s="4"/>
      <c r="I982" s="4" t="s">
        <v>1036</v>
      </c>
    </row>
    <row r="983" ht="15.75" customHeight="1">
      <c r="A983" s="4" t="s">
        <v>3040</v>
      </c>
      <c r="B983" s="13">
        <v>46075.5506597222</v>
      </c>
      <c r="C983" s="4" t="s">
        <v>3041</v>
      </c>
      <c r="D983" s="4" t="s">
        <v>1071</v>
      </c>
      <c r="E983" s="4" t="s">
        <v>1119</v>
      </c>
      <c r="F983" s="4"/>
      <c r="G983" s="4"/>
      <c r="H983" s="4"/>
      <c r="I983" s="4" t="s">
        <v>427</v>
      </c>
    </row>
    <row r="984" ht="15.75" customHeight="1">
      <c r="A984" s="4" t="s">
        <v>3042</v>
      </c>
      <c r="B984" s="13">
        <v>46117.6342592593</v>
      </c>
      <c r="C984" s="4" t="s">
        <v>3043</v>
      </c>
      <c r="D984" s="4" t="s">
        <v>1071</v>
      </c>
      <c r="E984" s="4" t="s">
        <v>1119</v>
      </c>
      <c r="F984" s="4"/>
      <c r="G984" s="4"/>
      <c r="H984" s="4"/>
      <c r="I984" s="4" t="s">
        <v>1039</v>
      </c>
    </row>
    <row r="985" ht="15.75" customHeight="1">
      <c r="A985" s="4" t="s">
        <v>3044</v>
      </c>
      <c r="B985" s="13">
        <v>46080.5583101852</v>
      </c>
      <c r="C985" s="4" t="s">
        <v>3045</v>
      </c>
      <c r="D985" s="4" t="s">
        <v>1093</v>
      </c>
      <c r="E985" s="4" t="s">
        <v>1064</v>
      </c>
      <c r="F985" s="4"/>
      <c r="G985" s="4"/>
      <c r="H985" s="4"/>
      <c r="I985" s="4" t="s">
        <v>1050</v>
      </c>
    </row>
    <row r="986" ht="15.75" customHeight="1">
      <c r="A986" s="4" t="s">
        <v>3046</v>
      </c>
      <c r="B986" s="13">
        <v>46045.3985532407</v>
      </c>
      <c r="C986" s="4" t="s">
        <v>3047</v>
      </c>
      <c r="D986" s="4" t="s">
        <v>1163</v>
      </c>
      <c r="E986" s="4" t="s">
        <v>1072</v>
      </c>
      <c r="F986" s="4"/>
      <c r="G986" s="4"/>
      <c r="H986" s="4"/>
      <c r="I986" s="4" t="s">
        <v>1036</v>
      </c>
    </row>
    <row r="987" ht="15.75" customHeight="1">
      <c r="A987" s="4" t="s">
        <v>3048</v>
      </c>
      <c r="B987" s="13">
        <v>46118.6171064815</v>
      </c>
      <c r="C987" s="4" t="s">
        <v>3049</v>
      </c>
      <c r="D987" s="4" t="s">
        <v>1163</v>
      </c>
      <c r="E987" s="4" t="s">
        <v>1072</v>
      </c>
      <c r="F987" s="4"/>
      <c r="G987" s="4"/>
      <c r="H987" s="4"/>
      <c r="I987" s="4" t="s">
        <v>1030</v>
      </c>
    </row>
    <row r="988" ht="15.75" customHeight="1">
      <c r="A988" s="4" t="s">
        <v>3050</v>
      </c>
      <c r="B988" s="13">
        <v>46061.4039583333</v>
      </c>
      <c r="C988" s="4" t="s">
        <v>3051</v>
      </c>
      <c r="D988" s="4" t="s">
        <v>1078</v>
      </c>
      <c r="E988" s="4" t="s">
        <v>1064</v>
      </c>
      <c r="F988" s="4"/>
      <c r="G988" s="4" t="s">
        <v>227</v>
      </c>
      <c r="H988" s="10">
        <v>173.14</v>
      </c>
      <c r="I988" s="4" t="s">
        <v>1050</v>
      </c>
    </row>
    <row r="989" ht="15.75" customHeight="1">
      <c r="A989" s="4" t="s">
        <v>3052</v>
      </c>
      <c r="B989" s="13">
        <v>46106.6625231481</v>
      </c>
      <c r="C989" s="4" t="s">
        <v>3053</v>
      </c>
      <c r="D989" s="4" t="s">
        <v>1086</v>
      </c>
      <c r="E989" s="4" t="s">
        <v>1064</v>
      </c>
      <c r="F989" s="4"/>
      <c r="G989" s="4"/>
      <c r="H989" s="4"/>
      <c r="I989" s="4" t="s">
        <v>1030</v>
      </c>
    </row>
    <row r="990" ht="15.75" customHeight="1">
      <c r="A990" s="4" t="s">
        <v>3054</v>
      </c>
      <c r="B990" s="13">
        <v>46049.9723263889</v>
      </c>
      <c r="C990" s="4" t="s">
        <v>3055</v>
      </c>
      <c r="D990" s="4" t="s">
        <v>1089</v>
      </c>
      <c r="E990" s="4" t="s">
        <v>1090</v>
      </c>
      <c r="F990" s="4" t="s">
        <v>800</v>
      </c>
      <c r="G990" s="4"/>
      <c r="H990" s="4"/>
      <c r="I990" s="4" t="s">
        <v>1028</v>
      </c>
    </row>
    <row r="991" ht="15.75" customHeight="1">
      <c r="A991" s="4" t="s">
        <v>3056</v>
      </c>
      <c r="B991" s="13">
        <v>46129.8466435185</v>
      </c>
      <c r="C991" s="4" t="s">
        <v>3057</v>
      </c>
      <c r="D991" s="4" t="s">
        <v>1063</v>
      </c>
      <c r="E991" s="4" t="s">
        <v>1064</v>
      </c>
      <c r="F991" s="4"/>
      <c r="G991" s="4" t="s">
        <v>232</v>
      </c>
      <c r="H991" s="4"/>
      <c r="I991" s="4" t="s">
        <v>1042</v>
      </c>
    </row>
    <row r="992" ht="15.75" customHeight="1">
      <c r="A992" s="4" t="s">
        <v>3058</v>
      </c>
      <c r="B992" s="13">
        <v>46046.6401967593</v>
      </c>
      <c r="C992" s="4" t="s">
        <v>3059</v>
      </c>
      <c r="D992" s="4" t="s">
        <v>1163</v>
      </c>
      <c r="E992" s="4" t="s">
        <v>1072</v>
      </c>
      <c r="F992" s="4"/>
      <c r="G992" s="4"/>
      <c r="H992" s="4"/>
      <c r="I992" s="4" t="s">
        <v>1035</v>
      </c>
    </row>
    <row r="993" ht="15.75" customHeight="1">
      <c r="A993" s="4" t="s">
        <v>3060</v>
      </c>
      <c r="B993" s="13">
        <v>46102.6916319444</v>
      </c>
      <c r="C993" s="4" t="s">
        <v>3061</v>
      </c>
      <c r="D993" s="4" t="s">
        <v>1104</v>
      </c>
      <c r="E993" s="4" t="s">
        <v>1090</v>
      </c>
      <c r="F993" s="4" t="s">
        <v>833</v>
      </c>
      <c r="G993" s="4"/>
      <c r="H993" s="4"/>
      <c r="I993" s="4" t="s">
        <v>587</v>
      </c>
    </row>
    <row r="994" ht="15.75" customHeight="1">
      <c r="A994" s="4" t="s">
        <v>3062</v>
      </c>
      <c r="B994" s="13">
        <v>46106.8094212963</v>
      </c>
      <c r="C994" s="4" t="s">
        <v>3063</v>
      </c>
      <c r="D994" s="4" t="s">
        <v>1089</v>
      </c>
      <c r="E994" s="4" t="s">
        <v>1105</v>
      </c>
      <c r="F994" s="4" t="s">
        <v>265</v>
      </c>
      <c r="G994" s="4"/>
      <c r="H994" s="4"/>
      <c r="I994" s="4" t="s">
        <v>1042</v>
      </c>
    </row>
    <row r="995" ht="15.75" customHeight="1">
      <c r="A995" s="4" t="s">
        <v>3064</v>
      </c>
      <c r="B995" s="13">
        <v>46101.893125</v>
      </c>
      <c r="C995" s="4" t="s">
        <v>3065</v>
      </c>
      <c r="D995" s="4" t="s">
        <v>1093</v>
      </c>
      <c r="E995" s="4" t="s">
        <v>1064</v>
      </c>
      <c r="F995" s="4"/>
      <c r="G995" s="4"/>
      <c r="H995" s="4"/>
      <c r="I995" s="4" t="s">
        <v>427</v>
      </c>
    </row>
    <row r="996" ht="15.75" customHeight="1">
      <c r="A996" s="4" t="s">
        <v>3066</v>
      </c>
      <c r="B996" s="13">
        <v>46116.7464583333</v>
      </c>
      <c r="C996" s="4" t="s">
        <v>3067</v>
      </c>
      <c r="D996" s="4" t="s">
        <v>1081</v>
      </c>
      <c r="E996" s="4" t="s">
        <v>1064</v>
      </c>
      <c r="F996" s="4"/>
      <c r="G996" s="4"/>
      <c r="H996" s="4"/>
      <c r="I996" s="4" t="s">
        <v>1050</v>
      </c>
    </row>
    <row r="997" ht="15.75" customHeight="1">
      <c r="A997" s="4" t="s">
        <v>3068</v>
      </c>
      <c r="B997" s="13">
        <v>46113.5557175926</v>
      </c>
      <c r="C997" s="4" t="s">
        <v>3069</v>
      </c>
      <c r="D997" s="4" t="s">
        <v>1104</v>
      </c>
      <c r="E997" s="4" t="s">
        <v>1105</v>
      </c>
      <c r="F997" s="4" t="s">
        <v>205</v>
      </c>
      <c r="G997" s="4"/>
      <c r="H997" s="4"/>
      <c r="I997" s="4" t="s">
        <v>1030</v>
      </c>
    </row>
    <row r="998" ht="15.75" customHeight="1">
      <c r="A998" s="4" t="s">
        <v>3070</v>
      </c>
      <c r="B998" s="13">
        <v>46029.9802199074</v>
      </c>
      <c r="C998" s="4" t="s">
        <v>3071</v>
      </c>
      <c r="D998" s="4" t="s">
        <v>1089</v>
      </c>
      <c r="E998" s="4" t="s">
        <v>1105</v>
      </c>
      <c r="F998" s="4" t="s">
        <v>209</v>
      </c>
      <c r="G998" s="4"/>
      <c r="H998" s="4"/>
      <c r="I998" s="4" t="s">
        <v>1030</v>
      </c>
    </row>
    <row r="999" ht="15.75" customHeight="1">
      <c r="A999" s="4" t="s">
        <v>3072</v>
      </c>
      <c r="B999" s="13">
        <v>46120.5431597222</v>
      </c>
      <c r="C999" s="4" t="s">
        <v>3073</v>
      </c>
      <c r="D999" s="4" t="s">
        <v>1071</v>
      </c>
      <c r="E999" s="4" t="s">
        <v>1119</v>
      </c>
      <c r="F999" s="4"/>
      <c r="G999" s="4"/>
      <c r="H999" s="4"/>
      <c r="I999" s="4" t="s">
        <v>1036</v>
      </c>
    </row>
    <row r="1000" ht="15.75" customHeight="1">
      <c r="A1000" s="4" t="s">
        <v>3074</v>
      </c>
      <c r="B1000" s="13">
        <v>46089.9668171296</v>
      </c>
      <c r="C1000" s="4" t="s">
        <v>3075</v>
      </c>
      <c r="D1000" s="4" t="s">
        <v>1110</v>
      </c>
      <c r="E1000" s="4" t="s">
        <v>1064</v>
      </c>
      <c r="F1000" s="4"/>
      <c r="G1000" s="4" t="s">
        <v>150</v>
      </c>
      <c r="H1000" s="10">
        <v>199.8</v>
      </c>
      <c r="I1000" s="4" t="s">
        <v>587</v>
      </c>
    </row>
    <row r="1001" ht="15.75" customHeight="1">
      <c r="A1001" s="4" t="s">
        <v>3076</v>
      </c>
      <c r="B1001" s="13">
        <v>46058.9295717593</v>
      </c>
      <c r="C1001" s="4" t="s">
        <v>3077</v>
      </c>
      <c r="D1001" s="4" t="s">
        <v>1078</v>
      </c>
      <c r="E1001" s="4" t="s">
        <v>1064</v>
      </c>
      <c r="F1001" s="4"/>
      <c r="G1001" s="4" t="s">
        <v>61</v>
      </c>
      <c r="H1001" s="10">
        <v>26.06</v>
      </c>
      <c r="I1001" s="4" t="s">
        <v>1039</v>
      </c>
    </row>
    <row r="1002" ht="15.75" customHeight="1">
      <c r="A1002" s="4" t="s">
        <v>3078</v>
      </c>
      <c r="B1002" s="13">
        <v>46076.5341898148</v>
      </c>
      <c r="C1002" s="4" t="s">
        <v>3079</v>
      </c>
      <c r="D1002" s="4" t="s">
        <v>1163</v>
      </c>
      <c r="E1002" s="4" t="s">
        <v>1119</v>
      </c>
      <c r="F1002" s="4"/>
      <c r="G1002" s="4"/>
      <c r="H1002" s="4"/>
      <c r="I1002" s="4" t="s">
        <v>1031</v>
      </c>
    </row>
    <row r="1003" ht="15.75" customHeight="1">
      <c r="A1003" s="4" t="s">
        <v>3080</v>
      </c>
      <c r="B1003" s="13">
        <v>46032.4517361111</v>
      </c>
      <c r="C1003" s="4" t="s">
        <v>3081</v>
      </c>
      <c r="D1003" s="4" t="s">
        <v>1063</v>
      </c>
      <c r="E1003" s="4" t="s">
        <v>1064</v>
      </c>
      <c r="F1003" s="4"/>
      <c r="G1003" s="4" t="s">
        <v>137</v>
      </c>
      <c r="H1003" s="4"/>
      <c r="I1003" s="4" t="s">
        <v>1039</v>
      </c>
    </row>
    <row r="1004" ht="15.75" customHeight="1">
      <c r="A1004" s="4" t="s">
        <v>3082</v>
      </c>
      <c r="B1004" s="13">
        <v>46107.5802546296</v>
      </c>
      <c r="C1004" s="4" t="s">
        <v>3083</v>
      </c>
      <c r="D1004" s="4" t="s">
        <v>1110</v>
      </c>
      <c r="E1004" s="4" t="s">
        <v>1064</v>
      </c>
      <c r="F1004" s="4"/>
      <c r="G1004" s="4" t="s">
        <v>77</v>
      </c>
      <c r="H1004" s="10">
        <v>68.83</v>
      </c>
      <c r="I1004" s="4" t="s">
        <v>1050</v>
      </c>
    </row>
    <row r="1005" ht="15.75" customHeight="1">
      <c r="A1005" s="4" t="s">
        <v>3084</v>
      </c>
      <c r="B1005" s="13">
        <v>46100.4415509259</v>
      </c>
      <c r="C1005" s="4" t="s">
        <v>3085</v>
      </c>
      <c r="D1005" s="4" t="s">
        <v>1089</v>
      </c>
      <c r="E1005" s="4" t="s">
        <v>1105</v>
      </c>
      <c r="F1005" s="4" t="s">
        <v>95</v>
      </c>
      <c r="G1005" s="4"/>
      <c r="H1005" s="4"/>
      <c r="I1005" s="4" t="s">
        <v>1039</v>
      </c>
    </row>
    <row r="1006" ht="15.75" customHeight="1">
      <c r="A1006" s="4" t="s">
        <v>3086</v>
      </c>
      <c r="B1006" s="13">
        <v>46126.4728819444</v>
      </c>
      <c r="C1006" s="4" t="s">
        <v>3087</v>
      </c>
      <c r="D1006" s="4" t="s">
        <v>1086</v>
      </c>
      <c r="E1006" s="4" t="s">
        <v>1064</v>
      </c>
      <c r="F1006" s="4"/>
      <c r="G1006" s="4"/>
      <c r="H1006" s="4"/>
      <c r="I1006" s="4" t="s">
        <v>1036</v>
      </c>
    </row>
    <row r="1007" ht="15.75" customHeight="1">
      <c r="A1007" s="4" t="s">
        <v>3088</v>
      </c>
      <c r="B1007" s="13">
        <v>46108.8025231482</v>
      </c>
      <c r="C1007" s="4" t="s">
        <v>3089</v>
      </c>
      <c r="D1007" s="4" t="s">
        <v>1075</v>
      </c>
      <c r="E1007" s="4" t="s">
        <v>1064</v>
      </c>
      <c r="F1007" s="4"/>
      <c r="G1007" s="4"/>
      <c r="H1007" s="4"/>
      <c r="I1007" s="4" t="s">
        <v>587</v>
      </c>
    </row>
    <row r="1008" ht="15.75" customHeight="1">
      <c r="A1008" s="4" t="s">
        <v>3090</v>
      </c>
      <c r="B1008" s="13">
        <v>46023.3875</v>
      </c>
      <c r="C1008" s="4" t="s">
        <v>3091</v>
      </c>
      <c r="D1008" s="4" t="s">
        <v>1093</v>
      </c>
      <c r="E1008" s="4" t="s">
        <v>1064</v>
      </c>
      <c r="F1008" s="4"/>
      <c r="G1008" s="4"/>
      <c r="H1008" s="4"/>
      <c r="I1008" s="4" t="s">
        <v>1050</v>
      </c>
    </row>
    <row r="1009" ht="15.75" customHeight="1">
      <c r="A1009" s="4" t="s">
        <v>3092</v>
      </c>
      <c r="B1009" s="13">
        <v>46062.4821412037</v>
      </c>
      <c r="C1009" s="4" t="s">
        <v>3093</v>
      </c>
      <c r="D1009" s="4" t="s">
        <v>1063</v>
      </c>
      <c r="E1009" s="4" t="s">
        <v>1064</v>
      </c>
      <c r="F1009" s="4"/>
      <c r="G1009" s="4" t="s">
        <v>232</v>
      </c>
      <c r="H1009" s="4"/>
      <c r="I1009" s="4" t="s">
        <v>427</v>
      </c>
    </row>
    <row r="1010" ht="15.75" customHeight="1">
      <c r="A1010" s="4" t="s">
        <v>3094</v>
      </c>
      <c r="B1010" s="13">
        <v>46125.3633449074</v>
      </c>
      <c r="C1010" s="4" t="s">
        <v>3095</v>
      </c>
      <c r="D1010" s="4" t="s">
        <v>1104</v>
      </c>
      <c r="E1010" s="4" t="s">
        <v>1090</v>
      </c>
      <c r="F1010" s="4" t="s">
        <v>821</v>
      </c>
      <c r="G1010" s="4"/>
      <c r="H1010" s="4"/>
      <c r="I1010" s="4" t="s">
        <v>1042</v>
      </c>
    </row>
    <row r="1011" ht="15.75" customHeight="1">
      <c r="A1011" s="4" t="s">
        <v>3096</v>
      </c>
      <c r="B1011" s="13">
        <v>46088.8325462963</v>
      </c>
      <c r="C1011" s="4" t="s">
        <v>3097</v>
      </c>
      <c r="D1011" s="4" t="s">
        <v>1110</v>
      </c>
      <c r="E1011" s="4" t="s">
        <v>1064</v>
      </c>
      <c r="F1011" s="4"/>
      <c r="G1011" s="4" t="s">
        <v>144</v>
      </c>
      <c r="H1011" s="10">
        <v>167.94</v>
      </c>
      <c r="I1011" s="4" t="s">
        <v>1048</v>
      </c>
    </row>
    <row r="1012" ht="15.75" customHeight="1">
      <c r="A1012" s="4" t="s">
        <v>3098</v>
      </c>
      <c r="B1012" s="13">
        <v>46024.5175925926</v>
      </c>
      <c r="C1012" s="4" t="s">
        <v>3099</v>
      </c>
      <c r="D1012" s="4" t="s">
        <v>1163</v>
      </c>
      <c r="E1012" s="4" t="s">
        <v>1119</v>
      </c>
      <c r="F1012" s="4"/>
      <c r="G1012" s="4"/>
      <c r="H1012" s="4"/>
      <c r="I1012" s="4" t="s">
        <v>1031</v>
      </c>
    </row>
    <row r="1013" ht="15.75" customHeight="1">
      <c r="A1013" s="4" t="s">
        <v>3100</v>
      </c>
      <c r="B1013" s="13">
        <v>46111.9066898148</v>
      </c>
      <c r="C1013" s="4" t="s">
        <v>3101</v>
      </c>
      <c r="D1013" s="4" t="s">
        <v>1078</v>
      </c>
      <c r="E1013" s="4" t="s">
        <v>1064</v>
      </c>
      <c r="F1013" s="4"/>
      <c r="G1013" s="4" t="s">
        <v>61</v>
      </c>
      <c r="H1013" s="10">
        <v>42.88</v>
      </c>
      <c r="I1013" s="4" t="s">
        <v>1042</v>
      </c>
    </row>
    <row r="1014" ht="15.75" customHeight="1">
      <c r="A1014" s="4" t="s">
        <v>3102</v>
      </c>
      <c r="B1014" s="13">
        <v>46100.9300462963</v>
      </c>
      <c r="C1014" s="4" t="s">
        <v>3103</v>
      </c>
      <c r="D1014" s="4" t="s">
        <v>1110</v>
      </c>
      <c r="E1014" s="4" t="s">
        <v>1064</v>
      </c>
      <c r="F1014" s="4"/>
      <c r="G1014" s="4" t="s">
        <v>61</v>
      </c>
      <c r="H1014" s="10">
        <v>131.32</v>
      </c>
      <c r="I1014" s="4" t="s">
        <v>1048</v>
      </c>
    </row>
    <row r="1015" ht="15.75" customHeight="1">
      <c r="A1015" s="4" t="s">
        <v>3104</v>
      </c>
      <c r="B1015" s="13">
        <v>46100.960162037</v>
      </c>
      <c r="C1015" s="4" t="s">
        <v>3105</v>
      </c>
      <c r="D1015" s="4" t="s">
        <v>1086</v>
      </c>
      <c r="E1015" s="4" t="s">
        <v>1064</v>
      </c>
      <c r="F1015" s="4"/>
      <c r="G1015" s="4"/>
      <c r="H1015" s="4"/>
      <c r="I1015" s="4" t="s">
        <v>1036</v>
      </c>
    </row>
    <row r="1016" ht="15.75" customHeight="1">
      <c r="A1016" s="4" t="s">
        <v>3106</v>
      </c>
      <c r="B1016" s="13">
        <v>46101.4408912037</v>
      </c>
      <c r="C1016" s="4" t="s">
        <v>3107</v>
      </c>
      <c r="D1016" s="4" t="s">
        <v>1086</v>
      </c>
      <c r="E1016" s="4" t="s">
        <v>1064</v>
      </c>
      <c r="F1016" s="4"/>
      <c r="G1016" s="4"/>
      <c r="H1016" s="4"/>
      <c r="I1016" s="4" t="s">
        <v>1028</v>
      </c>
    </row>
    <row r="1017" ht="15.75" customHeight="1">
      <c r="A1017" s="4" t="s">
        <v>3108</v>
      </c>
      <c r="B1017" s="13">
        <v>46126.8500694444</v>
      </c>
      <c r="C1017" s="4" t="s">
        <v>3109</v>
      </c>
      <c r="D1017" s="4" t="s">
        <v>1128</v>
      </c>
      <c r="E1017" s="4" t="s">
        <v>1105</v>
      </c>
      <c r="F1017" s="4" t="s">
        <v>79</v>
      </c>
      <c r="G1017" s="4"/>
      <c r="H1017" s="4"/>
      <c r="I1017" s="4" t="s">
        <v>1034</v>
      </c>
    </row>
    <row r="1018" ht="15.75" customHeight="1">
      <c r="A1018" s="4" t="s">
        <v>3110</v>
      </c>
      <c r="B1018" s="13">
        <v>46125.8438773148</v>
      </c>
      <c r="C1018" s="4" t="s">
        <v>3111</v>
      </c>
      <c r="D1018" s="4" t="s">
        <v>1128</v>
      </c>
      <c r="E1018" s="4" t="s">
        <v>1105</v>
      </c>
      <c r="F1018" s="4" t="s">
        <v>221</v>
      </c>
      <c r="G1018" s="4"/>
      <c r="H1018" s="4"/>
      <c r="I1018" s="4" t="s">
        <v>1035</v>
      </c>
    </row>
    <row r="1019" ht="15.75" customHeight="1">
      <c r="A1019" s="4" t="s">
        <v>3112</v>
      </c>
      <c r="B1019" s="13">
        <v>46109.5479282407</v>
      </c>
      <c r="C1019" s="4" t="s">
        <v>3113</v>
      </c>
      <c r="D1019" s="4" t="s">
        <v>1081</v>
      </c>
      <c r="E1019" s="4" t="s">
        <v>1064</v>
      </c>
      <c r="F1019" s="4"/>
      <c r="G1019" s="4"/>
      <c r="H1019" s="4"/>
      <c r="I1019" s="4" t="s">
        <v>1042</v>
      </c>
    </row>
    <row r="1020" ht="15.75" customHeight="1">
      <c r="A1020" s="4" t="s">
        <v>3114</v>
      </c>
      <c r="B1020" s="13">
        <v>46084.6831597222</v>
      </c>
      <c r="C1020" s="4" t="s">
        <v>3115</v>
      </c>
      <c r="D1020" s="4" t="s">
        <v>1093</v>
      </c>
      <c r="E1020" s="4" t="s">
        <v>1064</v>
      </c>
      <c r="F1020" s="4"/>
      <c r="G1020" s="4"/>
      <c r="H1020" s="4"/>
      <c r="I1020" s="4" t="s">
        <v>1035</v>
      </c>
    </row>
    <row r="1021" ht="15.75" customHeight="1">
      <c r="A1021" s="4" t="s">
        <v>3116</v>
      </c>
      <c r="B1021" s="13">
        <v>46091.5407407407</v>
      </c>
      <c r="C1021" s="4" t="s">
        <v>3117</v>
      </c>
      <c r="D1021" s="4" t="s">
        <v>1089</v>
      </c>
      <c r="E1021" s="4" t="s">
        <v>1105</v>
      </c>
      <c r="F1021" s="4" t="s">
        <v>87</v>
      </c>
      <c r="G1021" s="4"/>
      <c r="H1021" s="4"/>
      <c r="I1021" s="4" t="s">
        <v>587</v>
      </c>
    </row>
    <row r="1022" ht="15.75" customHeight="1">
      <c r="A1022" s="4" t="s">
        <v>3118</v>
      </c>
      <c r="B1022" s="13">
        <v>46096.7821180556</v>
      </c>
      <c r="C1022" s="4" t="s">
        <v>3119</v>
      </c>
      <c r="D1022" s="4" t="s">
        <v>1071</v>
      </c>
      <c r="E1022" s="4" t="s">
        <v>1072</v>
      </c>
      <c r="F1022" s="4"/>
      <c r="G1022" s="4"/>
      <c r="H1022" s="4"/>
      <c r="I1022" s="4" t="s">
        <v>1031</v>
      </c>
    </row>
    <row r="1023" ht="15.75" customHeight="1">
      <c r="A1023" s="4" t="s">
        <v>3120</v>
      </c>
      <c r="B1023" s="13">
        <v>46075.5523148148</v>
      </c>
      <c r="C1023" s="4" t="s">
        <v>3121</v>
      </c>
      <c r="D1023" s="4" t="s">
        <v>1128</v>
      </c>
      <c r="E1023" s="4" t="s">
        <v>1105</v>
      </c>
      <c r="F1023" s="4" t="s">
        <v>54</v>
      </c>
      <c r="G1023" s="4"/>
      <c r="H1023" s="4"/>
      <c r="I1023" s="4" t="s">
        <v>427</v>
      </c>
    </row>
    <row r="1024" ht="15.75" customHeight="1">
      <c r="A1024" s="4" t="s">
        <v>3122</v>
      </c>
      <c r="B1024" s="13">
        <v>46072.4496990741</v>
      </c>
      <c r="C1024" s="4" t="s">
        <v>3123</v>
      </c>
      <c r="D1024" s="4" t="s">
        <v>1086</v>
      </c>
      <c r="E1024" s="4" t="s">
        <v>1064</v>
      </c>
      <c r="F1024" s="4"/>
      <c r="G1024" s="4"/>
      <c r="H1024" s="4"/>
      <c r="I1024" s="4" t="s">
        <v>587</v>
      </c>
    </row>
    <row r="1025" ht="15.75" customHeight="1">
      <c r="A1025" s="4" t="s">
        <v>3124</v>
      </c>
      <c r="B1025" s="13">
        <v>46080.3430324074</v>
      </c>
      <c r="C1025" s="4" t="s">
        <v>3125</v>
      </c>
      <c r="D1025" s="4" t="s">
        <v>1163</v>
      </c>
      <c r="E1025" s="4" t="s">
        <v>1119</v>
      </c>
      <c r="F1025" s="4"/>
      <c r="G1025" s="4"/>
      <c r="H1025" s="4"/>
      <c r="I1025" s="4" t="s">
        <v>1042</v>
      </c>
    </row>
    <row r="1026" ht="15.75" customHeight="1">
      <c r="A1026" s="4" t="s">
        <v>3126</v>
      </c>
      <c r="B1026" s="13">
        <v>46053.392650463</v>
      </c>
      <c r="C1026" s="4" t="s">
        <v>3127</v>
      </c>
      <c r="D1026" s="4" t="s">
        <v>1075</v>
      </c>
      <c r="E1026" s="4" t="s">
        <v>1064</v>
      </c>
      <c r="F1026" s="4"/>
      <c r="G1026" s="4"/>
      <c r="H1026" s="4"/>
      <c r="I1026" s="4" t="s">
        <v>1042</v>
      </c>
    </row>
    <row r="1027" ht="15.75" customHeight="1">
      <c r="A1027" s="4" t="s">
        <v>3128</v>
      </c>
      <c r="B1027" s="13">
        <v>46116.4456018519</v>
      </c>
      <c r="C1027" s="4" t="s">
        <v>3129</v>
      </c>
      <c r="D1027" s="4" t="s">
        <v>1128</v>
      </c>
      <c r="E1027" s="4" t="s">
        <v>1105</v>
      </c>
      <c r="F1027" s="4" t="s">
        <v>109</v>
      </c>
      <c r="G1027" s="4"/>
      <c r="H1027" s="4"/>
      <c r="I1027" s="4" t="s">
        <v>1042</v>
      </c>
    </row>
    <row r="1028" ht="15.75" customHeight="1">
      <c r="A1028" s="4" t="s">
        <v>3130</v>
      </c>
      <c r="B1028" s="13">
        <v>46098.400775463</v>
      </c>
      <c r="C1028" s="4" t="s">
        <v>3131</v>
      </c>
      <c r="D1028" s="4" t="s">
        <v>1110</v>
      </c>
      <c r="E1028" s="4" t="s">
        <v>1064</v>
      </c>
      <c r="F1028" s="4"/>
      <c r="G1028" s="4" t="s">
        <v>144</v>
      </c>
      <c r="H1028" s="10">
        <v>58.35</v>
      </c>
      <c r="I1028" s="4" t="s">
        <v>427</v>
      </c>
    </row>
    <row r="1029" ht="15.75" customHeight="1">
      <c r="A1029" s="4" t="s">
        <v>3132</v>
      </c>
      <c r="B1029" s="13">
        <v>46100.6813657407</v>
      </c>
      <c r="C1029" s="4" t="s">
        <v>3133</v>
      </c>
      <c r="D1029" s="4" t="s">
        <v>1089</v>
      </c>
      <c r="E1029" s="4" t="s">
        <v>1105</v>
      </c>
      <c r="F1029" s="4" t="s">
        <v>257</v>
      </c>
      <c r="G1029" s="4"/>
      <c r="H1029" s="4"/>
      <c r="I1029" s="4" t="s">
        <v>1034</v>
      </c>
    </row>
    <row r="1030" ht="15.75" customHeight="1">
      <c r="A1030" s="4" t="s">
        <v>3134</v>
      </c>
      <c r="B1030" s="13">
        <v>46132.4838078704</v>
      </c>
      <c r="C1030" s="4" t="s">
        <v>3135</v>
      </c>
      <c r="D1030" s="4" t="s">
        <v>1110</v>
      </c>
      <c r="E1030" s="4" t="s">
        <v>1064</v>
      </c>
      <c r="F1030" s="4"/>
      <c r="G1030" s="4" t="s">
        <v>61</v>
      </c>
      <c r="H1030" s="10">
        <v>37.12</v>
      </c>
      <c r="I1030" s="4" t="s">
        <v>587</v>
      </c>
    </row>
    <row r="1031" ht="15.75" customHeight="1">
      <c r="A1031" s="4" t="s">
        <v>3136</v>
      </c>
      <c r="B1031" s="13">
        <v>46067.9995138889</v>
      </c>
      <c r="C1031" s="4" t="s">
        <v>3137</v>
      </c>
      <c r="D1031" s="4" t="s">
        <v>1093</v>
      </c>
      <c r="E1031" s="4" t="s">
        <v>1064</v>
      </c>
      <c r="F1031" s="4"/>
      <c r="G1031" s="4"/>
      <c r="H1031" s="4"/>
      <c r="I1031" s="4" t="s">
        <v>1036</v>
      </c>
    </row>
    <row r="1032" ht="15.75" customHeight="1">
      <c r="A1032" s="4" t="s">
        <v>3138</v>
      </c>
      <c r="B1032" s="13">
        <v>46028.7630439815</v>
      </c>
      <c r="C1032" s="4" t="s">
        <v>3139</v>
      </c>
      <c r="D1032" s="4" t="s">
        <v>1128</v>
      </c>
      <c r="E1032" s="4" t="s">
        <v>1090</v>
      </c>
      <c r="F1032" s="4" t="s">
        <v>788</v>
      </c>
      <c r="G1032" s="4"/>
      <c r="H1032" s="4"/>
      <c r="I1032" s="4" t="s">
        <v>1048</v>
      </c>
    </row>
    <row r="1033" ht="15.75" customHeight="1">
      <c r="A1033" s="4" t="s">
        <v>3140</v>
      </c>
      <c r="B1033" s="13">
        <v>46038.3615162037</v>
      </c>
      <c r="C1033" s="4" t="s">
        <v>3141</v>
      </c>
      <c r="D1033" s="4" t="s">
        <v>1104</v>
      </c>
      <c r="E1033" s="4" t="s">
        <v>1090</v>
      </c>
      <c r="F1033" s="4" t="s">
        <v>807</v>
      </c>
      <c r="G1033" s="4"/>
      <c r="H1033" s="4"/>
      <c r="I1033" s="4" t="s">
        <v>1052</v>
      </c>
    </row>
    <row r="1034" ht="15.75" customHeight="1">
      <c r="A1034" s="4" t="s">
        <v>3142</v>
      </c>
      <c r="B1034" s="13">
        <v>46130.7419097222</v>
      </c>
      <c r="C1034" s="4" t="s">
        <v>3143</v>
      </c>
      <c r="D1034" s="4" t="s">
        <v>1078</v>
      </c>
      <c r="E1034" s="4" t="s">
        <v>1064</v>
      </c>
      <c r="F1034" s="4"/>
      <c r="G1034" s="4" t="s">
        <v>195</v>
      </c>
      <c r="H1034" s="10">
        <v>45.61</v>
      </c>
      <c r="I1034" s="4" t="s">
        <v>1046</v>
      </c>
    </row>
    <row r="1035" ht="15.75" customHeight="1">
      <c r="A1035" s="4" t="s">
        <v>3144</v>
      </c>
      <c r="B1035" s="13">
        <v>46086.3893981482</v>
      </c>
      <c r="C1035" s="4" t="s">
        <v>3145</v>
      </c>
      <c r="D1035" s="4" t="s">
        <v>1071</v>
      </c>
      <c r="E1035" s="4" t="s">
        <v>1072</v>
      </c>
      <c r="F1035" s="4"/>
      <c r="G1035" s="4"/>
      <c r="H1035" s="4"/>
      <c r="I1035" s="4" t="s">
        <v>1035</v>
      </c>
    </row>
    <row r="1036" ht="15.75" customHeight="1">
      <c r="A1036" s="4" t="s">
        <v>3146</v>
      </c>
      <c r="B1036" s="13">
        <v>46130.513587963</v>
      </c>
      <c r="C1036" s="4" t="s">
        <v>3147</v>
      </c>
      <c r="D1036" s="4" t="s">
        <v>1075</v>
      </c>
      <c r="E1036" s="4" t="s">
        <v>1064</v>
      </c>
      <c r="F1036" s="4"/>
      <c r="G1036" s="4"/>
      <c r="H1036" s="4"/>
      <c r="I1036" s="4" t="s">
        <v>1046</v>
      </c>
    </row>
    <row r="1037" ht="15.75" customHeight="1">
      <c r="A1037" s="4" t="s">
        <v>3148</v>
      </c>
      <c r="B1037" s="13">
        <v>46042.9152546296</v>
      </c>
      <c r="C1037" s="4" t="s">
        <v>3149</v>
      </c>
      <c r="D1037" s="4" t="s">
        <v>1081</v>
      </c>
      <c r="E1037" s="4" t="s">
        <v>1064</v>
      </c>
      <c r="F1037" s="4"/>
      <c r="G1037" s="4"/>
      <c r="H1037" s="4"/>
      <c r="I1037" s="4" t="s">
        <v>1035</v>
      </c>
    </row>
    <row r="1038" ht="15.75" customHeight="1">
      <c r="A1038" s="4" t="s">
        <v>3150</v>
      </c>
      <c r="B1038" s="13">
        <v>46069.7924074074</v>
      </c>
      <c r="C1038" s="4" t="s">
        <v>3151</v>
      </c>
      <c r="D1038" s="4" t="s">
        <v>1104</v>
      </c>
      <c r="E1038" s="4" t="s">
        <v>1105</v>
      </c>
      <c r="F1038" s="4" t="s">
        <v>277</v>
      </c>
      <c r="G1038" s="4"/>
      <c r="H1038" s="4"/>
      <c r="I1038" s="4" t="s">
        <v>1039</v>
      </c>
    </row>
    <row r="1039" ht="15.75" customHeight="1">
      <c r="A1039" s="4" t="s">
        <v>3152</v>
      </c>
      <c r="B1039" s="13">
        <v>46034.8971180556</v>
      </c>
      <c r="C1039" s="4" t="s">
        <v>3153</v>
      </c>
      <c r="D1039" s="4" t="s">
        <v>1081</v>
      </c>
      <c r="E1039" s="4" t="s">
        <v>1064</v>
      </c>
      <c r="F1039" s="4"/>
      <c r="G1039" s="4"/>
      <c r="H1039" s="4"/>
      <c r="I1039" s="4" t="s">
        <v>1048</v>
      </c>
    </row>
    <row r="1040" ht="15.75" customHeight="1">
      <c r="A1040" s="4" t="s">
        <v>3154</v>
      </c>
      <c r="B1040" s="13">
        <v>46096.3910648148</v>
      </c>
      <c r="C1040" s="4" t="s">
        <v>3155</v>
      </c>
      <c r="D1040" s="4" t="s">
        <v>1093</v>
      </c>
      <c r="E1040" s="4" t="s">
        <v>1064</v>
      </c>
      <c r="F1040" s="4"/>
      <c r="G1040" s="4"/>
      <c r="H1040" s="4"/>
      <c r="I1040" s="4" t="s">
        <v>1052</v>
      </c>
    </row>
    <row r="1041" ht="15.75" customHeight="1">
      <c r="A1041" s="4" t="s">
        <v>3156</v>
      </c>
      <c r="B1041" s="13">
        <v>46064.7281944445</v>
      </c>
      <c r="C1041" s="4" t="s">
        <v>3157</v>
      </c>
      <c r="D1041" s="4" t="s">
        <v>1071</v>
      </c>
      <c r="E1041" s="4" t="s">
        <v>1119</v>
      </c>
      <c r="F1041" s="4"/>
      <c r="G1041" s="4"/>
      <c r="H1041" s="4"/>
      <c r="I1041" s="4" t="s">
        <v>1034</v>
      </c>
    </row>
    <row r="1042" ht="15.75" customHeight="1">
      <c r="A1042" s="4" t="s">
        <v>3158</v>
      </c>
      <c r="B1042" s="13">
        <v>46035.7812268519</v>
      </c>
      <c r="C1042" s="4" t="s">
        <v>3159</v>
      </c>
      <c r="D1042" s="4" t="s">
        <v>1110</v>
      </c>
      <c r="E1042" s="4" t="s">
        <v>1064</v>
      </c>
      <c r="F1042" s="4"/>
      <c r="G1042" s="4" t="s">
        <v>69</v>
      </c>
      <c r="H1042" s="10">
        <v>54.1</v>
      </c>
      <c r="I1042" s="4" t="s">
        <v>1039</v>
      </c>
    </row>
    <row r="1043" ht="15.75" customHeight="1">
      <c r="A1043" s="4" t="s">
        <v>3160</v>
      </c>
      <c r="B1043" s="13">
        <v>46120.8526273148</v>
      </c>
      <c r="C1043" s="4" t="s">
        <v>3161</v>
      </c>
      <c r="D1043" s="4" t="s">
        <v>1104</v>
      </c>
      <c r="E1043" s="4" t="s">
        <v>1105</v>
      </c>
      <c r="F1043" s="4" t="s">
        <v>109</v>
      </c>
      <c r="G1043" s="4"/>
      <c r="H1043" s="4"/>
      <c r="I1043" s="4" t="s">
        <v>1048</v>
      </c>
    </row>
    <row r="1044" ht="15.75" customHeight="1">
      <c r="A1044" s="4" t="s">
        <v>3162</v>
      </c>
      <c r="B1044" s="13">
        <v>46047.7816898148</v>
      </c>
      <c r="C1044" s="4" t="s">
        <v>3163</v>
      </c>
      <c r="D1044" s="4" t="s">
        <v>1110</v>
      </c>
      <c r="E1044" s="4" t="s">
        <v>1064</v>
      </c>
      <c r="F1044" s="4"/>
      <c r="G1044" s="4" t="s">
        <v>69</v>
      </c>
      <c r="H1044" s="10">
        <v>111.95</v>
      </c>
      <c r="I1044" s="4" t="s">
        <v>1042</v>
      </c>
    </row>
    <row r="1045" ht="15.75" customHeight="1">
      <c r="A1045" s="4" t="s">
        <v>3164</v>
      </c>
      <c r="B1045" s="13">
        <v>46110.9193171296</v>
      </c>
      <c r="C1045" s="4" t="s">
        <v>3165</v>
      </c>
      <c r="D1045" s="4" t="s">
        <v>1063</v>
      </c>
      <c r="E1045" s="4" t="s">
        <v>1064</v>
      </c>
      <c r="F1045" s="4"/>
      <c r="G1045" s="4" t="s">
        <v>137</v>
      </c>
      <c r="H1045" s="4"/>
      <c r="I1045" s="4" t="s">
        <v>1035</v>
      </c>
    </row>
    <row r="1046" ht="15.75" customHeight="1">
      <c r="A1046" s="4" t="s">
        <v>3166</v>
      </c>
      <c r="B1046" s="13">
        <v>46034.6777083333</v>
      </c>
      <c r="C1046" s="4" t="s">
        <v>3167</v>
      </c>
      <c r="D1046" s="4" t="s">
        <v>1086</v>
      </c>
      <c r="E1046" s="4" t="s">
        <v>1064</v>
      </c>
      <c r="F1046" s="4"/>
      <c r="G1046" s="4"/>
      <c r="H1046" s="4"/>
      <c r="I1046" s="4" t="s">
        <v>1042</v>
      </c>
    </row>
    <row r="1047" ht="15.75" customHeight="1">
      <c r="A1047" s="4" t="s">
        <v>3168</v>
      </c>
      <c r="B1047" s="13">
        <v>46069.8967013889</v>
      </c>
      <c r="C1047" s="4" t="s">
        <v>3169</v>
      </c>
      <c r="D1047" s="4" t="s">
        <v>1071</v>
      </c>
      <c r="E1047" s="4" t="s">
        <v>1119</v>
      </c>
      <c r="F1047" s="4"/>
      <c r="G1047" s="4"/>
      <c r="H1047" s="4"/>
      <c r="I1047" s="4" t="s">
        <v>1039</v>
      </c>
    </row>
    <row r="1048" ht="15.75" customHeight="1">
      <c r="A1048" s="4" t="s">
        <v>3170</v>
      </c>
      <c r="B1048" s="13">
        <v>46050.5094444445</v>
      </c>
      <c r="C1048" s="4" t="s">
        <v>3171</v>
      </c>
      <c r="D1048" s="4" t="s">
        <v>1093</v>
      </c>
      <c r="E1048" s="4" t="s">
        <v>1064</v>
      </c>
      <c r="F1048" s="4"/>
      <c r="G1048" s="4"/>
      <c r="H1048" s="4"/>
      <c r="I1048" s="4" t="s">
        <v>587</v>
      </c>
    </row>
    <row r="1049" ht="15.75" customHeight="1">
      <c r="A1049" s="4" t="s">
        <v>3172</v>
      </c>
      <c r="B1049" s="13">
        <v>46040.7609722222</v>
      </c>
      <c r="C1049" s="4" t="s">
        <v>3173</v>
      </c>
      <c r="D1049" s="4" t="s">
        <v>1163</v>
      </c>
      <c r="E1049" s="4" t="s">
        <v>1119</v>
      </c>
      <c r="F1049" s="4"/>
      <c r="G1049" s="4"/>
      <c r="H1049" s="4"/>
      <c r="I1049" s="4" t="s">
        <v>1036</v>
      </c>
    </row>
    <row r="1050" ht="15.75" customHeight="1">
      <c r="A1050" s="4" t="s">
        <v>3174</v>
      </c>
      <c r="B1050" s="13">
        <v>46046.6739351852</v>
      </c>
      <c r="C1050" s="4" t="s">
        <v>3175</v>
      </c>
      <c r="D1050" s="4" t="s">
        <v>1081</v>
      </c>
      <c r="E1050" s="4" t="s">
        <v>1064</v>
      </c>
      <c r="F1050" s="4"/>
      <c r="G1050" s="4"/>
      <c r="H1050" s="4"/>
      <c r="I1050" s="4" t="s">
        <v>1052</v>
      </c>
    </row>
    <row r="1051" ht="15.75" customHeight="1">
      <c r="A1051" s="4" t="s">
        <v>3176</v>
      </c>
      <c r="B1051" s="13">
        <v>46091.7785763889</v>
      </c>
      <c r="C1051" s="4" t="s">
        <v>3177</v>
      </c>
      <c r="D1051" s="4" t="s">
        <v>1086</v>
      </c>
      <c r="E1051" s="4" t="s">
        <v>1064</v>
      </c>
      <c r="F1051" s="4"/>
      <c r="G1051" s="4"/>
      <c r="H1051" s="4"/>
      <c r="I1051" s="4" t="s">
        <v>1042</v>
      </c>
    </row>
    <row r="1052" ht="15.75" customHeight="1">
      <c r="A1052" s="4" t="s">
        <v>3178</v>
      </c>
      <c r="B1052" s="13">
        <v>46035.6972222222</v>
      </c>
      <c r="C1052" s="4" t="s">
        <v>3179</v>
      </c>
      <c r="D1052" s="4" t="s">
        <v>1071</v>
      </c>
      <c r="E1052" s="4" t="s">
        <v>1119</v>
      </c>
      <c r="F1052" s="4"/>
      <c r="G1052" s="4"/>
      <c r="H1052" s="4"/>
      <c r="I1052" s="4" t="s">
        <v>427</v>
      </c>
    </row>
    <row r="1053" ht="15.75" customHeight="1">
      <c r="A1053" s="4" t="s">
        <v>3180</v>
      </c>
      <c r="B1053" s="13">
        <v>46058.7140393519</v>
      </c>
      <c r="C1053" s="4" t="s">
        <v>3181</v>
      </c>
      <c r="D1053" s="4" t="s">
        <v>1163</v>
      </c>
      <c r="E1053" s="4" t="s">
        <v>1119</v>
      </c>
      <c r="F1053" s="4"/>
      <c r="G1053" s="4"/>
      <c r="H1053" s="4"/>
      <c r="I1053" s="4" t="s">
        <v>427</v>
      </c>
    </row>
    <row r="1054" ht="15.75" customHeight="1">
      <c r="A1054" s="4" t="s">
        <v>3182</v>
      </c>
      <c r="B1054" s="13">
        <v>46024.9735185185</v>
      </c>
      <c r="C1054" s="4" t="s">
        <v>3183</v>
      </c>
      <c r="D1054" s="4" t="s">
        <v>1071</v>
      </c>
      <c r="E1054" s="4" t="s">
        <v>1072</v>
      </c>
      <c r="F1054" s="4"/>
      <c r="G1054" s="4"/>
      <c r="H1054" s="4"/>
      <c r="I1054" s="4" t="s">
        <v>1031</v>
      </c>
    </row>
    <row r="1055" ht="15.75" customHeight="1">
      <c r="A1055" s="4" t="s">
        <v>3184</v>
      </c>
      <c r="B1055" s="13">
        <v>46079.7691666667</v>
      </c>
      <c r="C1055" s="4" t="s">
        <v>3185</v>
      </c>
      <c r="D1055" s="4" t="s">
        <v>1089</v>
      </c>
      <c r="E1055" s="4" t="s">
        <v>1090</v>
      </c>
      <c r="F1055" s="4" t="s">
        <v>780</v>
      </c>
      <c r="G1055" s="4"/>
      <c r="H1055" s="4"/>
      <c r="I1055" s="4" t="s">
        <v>1042</v>
      </c>
    </row>
    <row r="1056" ht="15.75" customHeight="1">
      <c r="A1056" s="4" t="s">
        <v>3186</v>
      </c>
      <c r="B1056" s="13">
        <v>46114.8682638889</v>
      </c>
      <c r="C1056" s="4" t="s">
        <v>3187</v>
      </c>
      <c r="D1056" s="4" t="s">
        <v>1089</v>
      </c>
      <c r="E1056" s="4" t="s">
        <v>1090</v>
      </c>
      <c r="F1056" s="4" t="s">
        <v>800</v>
      </c>
      <c r="G1056" s="4"/>
      <c r="H1056" s="4"/>
      <c r="I1056" s="4" t="s">
        <v>1028</v>
      </c>
    </row>
    <row r="1057" ht="15.75" customHeight="1">
      <c r="A1057" s="4" t="s">
        <v>3188</v>
      </c>
      <c r="B1057" s="13">
        <v>46122.5403703704</v>
      </c>
      <c r="C1057" s="4" t="s">
        <v>3189</v>
      </c>
      <c r="D1057" s="4" t="s">
        <v>1086</v>
      </c>
      <c r="E1057" s="4" t="s">
        <v>1064</v>
      </c>
      <c r="F1057" s="4"/>
      <c r="G1057" s="4"/>
      <c r="H1057" s="4"/>
      <c r="I1057" s="4" t="s">
        <v>1052</v>
      </c>
    </row>
    <row r="1058" ht="15.75" customHeight="1">
      <c r="A1058" s="4" t="s">
        <v>3190</v>
      </c>
      <c r="B1058" s="13">
        <v>46076.392650463</v>
      </c>
      <c r="C1058" s="4" t="s">
        <v>3191</v>
      </c>
      <c r="D1058" s="4" t="s">
        <v>1104</v>
      </c>
      <c r="E1058" s="4" t="s">
        <v>1105</v>
      </c>
      <c r="F1058" s="4" t="s">
        <v>197</v>
      </c>
      <c r="G1058" s="4"/>
      <c r="H1058" s="4"/>
      <c r="I1058" s="4" t="s">
        <v>1042</v>
      </c>
    </row>
    <row r="1059" ht="15.75" customHeight="1">
      <c r="A1059" s="4" t="s">
        <v>3192</v>
      </c>
      <c r="B1059" s="13">
        <v>46071.3900347222</v>
      </c>
      <c r="C1059" s="4" t="s">
        <v>3193</v>
      </c>
      <c r="D1059" s="4" t="s">
        <v>1110</v>
      </c>
      <c r="E1059" s="4" t="s">
        <v>1064</v>
      </c>
      <c r="F1059" s="4"/>
      <c r="G1059" s="4" t="s">
        <v>84</v>
      </c>
      <c r="H1059" s="10">
        <v>56.68</v>
      </c>
      <c r="I1059" s="4" t="s">
        <v>1050</v>
      </c>
    </row>
    <row r="1060" ht="15.75" customHeight="1">
      <c r="A1060" s="4" t="s">
        <v>3194</v>
      </c>
      <c r="B1060" s="13">
        <v>46116.403125</v>
      </c>
      <c r="C1060" s="4" t="s">
        <v>3195</v>
      </c>
      <c r="D1060" s="4" t="s">
        <v>1104</v>
      </c>
      <c r="E1060" s="4" t="s">
        <v>1105</v>
      </c>
      <c r="F1060" s="4" t="s">
        <v>269</v>
      </c>
      <c r="G1060" s="4"/>
      <c r="H1060" s="4"/>
      <c r="I1060" s="4" t="s">
        <v>587</v>
      </c>
    </row>
    <row r="1061" ht="15.75" customHeight="1">
      <c r="A1061" s="4" t="s">
        <v>3196</v>
      </c>
      <c r="B1061" s="13">
        <v>46083.8140046296</v>
      </c>
      <c r="C1061" s="4" t="s">
        <v>3197</v>
      </c>
      <c r="D1061" s="4" t="s">
        <v>1075</v>
      </c>
      <c r="E1061" s="4" t="s">
        <v>1064</v>
      </c>
      <c r="F1061" s="4"/>
      <c r="G1061" s="4"/>
      <c r="H1061" s="4"/>
      <c r="I1061" s="4" t="s">
        <v>1036</v>
      </c>
    </row>
    <row r="1062" ht="15.75" customHeight="1">
      <c r="A1062" s="4" t="s">
        <v>3198</v>
      </c>
      <c r="B1062" s="13">
        <v>46130.9119212963</v>
      </c>
      <c r="C1062" s="4" t="s">
        <v>3199</v>
      </c>
      <c r="D1062" s="4" t="s">
        <v>1089</v>
      </c>
      <c r="E1062" s="4" t="s">
        <v>1105</v>
      </c>
      <c r="F1062" s="4" t="s">
        <v>234</v>
      </c>
      <c r="G1062" s="4"/>
      <c r="H1062" s="4"/>
      <c r="I1062" s="4" t="s">
        <v>1028</v>
      </c>
    </row>
    <row r="1063" ht="15.75" customHeight="1">
      <c r="A1063" s="4" t="s">
        <v>3200</v>
      </c>
      <c r="B1063" s="13">
        <v>46104.8728009259</v>
      </c>
      <c r="C1063" s="4" t="s">
        <v>3201</v>
      </c>
      <c r="D1063" s="4" t="s">
        <v>1063</v>
      </c>
      <c r="E1063" s="4" t="s">
        <v>1064</v>
      </c>
      <c r="F1063" s="4"/>
      <c r="G1063" s="4" t="s">
        <v>69</v>
      </c>
      <c r="H1063" s="4"/>
      <c r="I1063" s="4" t="s">
        <v>1050</v>
      </c>
    </row>
    <row r="1064" ht="15.75" customHeight="1">
      <c r="A1064" s="4" t="s">
        <v>3202</v>
      </c>
      <c r="B1064" s="13">
        <v>46099.9872337963</v>
      </c>
      <c r="C1064" s="4" t="s">
        <v>3203</v>
      </c>
      <c r="D1064" s="4" t="s">
        <v>1063</v>
      </c>
      <c r="E1064" s="4" t="s">
        <v>1064</v>
      </c>
      <c r="F1064" s="4"/>
      <c r="G1064" s="4" t="s">
        <v>137</v>
      </c>
      <c r="H1064" s="4"/>
      <c r="I1064" s="4" t="s">
        <v>1039</v>
      </c>
    </row>
    <row r="1065" ht="15.75" customHeight="1">
      <c r="A1065" s="4" t="s">
        <v>3204</v>
      </c>
      <c r="B1065" s="13">
        <v>46130.703912037</v>
      </c>
      <c r="C1065" s="4" t="s">
        <v>3205</v>
      </c>
      <c r="D1065" s="4" t="s">
        <v>1071</v>
      </c>
      <c r="E1065" s="4" t="s">
        <v>1072</v>
      </c>
      <c r="F1065" s="4"/>
      <c r="G1065" s="4"/>
      <c r="H1065" s="4"/>
      <c r="I1065" s="4" t="s">
        <v>1036</v>
      </c>
    </row>
    <row r="1066" ht="15.75" customHeight="1">
      <c r="A1066" s="4" t="s">
        <v>3206</v>
      </c>
      <c r="B1066" s="13">
        <v>46102.7863425926</v>
      </c>
      <c r="C1066" s="4" t="s">
        <v>3207</v>
      </c>
      <c r="D1066" s="4" t="s">
        <v>1086</v>
      </c>
      <c r="E1066" s="4" t="s">
        <v>1064</v>
      </c>
      <c r="F1066" s="4"/>
      <c r="G1066" s="4"/>
      <c r="H1066" s="4"/>
      <c r="I1066" s="4" t="s">
        <v>1028</v>
      </c>
    </row>
    <row r="1067" ht="15.75" customHeight="1">
      <c r="A1067" s="4" t="s">
        <v>3208</v>
      </c>
      <c r="B1067" s="13">
        <v>46041.9096643519</v>
      </c>
      <c r="C1067" s="4" t="s">
        <v>3209</v>
      </c>
      <c r="D1067" s="4" t="s">
        <v>1110</v>
      </c>
      <c r="E1067" s="4" t="s">
        <v>1064</v>
      </c>
      <c r="F1067" s="4"/>
      <c r="G1067" s="4" t="s">
        <v>126</v>
      </c>
      <c r="H1067" s="10">
        <v>234.78</v>
      </c>
      <c r="I1067" s="4" t="s">
        <v>1050</v>
      </c>
    </row>
    <row r="1068" ht="15.75" customHeight="1">
      <c r="A1068" s="4" t="s">
        <v>3210</v>
      </c>
      <c r="B1068" s="13">
        <v>46035.5042824074</v>
      </c>
      <c r="C1068" s="4" t="s">
        <v>3211</v>
      </c>
      <c r="D1068" s="4" t="s">
        <v>1075</v>
      </c>
      <c r="E1068" s="4" t="s">
        <v>1064</v>
      </c>
      <c r="F1068" s="4"/>
      <c r="G1068" s="4"/>
      <c r="H1068" s="4"/>
      <c r="I1068" s="4" t="s">
        <v>1028</v>
      </c>
    </row>
    <row r="1069" ht="15.75" customHeight="1">
      <c r="A1069" s="4" t="s">
        <v>3212</v>
      </c>
      <c r="B1069" s="13">
        <v>46107.4733680556</v>
      </c>
      <c r="C1069" s="4" t="s">
        <v>3213</v>
      </c>
      <c r="D1069" s="4" t="s">
        <v>1104</v>
      </c>
      <c r="E1069" s="4" t="s">
        <v>1105</v>
      </c>
      <c r="F1069" s="4" t="s">
        <v>54</v>
      </c>
      <c r="G1069" s="4"/>
      <c r="H1069" s="4"/>
      <c r="I1069" s="4" t="s">
        <v>1039</v>
      </c>
    </row>
    <row r="1070" ht="15.75" customHeight="1">
      <c r="A1070" s="4" t="s">
        <v>3214</v>
      </c>
      <c r="B1070" s="13">
        <v>46046.9359606481</v>
      </c>
      <c r="C1070" s="4" t="s">
        <v>3215</v>
      </c>
      <c r="D1070" s="4" t="s">
        <v>1104</v>
      </c>
      <c r="E1070" s="4" t="s">
        <v>1105</v>
      </c>
      <c r="F1070" s="4" t="s">
        <v>238</v>
      </c>
      <c r="G1070" s="4"/>
      <c r="H1070" s="4"/>
      <c r="I1070" s="4" t="s">
        <v>1039</v>
      </c>
    </row>
    <row r="1071" ht="15.75" customHeight="1">
      <c r="A1071" s="4" t="s">
        <v>3216</v>
      </c>
      <c r="B1071" s="13">
        <v>46086.7165740741</v>
      </c>
      <c r="C1071" s="4" t="s">
        <v>3217</v>
      </c>
      <c r="D1071" s="4" t="s">
        <v>1078</v>
      </c>
      <c r="E1071" s="4" t="s">
        <v>1064</v>
      </c>
      <c r="F1071" s="4"/>
      <c r="G1071" s="4" t="s">
        <v>244</v>
      </c>
      <c r="H1071" s="10">
        <v>131.98</v>
      </c>
      <c r="I1071" s="4" t="s">
        <v>1030</v>
      </c>
    </row>
    <row r="1072" ht="15.75" customHeight="1">
      <c r="A1072" s="4" t="s">
        <v>3218</v>
      </c>
      <c r="B1072" s="13">
        <v>46122.5403703704</v>
      </c>
      <c r="C1072" s="4" t="s">
        <v>3219</v>
      </c>
      <c r="D1072" s="4" t="s">
        <v>1163</v>
      </c>
      <c r="E1072" s="4" t="s">
        <v>1119</v>
      </c>
      <c r="F1072" s="4"/>
      <c r="G1072" s="4"/>
      <c r="H1072" s="4"/>
      <c r="I1072" s="4" t="s">
        <v>1042</v>
      </c>
    </row>
    <row r="1073" ht="15.75" customHeight="1">
      <c r="A1073" s="4" t="s">
        <v>3220</v>
      </c>
      <c r="B1073" s="13">
        <v>46107.7113888889</v>
      </c>
      <c r="C1073" s="4" t="s">
        <v>3221</v>
      </c>
      <c r="D1073" s="4" t="s">
        <v>1063</v>
      </c>
      <c r="E1073" s="4" t="s">
        <v>1064</v>
      </c>
      <c r="F1073" s="4"/>
      <c r="G1073" s="4" t="s">
        <v>112</v>
      </c>
      <c r="H1073" s="4"/>
      <c r="I1073" s="4" t="s">
        <v>1039</v>
      </c>
    </row>
    <row r="1074" ht="15.75" customHeight="1">
      <c r="A1074" s="4" t="s">
        <v>3222</v>
      </c>
      <c r="B1074" s="13">
        <v>46055.8092476852</v>
      </c>
      <c r="C1074" s="4" t="s">
        <v>3223</v>
      </c>
      <c r="D1074" s="4" t="s">
        <v>1086</v>
      </c>
      <c r="E1074" s="4" t="s">
        <v>1064</v>
      </c>
      <c r="F1074" s="4"/>
      <c r="G1074" s="4"/>
      <c r="H1074" s="4"/>
      <c r="I1074" s="4" t="s">
        <v>1031</v>
      </c>
    </row>
    <row r="1075" ht="15.75" customHeight="1">
      <c r="A1075" s="4" t="s">
        <v>3224</v>
      </c>
      <c r="B1075" s="13">
        <v>46119.7725347222</v>
      </c>
      <c r="C1075" s="4" t="s">
        <v>3225</v>
      </c>
      <c r="D1075" s="4" t="s">
        <v>1089</v>
      </c>
      <c r="E1075" s="4" t="s">
        <v>1090</v>
      </c>
      <c r="F1075" s="4" t="s">
        <v>786</v>
      </c>
      <c r="G1075" s="4"/>
      <c r="H1075" s="4"/>
      <c r="I1075" s="4" t="s">
        <v>1028</v>
      </c>
    </row>
    <row r="1076" ht="15.75" customHeight="1">
      <c r="A1076" s="4" t="s">
        <v>3226</v>
      </c>
      <c r="B1076" s="13">
        <v>46053.3712847222</v>
      </c>
      <c r="C1076" s="4" t="s">
        <v>3227</v>
      </c>
      <c r="D1076" s="4" t="s">
        <v>1163</v>
      </c>
      <c r="E1076" s="4" t="s">
        <v>1072</v>
      </c>
      <c r="F1076" s="4"/>
      <c r="G1076" s="4"/>
      <c r="H1076" s="4"/>
      <c r="I1076" s="4" t="s">
        <v>587</v>
      </c>
    </row>
    <row r="1077" ht="15.75" customHeight="1">
      <c r="A1077" s="4" t="s">
        <v>3228</v>
      </c>
      <c r="B1077" s="13">
        <v>46030.5181134259</v>
      </c>
      <c r="C1077" s="4" t="s">
        <v>3229</v>
      </c>
      <c r="D1077" s="4" t="s">
        <v>1163</v>
      </c>
      <c r="E1077" s="4" t="s">
        <v>1072</v>
      </c>
      <c r="F1077" s="4"/>
      <c r="G1077" s="4"/>
      <c r="H1077" s="4"/>
      <c r="I1077" s="4" t="s">
        <v>1034</v>
      </c>
    </row>
    <row r="1078" ht="15.75" customHeight="1">
      <c r="A1078" s="4" t="s">
        <v>3230</v>
      </c>
      <c r="B1078" s="13">
        <v>46116.9468981482</v>
      </c>
      <c r="C1078" s="4" t="s">
        <v>3231</v>
      </c>
      <c r="D1078" s="4" t="s">
        <v>1063</v>
      </c>
      <c r="E1078" s="4" t="s">
        <v>1064</v>
      </c>
      <c r="F1078" s="4"/>
      <c r="G1078" s="4" t="s">
        <v>244</v>
      </c>
      <c r="H1078" s="4"/>
      <c r="I1078" s="4" t="s">
        <v>1031</v>
      </c>
    </row>
    <row r="1079" ht="15.75" customHeight="1">
      <c r="A1079" s="4" t="s">
        <v>3232</v>
      </c>
      <c r="B1079" s="13">
        <v>46064.8309143519</v>
      </c>
      <c r="C1079" s="4" t="s">
        <v>3233</v>
      </c>
      <c r="D1079" s="4" t="s">
        <v>1063</v>
      </c>
      <c r="E1079" s="4" t="s">
        <v>1064</v>
      </c>
      <c r="F1079" s="4"/>
      <c r="G1079" s="4" t="s">
        <v>137</v>
      </c>
      <c r="H1079" s="4"/>
      <c r="I1079" s="4" t="s">
        <v>1031</v>
      </c>
    </row>
    <row r="1080" ht="15.75" customHeight="1">
      <c r="A1080" s="4" t="s">
        <v>3234</v>
      </c>
      <c r="B1080" s="13">
        <v>46023.3356944445</v>
      </c>
      <c r="C1080" s="4" t="s">
        <v>3235</v>
      </c>
      <c r="D1080" s="4" t="s">
        <v>1078</v>
      </c>
      <c r="E1080" s="4" t="s">
        <v>1064</v>
      </c>
      <c r="F1080" s="4"/>
      <c r="G1080" s="4" t="s">
        <v>61</v>
      </c>
      <c r="H1080" s="10">
        <v>149.72</v>
      </c>
      <c r="I1080" s="4" t="s">
        <v>587</v>
      </c>
    </row>
    <row r="1081" ht="15.75" customHeight="1">
      <c r="A1081" s="4" t="s">
        <v>3236</v>
      </c>
      <c r="B1081" s="13">
        <v>46060.3903240741</v>
      </c>
      <c r="C1081" s="4" t="s">
        <v>3237</v>
      </c>
      <c r="D1081" s="4" t="s">
        <v>1128</v>
      </c>
      <c r="E1081" s="4" t="s">
        <v>1105</v>
      </c>
      <c r="F1081" s="4" t="s">
        <v>132</v>
      </c>
      <c r="G1081" s="4"/>
      <c r="H1081" s="4"/>
      <c r="I1081" s="4" t="s">
        <v>1050</v>
      </c>
    </row>
    <row r="1082" ht="15.75" customHeight="1">
      <c r="A1082" s="4" t="s">
        <v>3238</v>
      </c>
      <c r="B1082" s="13">
        <v>46056.4510648148</v>
      </c>
      <c r="C1082" s="4" t="s">
        <v>3239</v>
      </c>
      <c r="D1082" s="4" t="s">
        <v>1078</v>
      </c>
      <c r="E1082" s="4" t="s">
        <v>1064</v>
      </c>
      <c r="F1082" s="4"/>
      <c r="G1082" s="4" t="s">
        <v>232</v>
      </c>
      <c r="H1082" s="10">
        <v>148.66</v>
      </c>
      <c r="I1082" s="4" t="s">
        <v>587</v>
      </c>
    </row>
    <row r="1083" ht="15.75" customHeight="1">
      <c r="A1083" s="4" t="s">
        <v>3240</v>
      </c>
      <c r="B1083" s="13">
        <v>46048.9156712963</v>
      </c>
      <c r="C1083" s="4" t="s">
        <v>3241</v>
      </c>
      <c r="D1083" s="4" t="s">
        <v>1110</v>
      </c>
      <c r="E1083" s="4" t="s">
        <v>1064</v>
      </c>
      <c r="F1083" s="4"/>
      <c r="G1083" s="4" t="s">
        <v>93</v>
      </c>
      <c r="H1083" s="10">
        <v>201.96</v>
      </c>
      <c r="I1083" s="4" t="s">
        <v>587</v>
      </c>
    </row>
    <row r="1084" ht="15.75" customHeight="1">
      <c r="A1084" s="4" t="s">
        <v>3242</v>
      </c>
      <c r="B1084" s="13">
        <v>46116.4361226852</v>
      </c>
      <c r="C1084" s="4" t="s">
        <v>3243</v>
      </c>
      <c r="D1084" s="4" t="s">
        <v>1089</v>
      </c>
      <c r="E1084" s="4" t="s">
        <v>1105</v>
      </c>
      <c r="F1084" s="4" t="s">
        <v>166</v>
      </c>
      <c r="G1084" s="4"/>
      <c r="H1084" s="4"/>
      <c r="I1084" s="4" t="s">
        <v>427</v>
      </c>
    </row>
    <row r="1085" ht="15.75" customHeight="1">
      <c r="A1085" s="4" t="s">
        <v>3244</v>
      </c>
      <c r="B1085" s="13">
        <v>46088.8772106482</v>
      </c>
      <c r="C1085" s="4" t="s">
        <v>3245</v>
      </c>
      <c r="D1085" s="4" t="s">
        <v>1110</v>
      </c>
      <c r="E1085" s="4" t="s">
        <v>1064</v>
      </c>
      <c r="F1085" s="4"/>
      <c r="G1085" s="4" t="s">
        <v>126</v>
      </c>
      <c r="H1085" s="10">
        <v>34.44</v>
      </c>
      <c r="I1085" s="4" t="s">
        <v>1036</v>
      </c>
    </row>
    <row r="1086" ht="15.75" customHeight="1">
      <c r="A1086" s="4" t="s">
        <v>3246</v>
      </c>
      <c r="B1086" s="13">
        <v>46118.4258912037</v>
      </c>
      <c r="C1086" s="4" t="s">
        <v>3247</v>
      </c>
      <c r="D1086" s="4" t="s">
        <v>1078</v>
      </c>
      <c r="E1086" s="4" t="s">
        <v>1064</v>
      </c>
      <c r="F1086" s="4"/>
      <c r="G1086" s="4" t="s">
        <v>227</v>
      </c>
      <c r="H1086" s="10">
        <v>152.14</v>
      </c>
      <c r="I1086" s="4" t="s">
        <v>1046</v>
      </c>
    </row>
    <row r="1087" ht="15.75" customHeight="1">
      <c r="A1087" s="4" t="s">
        <v>3248</v>
      </c>
      <c r="B1087" s="13">
        <v>46085.9645023148</v>
      </c>
      <c r="C1087" s="4" t="s">
        <v>3249</v>
      </c>
      <c r="D1087" s="4" t="s">
        <v>1071</v>
      </c>
      <c r="E1087" s="4" t="s">
        <v>1072</v>
      </c>
      <c r="F1087" s="4"/>
      <c r="G1087" s="4"/>
      <c r="H1087" s="4"/>
      <c r="I1087" s="4" t="s">
        <v>1034</v>
      </c>
    </row>
    <row r="1088" ht="15.75" customHeight="1">
      <c r="A1088" s="4" t="s">
        <v>3250</v>
      </c>
      <c r="B1088" s="13">
        <v>46101.6895833333</v>
      </c>
      <c r="C1088" s="4" t="s">
        <v>3251</v>
      </c>
      <c r="D1088" s="4" t="s">
        <v>1075</v>
      </c>
      <c r="E1088" s="4" t="s">
        <v>1064</v>
      </c>
      <c r="F1088" s="4"/>
      <c r="G1088" s="4"/>
      <c r="H1088" s="4"/>
      <c r="I1088" s="4" t="s">
        <v>1052</v>
      </c>
    </row>
    <row r="1089" ht="15.75" customHeight="1">
      <c r="A1089" s="4" t="s">
        <v>3252</v>
      </c>
      <c r="B1089" s="13">
        <v>46119.8671759259</v>
      </c>
      <c r="C1089" s="4" t="s">
        <v>3253</v>
      </c>
      <c r="D1089" s="4" t="s">
        <v>1063</v>
      </c>
      <c r="E1089" s="4" t="s">
        <v>1064</v>
      </c>
      <c r="F1089" s="4"/>
      <c r="G1089" s="4" t="s">
        <v>93</v>
      </c>
      <c r="H1089" s="4"/>
      <c r="I1089" s="4" t="s">
        <v>1046</v>
      </c>
    </row>
    <row r="1090" ht="15.75" customHeight="1">
      <c r="A1090" s="4" t="s">
        <v>3254</v>
      </c>
      <c r="B1090" s="13">
        <v>46104.6501851852</v>
      </c>
      <c r="C1090" s="4" t="s">
        <v>3255</v>
      </c>
      <c r="D1090" s="4" t="s">
        <v>1081</v>
      </c>
      <c r="E1090" s="4" t="s">
        <v>1064</v>
      </c>
      <c r="F1090" s="4"/>
      <c r="G1090" s="4"/>
      <c r="H1090" s="4"/>
      <c r="I1090" s="4" t="s">
        <v>1048</v>
      </c>
    </row>
    <row r="1091" ht="15.75" customHeight="1">
      <c r="A1091" s="4" t="s">
        <v>3256</v>
      </c>
      <c r="B1091" s="13">
        <v>46040.8751157407</v>
      </c>
      <c r="C1091" s="4" t="s">
        <v>3257</v>
      </c>
      <c r="D1091" s="4" t="s">
        <v>1089</v>
      </c>
      <c r="E1091" s="4" t="s">
        <v>1090</v>
      </c>
      <c r="F1091" s="4" t="s">
        <v>829</v>
      </c>
      <c r="G1091" s="4"/>
      <c r="H1091" s="4"/>
      <c r="I1091" s="4" t="s">
        <v>1042</v>
      </c>
    </row>
    <row r="1092" ht="15.75" customHeight="1">
      <c r="A1092" s="4" t="s">
        <v>3258</v>
      </c>
      <c r="B1092" s="13">
        <v>46034.8323263889</v>
      </c>
      <c r="C1092" s="4" t="s">
        <v>3259</v>
      </c>
      <c r="D1092" s="4" t="s">
        <v>1110</v>
      </c>
      <c r="E1092" s="4" t="s">
        <v>1064</v>
      </c>
      <c r="F1092" s="4"/>
      <c r="G1092" s="4" t="s">
        <v>144</v>
      </c>
      <c r="H1092" s="10">
        <v>127.35</v>
      </c>
      <c r="I1092" s="4" t="s">
        <v>587</v>
      </c>
    </row>
    <row r="1093" ht="15.75" customHeight="1">
      <c r="A1093" s="4" t="s">
        <v>3260</v>
      </c>
      <c r="B1093" s="13">
        <v>46042.3847916667</v>
      </c>
      <c r="C1093" s="4" t="s">
        <v>3261</v>
      </c>
      <c r="D1093" s="4" t="s">
        <v>1078</v>
      </c>
      <c r="E1093" s="4" t="s">
        <v>1064</v>
      </c>
      <c r="F1093" s="4"/>
      <c r="G1093" s="4" t="s">
        <v>84</v>
      </c>
      <c r="H1093" s="10">
        <v>106.15</v>
      </c>
      <c r="I1093" s="4" t="s">
        <v>1046</v>
      </c>
    </row>
    <row r="1094" ht="15.75" customHeight="1">
      <c r="A1094" s="4" t="s">
        <v>3262</v>
      </c>
      <c r="B1094" s="13">
        <v>46101.7970138889</v>
      </c>
      <c r="C1094" s="4" t="s">
        <v>3263</v>
      </c>
      <c r="D1094" s="4" t="s">
        <v>1063</v>
      </c>
      <c r="E1094" s="4" t="s">
        <v>1064</v>
      </c>
      <c r="F1094" s="4"/>
      <c r="G1094" s="4" t="s">
        <v>107</v>
      </c>
      <c r="H1094" s="4"/>
      <c r="I1094" s="4" t="s">
        <v>1028</v>
      </c>
    </row>
    <row r="1095" ht="15.75" customHeight="1">
      <c r="A1095" s="4" t="s">
        <v>3264</v>
      </c>
      <c r="B1095" s="13">
        <v>46115.55</v>
      </c>
      <c r="C1095" s="4" t="s">
        <v>3265</v>
      </c>
      <c r="D1095" s="4" t="s">
        <v>1163</v>
      </c>
      <c r="E1095" s="4" t="s">
        <v>1119</v>
      </c>
      <c r="F1095" s="4"/>
      <c r="G1095" s="4"/>
      <c r="H1095" s="4"/>
      <c r="I1095" s="4" t="s">
        <v>1034</v>
      </c>
    </row>
    <row r="1096" ht="15.75" customHeight="1">
      <c r="A1096" s="4" t="s">
        <v>3266</v>
      </c>
      <c r="B1096" s="13">
        <v>46089.8642592593</v>
      </c>
      <c r="C1096" s="4" t="s">
        <v>3267</v>
      </c>
      <c r="D1096" s="4" t="s">
        <v>1081</v>
      </c>
      <c r="E1096" s="4" t="s">
        <v>1064</v>
      </c>
      <c r="F1096" s="4"/>
      <c r="G1096" s="4"/>
      <c r="H1096" s="4"/>
      <c r="I1096" s="4" t="s">
        <v>1052</v>
      </c>
    </row>
    <row r="1097" ht="15.75" customHeight="1">
      <c r="A1097" s="4" t="s">
        <v>3268</v>
      </c>
      <c r="B1097" s="13">
        <v>46121.6326041667</v>
      </c>
      <c r="C1097" s="4" t="s">
        <v>3269</v>
      </c>
      <c r="D1097" s="4" t="s">
        <v>1081</v>
      </c>
      <c r="E1097" s="4" t="s">
        <v>1064</v>
      </c>
      <c r="F1097" s="4"/>
      <c r="G1097" s="4"/>
      <c r="H1097" s="4"/>
      <c r="I1097" s="4" t="s">
        <v>1039</v>
      </c>
    </row>
    <row r="1098" ht="15.75" customHeight="1">
      <c r="A1098" s="4" t="s">
        <v>3270</v>
      </c>
      <c r="B1098" s="13">
        <v>46071.6739467593</v>
      </c>
      <c r="C1098" s="4" t="s">
        <v>3271</v>
      </c>
      <c r="D1098" s="4" t="s">
        <v>1163</v>
      </c>
      <c r="E1098" s="4" t="s">
        <v>1072</v>
      </c>
      <c r="F1098" s="4"/>
      <c r="G1098" s="4"/>
      <c r="H1098" s="4"/>
      <c r="I1098" s="4" t="s">
        <v>1046</v>
      </c>
    </row>
    <row r="1099" ht="15.75" customHeight="1">
      <c r="A1099" s="4" t="s">
        <v>3272</v>
      </c>
      <c r="B1099" s="13">
        <v>46112.3502893519</v>
      </c>
      <c r="C1099" s="4" t="s">
        <v>3273</v>
      </c>
      <c r="D1099" s="4" t="s">
        <v>1110</v>
      </c>
      <c r="E1099" s="4" t="s">
        <v>1064</v>
      </c>
      <c r="F1099" s="4"/>
      <c r="G1099" s="4" t="s">
        <v>227</v>
      </c>
      <c r="H1099" s="10">
        <v>106.76</v>
      </c>
      <c r="I1099" s="4" t="s">
        <v>1035</v>
      </c>
    </row>
    <row r="1100" ht="15.75" customHeight="1">
      <c r="A1100" s="4" t="s">
        <v>3274</v>
      </c>
      <c r="B1100" s="13">
        <v>46125.4371990741</v>
      </c>
      <c r="C1100" s="4" t="s">
        <v>3275</v>
      </c>
      <c r="D1100" s="4" t="s">
        <v>1163</v>
      </c>
      <c r="E1100" s="4" t="s">
        <v>1119</v>
      </c>
      <c r="F1100" s="4"/>
      <c r="G1100" s="4"/>
      <c r="H1100" s="4"/>
      <c r="I1100" s="4" t="s">
        <v>587</v>
      </c>
    </row>
    <row r="1101" ht="15.75" customHeight="1">
      <c r="A1101" s="4" t="s">
        <v>3276</v>
      </c>
      <c r="B1101" s="13">
        <v>46095.7268402778</v>
      </c>
      <c r="C1101" s="4" t="s">
        <v>3277</v>
      </c>
      <c r="D1101" s="4" t="s">
        <v>1063</v>
      </c>
      <c r="E1101" s="4" t="s">
        <v>1064</v>
      </c>
      <c r="F1101" s="4"/>
      <c r="G1101" s="4" t="s">
        <v>232</v>
      </c>
      <c r="H1101" s="4"/>
      <c r="I1101" s="4" t="s">
        <v>1052</v>
      </c>
    </row>
    <row r="1102" ht="15.75" customHeight="1">
      <c r="A1102" s="4" t="s">
        <v>3278</v>
      </c>
      <c r="B1102" s="13">
        <v>46081.5101967593</v>
      </c>
      <c r="C1102" s="4" t="s">
        <v>3279</v>
      </c>
      <c r="D1102" s="4" t="s">
        <v>1128</v>
      </c>
      <c r="E1102" s="4" t="s">
        <v>1090</v>
      </c>
      <c r="F1102" s="4" t="s">
        <v>771</v>
      </c>
      <c r="G1102" s="4"/>
      <c r="H1102" s="4"/>
      <c r="I1102" s="4" t="s">
        <v>427</v>
      </c>
    </row>
    <row r="1103" ht="15.75" customHeight="1">
      <c r="A1103" s="4" t="s">
        <v>3280</v>
      </c>
      <c r="B1103" s="13">
        <v>46052.9887962963</v>
      </c>
      <c r="C1103" s="4" t="s">
        <v>3281</v>
      </c>
      <c r="D1103" s="4" t="s">
        <v>1128</v>
      </c>
      <c r="E1103" s="4" t="s">
        <v>1090</v>
      </c>
      <c r="F1103" s="4" t="s">
        <v>800</v>
      </c>
      <c r="G1103" s="4"/>
      <c r="H1103" s="4"/>
      <c r="I1103" s="4" t="s">
        <v>1034</v>
      </c>
    </row>
    <row r="1104" ht="15.75" customHeight="1">
      <c r="A1104" s="4" t="s">
        <v>3282</v>
      </c>
      <c r="B1104" s="13">
        <v>46125.9192361111</v>
      </c>
      <c r="C1104" s="4" t="s">
        <v>3283</v>
      </c>
      <c r="D1104" s="4" t="s">
        <v>1078</v>
      </c>
      <c r="E1104" s="4" t="s">
        <v>1064</v>
      </c>
      <c r="F1104" s="4"/>
      <c r="G1104" s="4" t="s">
        <v>93</v>
      </c>
      <c r="H1104" s="10">
        <v>133.12</v>
      </c>
      <c r="I1104" s="4" t="s">
        <v>1030</v>
      </c>
    </row>
    <row r="1105" ht="15.75" customHeight="1">
      <c r="A1105" s="4" t="s">
        <v>3284</v>
      </c>
      <c r="B1105" s="13">
        <v>46124.9350810185</v>
      </c>
      <c r="C1105" s="4" t="s">
        <v>3285</v>
      </c>
      <c r="D1105" s="4" t="s">
        <v>1081</v>
      </c>
      <c r="E1105" s="4" t="s">
        <v>1064</v>
      </c>
      <c r="F1105" s="4"/>
      <c r="G1105" s="4"/>
      <c r="H1105" s="4"/>
      <c r="I1105" s="4" t="s">
        <v>1030</v>
      </c>
    </row>
    <row r="1106" ht="15.75" customHeight="1">
      <c r="A1106" s="4" t="s">
        <v>3286</v>
      </c>
      <c r="B1106" s="13">
        <v>46092.4121296296</v>
      </c>
      <c r="C1106" s="4" t="s">
        <v>3287</v>
      </c>
      <c r="D1106" s="4" t="s">
        <v>1163</v>
      </c>
      <c r="E1106" s="4" t="s">
        <v>1119</v>
      </c>
      <c r="F1106" s="4"/>
      <c r="G1106" s="4"/>
      <c r="H1106" s="4"/>
      <c r="I1106" s="4" t="s">
        <v>1034</v>
      </c>
    </row>
    <row r="1107" ht="15.75" customHeight="1">
      <c r="A1107" s="4" t="s">
        <v>3288</v>
      </c>
      <c r="B1107" s="13">
        <v>46100.3997337963</v>
      </c>
      <c r="C1107" s="4" t="s">
        <v>3289</v>
      </c>
      <c r="D1107" s="4" t="s">
        <v>1093</v>
      </c>
      <c r="E1107" s="4" t="s">
        <v>1064</v>
      </c>
      <c r="F1107" s="4"/>
      <c r="G1107" s="4"/>
      <c r="H1107" s="4"/>
      <c r="I1107" s="4" t="s">
        <v>1039</v>
      </c>
    </row>
    <row r="1108" ht="15.75" customHeight="1">
      <c r="A1108" s="4" t="s">
        <v>3290</v>
      </c>
      <c r="B1108" s="13">
        <v>46072.5596296296</v>
      </c>
      <c r="C1108" s="4" t="s">
        <v>3291</v>
      </c>
      <c r="D1108" s="4" t="s">
        <v>1081</v>
      </c>
      <c r="E1108" s="4" t="s">
        <v>1064</v>
      </c>
      <c r="F1108" s="4"/>
      <c r="G1108" s="4"/>
      <c r="H1108" s="4"/>
      <c r="I1108" s="4" t="s">
        <v>1048</v>
      </c>
    </row>
    <row r="1109" ht="15.75" customHeight="1">
      <c r="A1109" s="4" t="s">
        <v>3292</v>
      </c>
      <c r="B1109" s="13">
        <v>46075.6062615741</v>
      </c>
      <c r="C1109" s="4" t="s">
        <v>3293</v>
      </c>
      <c r="D1109" s="4" t="s">
        <v>1093</v>
      </c>
      <c r="E1109" s="4" t="s">
        <v>1064</v>
      </c>
      <c r="F1109" s="4"/>
      <c r="G1109" s="4"/>
      <c r="H1109" s="4"/>
      <c r="I1109" s="4" t="s">
        <v>1030</v>
      </c>
    </row>
    <row r="1110" ht="15.75" customHeight="1">
      <c r="A1110" s="4" t="s">
        <v>3294</v>
      </c>
      <c r="B1110" s="13">
        <v>46053.8632638889</v>
      </c>
      <c r="C1110" s="4" t="s">
        <v>3295</v>
      </c>
      <c r="D1110" s="4" t="s">
        <v>1128</v>
      </c>
      <c r="E1110" s="4" t="s">
        <v>1090</v>
      </c>
      <c r="F1110" s="4" t="s">
        <v>771</v>
      </c>
      <c r="G1110" s="4"/>
      <c r="H1110" s="4"/>
      <c r="I1110" s="4" t="s">
        <v>1028</v>
      </c>
    </row>
    <row r="1111" ht="15.75" customHeight="1">
      <c r="A1111" s="4" t="s">
        <v>3296</v>
      </c>
      <c r="B1111" s="13">
        <v>46117.4416203704</v>
      </c>
      <c r="C1111" s="4" t="s">
        <v>3297</v>
      </c>
      <c r="D1111" s="4" t="s">
        <v>1063</v>
      </c>
      <c r="E1111" s="4" t="s">
        <v>1064</v>
      </c>
      <c r="F1111" s="4"/>
      <c r="G1111" s="4" t="s">
        <v>244</v>
      </c>
      <c r="H1111" s="4"/>
      <c r="I1111" s="4" t="s">
        <v>1028</v>
      </c>
    </row>
    <row r="1112" ht="15.75" customHeight="1">
      <c r="A1112" s="4" t="s">
        <v>3298</v>
      </c>
      <c r="B1112" s="13">
        <v>46131.4811226852</v>
      </c>
      <c r="C1112" s="4" t="s">
        <v>3299</v>
      </c>
      <c r="D1112" s="4" t="s">
        <v>1075</v>
      </c>
      <c r="E1112" s="4" t="s">
        <v>1064</v>
      </c>
      <c r="F1112" s="4"/>
      <c r="G1112" s="4"/>
      <c r="H1112" s="4"/>
      <c r="I1112" s="4" t="s">
        <v>1031</v>
      </c>
    </row>
    <row r="1113" ht="15.75" customHeight="1">
      <c r="A1113" s="4" t="s">
        <v>3300</v>
      </c>
      <c r="B1113" s="13">
        <v>46114.413275463</v>
      </c>
      <c r="C1113" s="4" t="s">
        <v>3301</v>
      </c>
      <c r="D1113" s="4" t="s">
        <v>1075</v>
      </c>
      <c r="E1113" s="4" t="s">
        <v>1064</v>
      </c>
      <c r="F1113" s="4"/>
      <c r="G1113" s="4"/>
      <c r="H1113" s="4"/>
      <c r="I1113" s="4" t="s">
        <v>1046</v>
      </c>
    </row>
    <row r="1114" ht="15.75" customHeight="1">
      <c r="A1114" s="4" t="s">
        <v>3302</v>
      </c>
      <c r="B1114" s="13">
        <v>46098.5170717593</v>
      </c>
      <c r="C1114" s="4" t="s">
        <v>3303</v>
      </c>
      <c r="D1114" s="4" t="s">
        <v>1128</v>
      </c>
      <c r="E1114" s="4" t="s">
        <v>1105</v>
      </c>
      <c r="F1114" s="4" t="s">
        <v>214</v>
      </c>
      <c r="G1114" s="4"/>
      <c r="H1114" s="4"/>
      <c r="I1114" s="4" t="s">
        <v>1028</v>
      </c>
    </row>
    <row r="1115" ht="15.75" customHeight="1">
      <c r="A1115" s="4" t="s">
        <v>3304</v>
      </c>
      <c r="B1115" s="13">
        <v>46100.9569675926</v>
      </c>
      <c r="C1115" s="4" t="s">
        <v>3305</v>
      </c>
      <c r="D1115" s="4" t="s">
        <v>1078</v>
      </c>
      <c r="E1115" s="4" t="s">
        <v>1064</v>
      </c>
      <c r="F1115" s="4"/>
      <c r="G1115" s="4" t="s">
        <v>93</v>
      </c>
      <c r="H1115" s="10">
        <v>94.72</v>
      </c>
      <c r="I1115" s="4" t="s">
        <v>1036</v>
      </c>
    </row>
    <row r="1116" ht="15.75" customHeight="1">
      <c r="A1116" s="4" t="s">
        <v>3306</v>
      </c>
      <c r="B1116" s="13">
        <v>46089.6335763889</v>
      </c>
      <c r="C1116" s="4" t="s">
        <v>3307</v>
      </c>
      <c r="D1116" s="4" t="s">
        <v>1075</v>
      </c>
      <c r="E1116" s="4" t="s">
        <v>1064</v>
      </c>
      <c r="F1116" s="4"/>
      <c r="G1116" s="4"/>
      <c r="H1116" s="4"/>
      <c r="I1116" s="4" t="s">
        <v>1052</v>
      </c>
    </row>
    <row r="1117" ht="15.75" customHeight="1">
      <c r="A1117" s="4" t="s">
        <v>3308</v>
      </c>
      <c r="B1117" s="13">
        <v>46035.5790625</v>
      </c>
      <c r="C1117" s="4" t="s">
        <v>3309</v>
      </c>
      <c r="D1117" s="4" t="s">
        <v>1086</v>
      </c>
      <c r="E1117" s="4" t="s">
        <v>1064</v>
      </c>
      <c r="F1117" s="4"/>
      <c r="G1117" s="4"/>
      <c r="H1117" s="4"/>
      <c r="I1117" s="4" t="s">
        <v>1028</v>
      </c>
    </row>
    <row r="1118" ht="15.75" customHeight="1">
      <c r="A1118" s="4" t="s">
        <v>3310</v>
      </c>
      <c r="B1118" s="13">
        <v>46110.7699421296</v>
      </c>
      <c r="C1118" s="4" t="s">
        <v>3311</v>
      </c>
      <c r="D1118" s="4" t="s">
        <v>1089</v>
      </c>
      <c r="E1118" s="4" t="s">
        <v>1105</v>
      </c>
      <c r="F1118" s="4" t="s">
        <v>261</v>
      </c>
      <c r="G1118" s="4"/>
      <c r="H1118" s="4"/>
      <c r="I1118" s="4" t="s">
        <v>1036</v>
      </c>
    </row>
    <row r="1119" ht="15.75" customHeight="1">
      <c r="A1119" s="4" t="s">
        <v>3312</v>
      </c>
      <c r="B1119" s="13">
        <v>46117.6481134259</v>
      </c>
      <c r="C1119" s="4" t="s">
        <v>3313</v>
      </c>
      <c r="D1119" s="4" t="s">
        <v>1081</v>
      </c>
      <c r="E1119" s="4" t="s">
        <v>1064</v>
      </c>
      <c r="F1119" s="4"/>
      <c r="G1119" s="4"/>
      <c r="H1119" s="4"/>
      <c r="I1119" s="4" t="s">
        <v>1048</v>
      </c>
    </row>
    <row r="1120" ht="15.75" customHeight="1">
      <c r="A1120" s="4" t="s">
        <v>3314</v>
      </c>
      <c r="B1120" s="13">
        <v>46049.4613310185</v>
      </c>
      <c r="C1120" s="4" t="s">
        <v>3315</v>
      </c>
      <c r="D1120" s="4" t="s">
        <v>1163</v>
      </c>
      <c r="E1120" s="4" t="s">
        <v>1119</v>
      </c>
      <c r="F1120" s="4"/>
      <c r="G1120" s="4"/>
      <c r="H1120" s="4"/>
      <c r="I1120" s="4" t="s">
        <v>1039</v>
      </c>
    </row>
    <row r="1121" ht="15.75" customHeight="1">
      <c r="A1121" s="4" t="s">
        <v>3316</v>
      </c>
      <c r="B1121" s="13">
        <v>46119.5411342593</v>
      </c>
      <c r="C1121" s="4" t="s">
        <v>3317</v>
      </c>
      <c r="D1121" s="4" t="s">
        <v>1104</v>
      </c>
      <c r="E1121" s="4" t="s">
        <v>1090</v>
      </c>
      <c r="F1121" s="4" t="s">
        <v>780</v>
      </c>
      <c r="G1121" s="4"/>
      <c r="H1121" s="4"/>
      <c r="I1121" s="4" t="s">
        <v>1034</v>
      </c>
    </row>
    <row r="1122" ht="15.75" customHeight="1">
      <c r="A1122" s="4" t="s">
        <v>3318</v>
      </c>
      <c r="B1122" s="13">
        <v>46119.8701273148</v>
      </c>
      <c r="C1122" s="4" t="s">
        <v>3319</v>
      </c>
      <c r="D1122" s="4" t="s">
        <v>1081</v>
      </c>
      <c r="E1122" s="4" t="s">
        <v>1064</v>
      </c>
      <c r="F1122" s="4"/>
      <c r="G1122" s="4"/>
      <c r="H1122" s="4"/>
      <c r="I1122" s="4" t="s">
        <v>1036</v>
      </c>
    </row>
    <row r="1123" ht="15.75" customHeight="1">
      <c r="A1123" s="4" t="s">
        <v>3320</v>
      </c>
      <c r="B1123" s="13">
        <v>46079.9440740741</v>
      </c>
      <c r="C1123" s="4" t="s">
        <v>3321</v>
      </c>
      <c r="D1123" s="4" t="s">
        <v>1081</v>
      </c>
      <c r="E1123" s="4" t="s">
        <v>1064</v>
      </c>
      <c r="F1123" s="4"/>
      <c r="G1123" s="4"/>
      <c r="H1123" s="4"/>
      <c r="I1123" s="4" t="s">
        <v>1028</v>
      </c>
    </row>
    <row r="1124" ht="15.75" customHeight="1">
      <c r="A1124" s="4" t="s">
        <v>3322</v>
      </c>
      <c r="B1124" s="13">
        <v>46125.6822569444</v>
      </c>
      <c r="C1124" s="4" t="s">
        <v>3323</v>
      </c>
      <c r="D1124" s="4" t="s">
        <v>1078</v>
      </c>
      <c r="E1124" s="4" t="s">
        <v>1064</v>
      </c>
      <c r="F1124" s="4"/>
      <c r="G1124" s="4" t="s">
        <v>84</v>
      </c>
      <c r="H1124" s="10">
        <v>25.91</v>
      </c>
      <c r="I1124" s="4" t="s">
        <v>1035</v>
      </c>
    </row>
    <row r="1125" ht="15.75" customHeight="1">
      <c r="A1125" s="4" t="s">
        <v>3324</v>
      </c>
      <c r="B1125" s="13">
        <v>46127.9075694445</v>
      </c>
      <c r="C1125" s="4" t="s">
        <v>3325</v>
      </c>
      <c r="D1125" s="4" t="s">
        <v>1110</v>
      </c>
      <c r="E1125" s="4" t="s">
        <v>1064</v>
      </c>
      <c r="F1125" s="4"/>
      <c r="G1125" s="4" t="s">
        <v>61</v>
      </c>
      <c r="H1125" s="10">
        <v>74.2</v>
      </c>
      <c r="I1125" s="4" t="s">
        <v>427</v>
      </c>
    </row>
    <row r="1126" ht="15.75" customHeight="1">
      <c r="A1126" s="4" t="s">
        <v>3326</v>
      </c>
      <c r="B1126" s="13">
        <v>46063.9679166667</v>
      </c>
      <c r="C1126" s="4" t="s">
        <v>3327</v>
      </c>
      <c r="D1126" s="4" t="s">
        <v>1071</v>
      </c>
      <c r="E1126" s="4" t="s">
        <v>1072</v>
      </c>
      <c r="F1126" s="4"/>
      <c r="G1126" s="4"/>
      <c r="H1126" s="4"/>
      <c r="I1126" s="4" t="s">
        <v>1046</v>
      </c>
    </row>
    <row r="1127" ht="15.75" customHeight="1">
      <c r="A1127" s="4" t="s">
        <v>3328</v>
      </c>
      <c r="B1127" s="13">
        <v>46080.5687268519</v>
      </c>
      <c r="C1127" s="4" t="s">
        <v>3329</v>
      </c>
      <c r="D1127" s="4" t="s">
        <v>1063</v>
      </c>
      <c r="E1127" s="4" t="s">
        <v>1064</v>
      </c>
      <c r="F1127" s="4"/>
      <c r="G1127" s="4" t="s">
        <v>77</v>
      </c>
      <c r="H1127" s="4"/>
      <c r="I1127" s="4" t="s">
        <v>1048</v>
      </c>
    </row>
    <row r="1128" ht="15.75" customHeight="1">
      <c r="A1128" s="4" t="s">
        <v>3330</v>
      </c>
      <c r="B1128" s="13">
        <v>46049.3809722222</v>
      </c>
      <c r="C1128" s="4" t="s">
        <v>3331</v>
      </c>
      <c r="D1128" s="4" t="s">
        <v>1086</v>
      </c>
      <c r="E1128" s="4" t="s">
        <v>1064</v>
      </c>
      <c r="F1128" s="4"/>
      <c r="G1128" s="4"/>
      <c r="H1128" s="4"/>
      <c r="I1128" s="4" t="s">
        <v>1028</v>
      </c>
    </row>
    <row r="1129" ht="15.75" customHeight="1">
      <c r="A1129" s="4" t="s">
        <v>3332</v>
      </c>
      <c r="B1129" s="13">
        <v>46105.5779398148</v>
      </c>
      <c r="C1129" s="4" t="s">
        <v>3333</v>
      </c>
      <c r="D1129" s="4" t="s">
        <v>1078</v>
      </c>
      <c r="E1129" s="4" t="s">
        <v>1064</v>
      </c>
      <c r="F1129" s="4"/>
      <c r="G1129" s="4" t="s">
        <v>195</v>
      </c>
      <c r="H1129" s="10">
        <v>32.9</v>
      </c>
      <c r="I1129" s="4" t="s">
        <v>1034</v>
      </c>
    </row>
    <row r="1130" ht="15.75" customHeight="1">
      <c r="A1130" s="4" t="s">
        <v>3334</v>
      </c>
      <c r="B1130" s="13">
        <v>46117.6904513889</v>
      </c>
      <c r="C1130" s="4" t="s">
        <v>3335</v>
      </c>
      <c r="D1130" s="4" t="s">
        <v>1081</v>
      </c>
      <c r="E1130" s="4" t="s">
        <v>1064</v>
      </c>
      <c r="F1130" s="4"/>
      <c r="G1130" s="4"/>
      <c r="H1130" s="4"/>
      <c r="I1130" s="4" t="s">
        <v>1046</v>
      </c>
    </row>
    <row r="1131" ht="15.75" customHeight="1">
      <c r="A1131" s="4" t="s">
        <v>3336</v>
      </c>
      <c r="B1131" s="13">
        <v>46061.7433333333</v>
      </c>
      <c r="C1131" s="4" t="s">
        <v>3337</v>
      </c>
      <c r="D1131" s="4" t="s">
        <v>1110</v>
      </c>
      <c r="E1131" s="4" t="s">
        <v>1064</v>
      </c>
      <c r="F1131" s="4"/>
      <c r="G1131" s="4" t="s">
        <v>190</v>
      </c>
      <c r="H1131" s="10">
        <v>101.22</v>
      </c>
      <c r="I1131" s="4" t="s">
        <v>1028</v>
      </c>
    </row>
    <row r="1132" ht="15.75" customHeight="1">
      <c r="A1132" s="4" t="s">
        <v>3338</v>
      </c>
      <c r="B1132" s="13">
        <v>46068.7368634259</v>
      </c>
      <c r="C1132" s="4" t="s">
        <v>3339</v>
      </c>
      <c r="D1132" s="4" t="s">
        <v>1071</v>
      </c>
      <c r="E1132" s="4" t="s">
        <v>1072</v>
      </c>
      <c r="F1132" s="4"/>
      <c r="G1132" s="4"/>
      <c r="H1132" s="4"/>
      <c r="I1132" s="4" t="s">
        <v>1046</v>
      </c>
    </row>
    <row r="1133" ht="15.75" customHeight="1">
      <c r="A1133" s="4" t="s">
        <v>3340</v>
      </c>
      <c r="B1133" s="13">
        <v>46066.3409375</v>
      </c>
      <c r="C1133" s="4" t="s">
        <v>3341</v>
      </c>
      <c r="D1133" s="4" t="s">
        <v>1089</v>
      </c>
      <c r="E1133" s="4" t="s">
        <v>1105</v>
      </c>
      <c r="F1133" s="4" t="s">
        <v>246</v>
      </c>
      <c r="G1133" s="4"/>
      <c r="H1133" s="4"/>
      <c r="I1133" s="4" t="s">
        <v>1030</v>
      </c>
    </row>
    <row r="1134" ht="15.75" customHeight="1">
      <c r="A1134" s="4" t="s">
        <v>3342</v>
      </c>
      <c r="B1134" s="13">
        <v>46129.7479861111</v>
      </c>
      <c r="C1134" s="4" t="s">
        <v>3343</v>
      </c>
      <c r="D1134" s="4" t="s">
        <v>1081</v>
      </c>
      <c r="E1134" s="4" t="s">
        <v>1064</v>
      </c>
      <c r="F1134" s="4"/>
      <c r="G1134" s="4"/>
      <c r="H1134" s="4"/>
      <c r="I1134" s="4" t="s">
        <v>1046</v>
      </c>
    </row>
    <row r="1135" ht="15.75" customHeight="1">
      <c r="A1135" s="4" t="s">
        <v>3344</v>
      </c>
      <c r="B1135" s="13">
        <v>46112.4066782407</v>
      </c>
      <c r="C1135" s="4" t="s">
        <v>3345</v>
      </c>
      <c r="D1135" s="4" t="s">
        <v>1075</v>
      </c>
      <c r="E1135" s="4" t="s">
        <v>1064</v>
      </c>
      <c r="F1135" s="4"/>
      <c r="G1135" s="4"/>
      <c r="H1135" s="4"/>
      <c r="I1135" s="4" t="s">
        <v>1035</v>
      </c>
    </row>
    <row r="1136" ht="15.75" customHeight="1">
      <c r="A1136" s="4" t="s">
        <v>3346</v>
      </c>
      <c r="B1136" s="13">
        <v>46059.3660648148</v>
      </c>
      <c r="C1136" s="4" t="s">
        <v>3347</v>
      </c>
      <c r="D1136" s="4" t="s">
        <v>1093</v>
      </c>
      <c r="E1136" s="4" t="s">
        <v>1064</v>
      </c>
      <c r="F1136" s="4"/>
      <c r="G1136" s="4"/>
      <c r="H1136" s="4"/>
      <c r="I1136" s="4" t="s">
        <v>1028</v>
      </c>
    </row>
    <row r="1137" ht="15.75" customHeight="1">
      <c r="A1137" s="4" t="s">
        <v>3348</v>
      </c>
      <c r="B1137" s="13">
        <v>46053.6180439815</v>
      </c>
      <c r="C1137" s="4" t="s">
        <v>3349</v>
      </c>
      <c r="D1137" s="4" t="s">
        <v>1081</v>
      </c>
      <c r="E1137" s="4" t="s">
        <v>1064</v>
      </c>
      <c r="F1137" s="4"/>
      <c r="G1137" s="4"/>
      <c r="H1137" s="4"/>
      <c r="I1137" s="4" t="s">
        <v>1039</v>
      </c>
    </row>
    <row r="1138" ht="15.75" customHeight="1">
      <c r="A1138" s="4" t="s">
        <v>3350</v>
      </c>
      <c r="B1138" s="13">
        <v>46096.8651851852</v>
      </c>
      <c r="C1138" s="4" t="s">
        <v>3351</v>
      </c>
      <c r="D1138" s="4" t="s">
        <v>1089</v>
      </c>
      <c r="E1138" s="4" t="s">
        <v>1105</v>
      </c>
      <c r="F1138" s="4" t="s">
        <v>221</v>
      </c>
      <c r="G1138" s="4"/>
      <c r="H1138" s="4"/>
      <c r="I1138" s="4" t="s">
        <v>1030</v>
      </c>
    </row>
    <row r="1139" ht="15.75" customHeight="1">
      <c r="A1139" s="4" t="s">
        <v>3352</v>
      </c>
      <c r="B1139" s="13">
        <v>46118.8516898148</v>
      </c>
      <c r="C1139" s="4" t="s">
        <v>3353</v>
      </c>
      <c r="D1139" s="4" t="s">
        <v>1071</v>
      </c>
      <c r="E1139" s="4" t="s">
        <v>1119</v>
      </c>
      <c r="F1139" s="4"/>
      <c r="G1139" s="4"/>
      <c r="H1139" s="4"/>
      <c r="I1139" s="4" t="s">
        <v>1052</v>
      </c>
    </row>
    <row r="1140" ht="15.75" customHeight="1">
      <c r="A1140" s="4" t="s">
        <v>3354</v>
      </c>
      <c r="B1140" s="13">
        <v>46045.3811342593</v>
      </c>
      <c r="C1140" s="4" t="s">
        <v>3355</v>
      </c>
      <c r="D1140" s="4" t="s">
        <v>1078</v>
      </c>
      <c r="E1140" s="4" t="s">
        <v>1064</v>
      </c>
      <c r="F1140" s="4"/>
      <c r="G1140" s="4" t="s">
        <v>107</v>
      </c>
      <c r="H1140" s="10">
        <v>118.97</v>
      </c>
      <c r="I1140" s="4" t="s">
        <v>1048</v>
      </c>
    </row>
    <row r="1141" ht="15.75" customHeight="1">
      <c r="A1141" s="4" t="s">
        <v>3356</v>
      </c>
      <c r="B1141" s="13">
        <v>46032.6156018519</v>
      </c>
      <c r="C1141" s="4" t="s">
        <v>3357</v>
      </c>
      <c r="D1141" s="4" t="s">
        <v>1089</v>
      </c>
      <c r="E1141" s="4" t="s">
        <v>1105</v>
      </c>
      <c r="F1141" s="4" t="s">
        <v>294</v>
      </c>
      <c r="G1141" s="4"/>
      <c r="H1141" s="4"/>
      <c r="I1141" s="4" t="s">
        <v>1042</v>
      </c>
    </row>
    <row r="1142" ht="15.75" customHeight="1">
      <c r="A1142" s="4" t="s">
        <v>3358</v>
      </c>
      <c r="B1142" s="13">
        <v>46083.9437962963</v>
      </c>
      <c r="C1142" s="4" t="s">
        <v>3359</v>
      </c>
      <c r="D1142" s="4" t="s">
        <v>1104</v>
      </c>
      <c r="E1142" s="4" t="s">
        <v>1090</v>
      </c>
      <c r="F1142" s="4" t="s">
        <v>780</v>
      </c>
      <c r="G1142" s="4"/>
      <c r="H1142" s="4"/>
      <c r="I1142" s="4" t="s">
        <v>1050</v>
      </c>
    </row>
    <row r="1143" ht="15.75" customHeight="1">
      <c r="A1143" s="4" t="s">
        <v>3360</v>
      </c>
      <c r="B1143" s="13">
        <v>46026.5508680556</v>
      </c>
      <c r="C1143" s="4" t="s">
        <v>3361</v>
      </c>
      <c r="D1143" s="4" t="s">
        <v>1078</v>
      </c>
      <c r="E1143" s="4" t="s">
        <v>1064</v>
      </c>
      <c r="F1143" s="4"/>
      <c r="G1143" s="4" t="s">
        <v>77</v>
      </c>
      <c r="H1143" s="10">
        <v>165.46</v>
      </c>
      <c r="I1143" s="4" t="s">
        <v>1031</v>
      </c>
    </row>
    <row r="1144" ht="15.75" customHeight="1">
      <c r="A1144" s="4" t="s">
        <v>3362</v>
      </c>
      <c r="B1144" s="13">
        <v>46040.8694791667</v>
      </c>
      <c r="C1144" s="4" t="s">
        <v>3363</v>
      </c>
      <c r="D1144" s="4" t="s">
        <v>1078</v>
      </c>
      <c r="E1144" s="4" t="s">
        <v>1064</v>
      </c>
      <c r="F1144" s="4"/>
      <c r="G1144" s="4" t="s">
        <v>232</v>
      </c>
      <c r="H1144" s="10">
        <v>81.98</v>
      </c>
      <c r="I1144" s="4" t="s">
        <v>1030</v>
      </c>
    </row>
    <row r="1145" ht="15.75" customHeight="1">
      <c r="A1145" s="4" t="s">
        <v>3364</v>
      </c>
      <c r="B1145" s="13">
        <v>46097.8249652778</v>
      </c>
      <c r="C1145" s="4" t="s">
        <v>3365</v>
      </c>
      <c r="D1145" s="4" t="s">
        <v>1071</v>
      </c>
      <c r="E1145" s="4" t="s">
        <v>1119</v>
      </c>
      <c r="F1145" s="4"/>
      <c r="G1145" s="4"/>
      <c r="H1145" s="4"/>
      <c r="I1145" s="4" t="s">
        <v>427</v>
      </c>
    </row>
    <row r="1146" ht="15.75" customHeight="1">
      <c r="A1146" s="4" t="s">
        <v>3366</v>
      </c>
      <c r="B1146" s="13">
        <v>46046.9885185185</v>
      </c>
      <c r="C1146" s="4" t="s">
        <v>3367</v>
      </c>
      <c r="D1146" s="4" t="s">
        <v>1081</v>
      </c>
      <c r="E1146" s="4" t="s">
        <v>1064</v>
      </c>
      <c r="F1146" s="4"/>
      <c r="G1146" s="4"/>
      <c r="H1146" s="4"/>
      <c r="I1146" s="4" t="s">
        <v>1036</v>
      </c>
    </row>
    <row r="1147" ht="15.75" customHeight="1">
      <c r="A1147" s="4" t="s">
        <v>3368</v>
      </c>
      <c r="B1147" s="13">
        <v>46026.6249305556</v>
      </c>
      <c r="C1147" s="4" t="s">
        <v>3369</v>
      </c>
      <c r="D1147" s="4" t="s">
        <v>1089</v>
      </c>
      <c r="E1147" s="4" t="s">
        <v>1090</v>
      </c>
      <c r="F1147" s="4" t="s">
        <v>794</v>
      </c>
      <c r="G1147" s="4"/>
      <c r="H1147" s="4"/>
      <c r="I1147" s="4" t="s">
        <v>1030</v>
      </c>
    </row>
    <row r="1148" ht="15.75" customHeight="1">
      <c r="A1148" s="4" t="s">
        <v>3370</v>
      </c>
      <c r="B1148" s="13">
        <v>46115.6208217593</v>
      </c>
      <c r="C1148" s="4" t="s">
        <v>3371</v>
      </c>
      <c r="D1148" s="4" t="s">
        <v>1086</v>
      </c>
      <c r="E1148" s="4" t="s">
        <v>1064</v>
      </c>
      <c r="F1148" s="4"/>
      <c r="G1148" s="4"/>
      <c r="H1148" s="4"/>
      <c r="I1148" s="4" t="s">
        <v>1048</v>
      </c>
    </row>
    <row r="1149" ht="15.75" customHeight="1">
      <c r="A1149" s="4" t="s">
        <v>3372</v>
      </c>
      <c r="B1149" s="13">
        <v>46084.5080324074</v>
      </c>
      <c r="C1149" s="4" t="s">
        <v>3373</v>
      </c>
      <c r="D1149" s="4" t="s">
        <v>1075</v>
      </c>
      <c r="E1149" s="4" t="s">
        <v>1064</v>
      </c>
      <c r="F1149" s="4"/>
      <c r="G1149" s="4"/>
      <c r="H1149" s="4"/>
      <c r="I1149" s="4" t="s">
        <v>1046</v>
      </c>
    </row>
    <row r="1150" ht="15.75" customHeight="1">
      <c r="A1150" s="4" t="s">
        <v>3374</v>
      </c>
      <c r="B1150" s="13">
        <v>46052.4284606482</v>
      </c>
      <c r="C1150" s="4" t="s">
        <v>3375</v>
      </c>
      <c r="D1150" s="4" t="s">
        <v>1110</v>
      </c>
      <c r="E1150" s="4" t="s">
        <v>1064</v>
      </c>
      <c r="F1150" s="4"/>
      <c r="G1150" s="4" t="s">
        <v>227</v>
      </c>
      <c r="H1150" s="10">
        <v>107.24</v>
      </c>
      <c r="I1150" s="4" t="s">
        <v>1046</v>
      </c>
    </row>
    <row r="1151" ht="15.75" customHeight="1">
      <c r="A1151" s="4" t="s">
        <v>3376</v>
      </c>
      <c r="B1151" s="13">
        <v>46097.589837963</v>
      </c>
      <c r="C1151" s="4" t="s">
        <v>3377</v>
      </c>
      <c r="D1151" s="4" t="s">
        <v>1078</v>
      </c>
      <c r="E1151" s="4" t="s">
        <v>1064</v>
      </c>
      <c r="F1151" s="4"/>
      <c r="G1151" s="4" t="s">
        <v>69</v>
      </c>
      <c r="H1151" s="10">
        <v>105.11</v>
      </c>
      <c r="I1151" s="4" t="s">
        <v>1046</v>
      </c>
    </row>
    <row r="1152" ht="15.75" customHeight="1">
      <c r="A1152" s="4" t="s">
        <v>3378</v>
      </c>
      <c r="B1152" s="13">
        <v>46128.7590740741</v>
      </c>
      <c r="C1152" s="4" t="s">
        <v>3379</v>
      </c>
      <c r="D1152" s="4" t="s">
        <v>1071</v>
      </c>
      <c r="E1152" s="4" t="s">
        <v>1072</v>
      </c>
      <c r="F1152" s="4"/>
      <c r="G1152" s="4"/>
      <c r="H1152" s="4"/>
      <c r="I1152" s="4" t="s">
        <v>1052</v>
      </c>
    </row>
    <row r="1153" ht="15.75" customHeight="1">
      <c r="A1153" s="4" t="s">
        <v>3380</v>
      </c>
      <c r="B1153" s="13">
        <v>46086.8938194444</v>
      </c>
      <c r="C1153" s="4" t="s">
        <v>3381</v>
      </c>
      <c r="D1153" s="4" t="s">
        <v>1093</v>
      </c>
      <c r="E1153" s="4" t="s">
        <v>1064</v>
      </c>
      <c r="F1153" s="4"/>
      <c r="G1153" s="4"/>
      <c r="H1153" s="4"/>
      <c r="I1153" s="4" t="s">
        <v>1035</v>
      </c>
    </row>
    <row r="1154" ht="15.75" customHeight="1">
      <c r="A1154" s="4" t="s">
        <v>3382</v>
      </c>
      <c r="B1154" s="13">
        <v>46087.3771527778</v>
      </c>
      <c r="C1154" s="4" t="s">
        <v>3383</v>
      </c>
      <c r="D1154" s="4" t="s">
        <v>1063</v>
      </c>
      <c r="E1154" s="4" t="s">
        <v>1064</v>
      </c>
      <c r="F1154" s="4"/>
      <c r="G1154" s="4" t="s">
        <v>84</v>
      </c>
      <c r="H1154" s="4"/>
      <c r="I1154" s="4" t="s">
        <v>1052</v>
      </c>
    </row>
    <row r="1155" ht="15.75" customHeight="1">
      <c r="A1155" s="4" t="s">
        <v>3384</v>
      </c>
      <c r="B1155" s="13">
        <v>46033.7535185185</v>
      </c>
      <c r="C1155" s="4" t="s">
        <v>3385</v>
      </c>
      <c r="D1155" s="4" t="s">
        <v>1071</v>
      </c>
      <c r="E1155" s="4" t="s">
        <v>1072</v>
      </c>
      <c r="F1155" s="4"/>
      <c r="G1155" s="4"/>
      <c r="H1155" s="4"/>
      <c r="I1155" s="4" t="s">
        <v>1028</v>
      </c>
    </row>
    <row r="1156" ht="15.75" customHeight="1">
      <c r="A1156" s="4" t="s">
        <v>3386</v>
      </c>
      <c r="B1156" s="13">
        <v>46125.3554513889</v>
      </c>
      <c r="C1156" s="4" t="s">
        <v>3387</v>
      </c>
      <c r="D1156" s="4" t="s">
        <v>1104</v>
      </c>
      <c r="E1156" s="4" t="s">
        <v>1105</v>
      </c>
      <c r="F1156" s="4" t="s">
        <v>273</v>
      </c>
      <c r="G1156" s="4"/>
      <c r="H1156" s="4"/>
      <c r="I1156" s="4" t="s">
        <v>1031</v>
      </c>
    </row>
    <row r="1157" ht="15.75" customHeight="1">
      <c r="A1157" s="4" t="s">
        <v>3388</v>
      </c>
      <c r="B1157" s="13">
        <v>46090.7689699074</v>
      </c>
      <c r="C1157" s="4" t="s">
        <v>3389</v>
      </c>
      <c r="D1157" s="4" t="s">
        <v>1081</v>
      </c>
      <c r="E1157" s="4" t="s">
        <v>1064</v>
      </c>
      <c r="F1157" s="4"/>
      <c r="G1157" s="4"/>
      <c r="H1157" s="4"/>
      <c r="I1157" s="4" t="s">
        <v>1042</v>
      </c>
    </row>
    <row r="1158" ht="15.75" customHeight="1">
      <c r="A1158" s="4" t="s">
        <v>3390</v>
      </c>
      <c r="B1158" s="13">
        <v>46105.3402199074</v>
      </c>
      <c r="C1158" s="4" t="s">
        <v>3391</v>
      </c>
      <c r="D1158" s="4" t="s">
        <v>1075</v>
      </c>
      <c r="E1158" s="4" t="s">
        <v>1064</v>
      </c>
      <c r="F1158" s="4"/>
      <c r="G1158" s="4"/>
      <c r="H1158" s="4"/>
      <c r="I1158" s="4" t="s">
        <v>1035</v>
      </c>
    </row>
    <row r="1159" ht="15.75" customHeight="1">
      <c r="A1159" s="4" t="s">
        <v>3392</v>
      </c>
      <c r="B1159" s="13">
        <v>46032.8029050926</v>
      </c>
      <c r="C1159" s="4" t="s">
        <v>3393</v>
      </c>
      <c r="D1159" s="4" t="s">
        <v>1086</v>
      </c>
      <c r="E1159" s="4" t="s">
        <v>1064</v>
      </c>
      <c r="F1159" s="4"/>
      <c r="G1159" s="4"/>
      <c r="H1159" s="4"/>
      <c r="I1159" s="4" t="s">
        <v>427</v>
      </c>
    </row>
    <row r="1160" ht="15.75" customHeight="1">
      <c r="A1160" s="4" t="s">
        <v>3394</v>
      </c>
      <c r="B1160" s="13">
        <v>46029.5642013889</v>
      </c>
      <c r="C1160" s="4" t="s">
        <v>3395</v>
      </c>
      <c r="D1160" s="4" t="s">
        <v>1110</v>
      </c>
      <c r="E1160" s="4" t="s">
        <v>1064</v>
      </c>
      <c r="F1160" s="4"/>
      <c r="G1160" s="4" t="s">
        <v>93</v>
      </c>
      <c r="H1160" s="10">
        <v>222.09</v>
      </c>
      <c r="I1160" s="4" t="s">
        <v>427</v>
      </c>
    </row>
    <row r="1161" ht="15.75" customHeight="1">
      <c r="A1161" s="4" t="s">
        <v>3396</v>
      </c>
      <c r="B1161" s="13">
        <v>46059.4627083333</v>
      </c>
      <c r="C1161" s="4" t="s">
        <v>3397</v>
      </c>
      <c r="D1161" s="4" t="s">
        <v>1128</v>
      </c>
      <c r="E1161" s="4" t="s">
        <v>1105</v>
      </c>
      <c r="F1161" s="4" t="s">
        <v>179</v>
      </c>
      <c r="G1161" s="4"/>
      <c r="H1161" s="4"/>
      <c r="I1161" s="4" t="s">
        <v>1030</v>
      </c>
    </row>
    <row r="1162" ht="15.75" customHeight="1">
      <c r="A1162" s="4" t="s">
        <v>3398</v>
      </c>
      <c r="B1162" s="13">
        <v>46063.5007638889</v>
      </c>
      <c r="C1162" s="4" t="s">
        <v>3399</v>
      </c>
      <c r="D1162" s="4" t="s">
        <v>1078</v>
      </c>
      <c r="E1162" s="4" t="s">
        <v>1064</v>
      </c>
      <c r="F1162" s="4"/>
      <c r="G1162" s="4" t="s">
        <v>244</v>
      </c>
      <c r="H1162" s="10">
        <v>44.22</v>
      </c>
      <c r="I1162" s="4" t="s">
        <v>427</v>
      </c>
    </row>
    <row r="1163" ht="15.75" customHeight="1">
      <c r="A1163" s="4" t="s">
        <v>3400</v>
      </c>
      <c r="B1163" s="13">
        <v>46058.3766203704</v>
      </c>
      <c r="C1163" s="4" t="s">
        <v>3401</v>
      </c>
      <c r="D1163" s="4" t="s">
        <v>1128</v>
      </c>
      <c r="E1163" s="4" t="s">
        <v>1105</v>
      </c>
      <c r="F1163" s="4" t="s">
        <v>197</v>
      </c>
      <c r="G1163" s="4"/>
      <c r="H1163" s="4"/>
      <c r="I1163" s="4" t="s">
        <v>1031</v>
      </c>
    </row>
    <row r="1164" ht="15.75" customHeight="1">
      <c r="A1164" s="4" t="s">
        <v>3402</v>
      </c>
      <c r="B1164" s="13">
        <v>46106.3379861111</v>
      </c>
      <c r="C1164" s="4" t="s">
        <v>3403</v>
      </c>
      <c r="D1164" s="4" t="s">
        <v>1128</v>
      </c>
      <c r="E1164" s="4" t="s">
        <v>1090</v>
      </c>
      <c r="F1164" s="4" t="s">
        <v>790</v>
      </c>
      <c r="G1164" s="4"/>
      <c r="H1164" s="4"/>
      <c r="I1164" s="4" t="s">
        <v>1048</v>
      </c>
    </row>
    <row r="1165" ht="15.75" customHeight="1">
      <c r="A1165" s="4" t="s">
        <v>3404</v>
      </c>
      <c r="B1165" s="13">
        <v>46049.6500694445</v>
      </c>
      <c r="C1165" s="4" t="s">
        <v>3405</v>
      </c>
      <c r="D1165" s="4" t="s">
        <v>1078</v>
      </c>
      <c r="E1165" s="4" t="s">
        <v>1064</v>
      </c>
      <c r="F1165" s="4"/>
      <c r="G1165" s="4" t="s">
        <v>150</v>
      </c>
      <c r="H1165" s="10">
        <v>103.69</v>
      </c>
      <c r="I1165" s="4" t="s">
        <v>1030</v>
      </c>
    </row>
    <row r="1166" ht="15.75" customHeight="1">
      <c r="A1166" s="4" t="s">
        <v>3406</v>
      </c>
      <c r="B1166" s="13">
        <v>46043.6573842593</v>
      </c>
      <c r="C1166" s="4" t="s">
        <v>3407</v>
      </c>
      <c r="D1166" s="4" t="s">
        <v>1110</v>
      </c>
      <c r="E1166" s="4" t="s">
        <v>1064</v>
      </c>
      <c r="F1166" s="4"/>
      <c r="G1166" s="4" t="s">
        <v>84</v>
      </c>
      <c r="H1166" s="10">
        <v>98.65</v>
      </c>
      <c r="I1166" s="4" t="s">
        <v>1052</v>
      </c>
    </row>
    <row r="1167" ht="15.75" customHeight="1">
      <c r="A1167" s="4" t="s">
        <v>3408</v>
      </c>
      <c r="B1167" s="13">
        <v>46046.8470949074</v>
      </c>
      <c r="C1167" s="4" t="s">
        <v>3409</v>
      </c>
      <c r="D1167" s="4" t="s">
        <v>1078</v>
      </c>
      <c r="E1167" s="4" t="s">
        <v>1064</v>
      </c>
      <c r="F1167" s="4"/>
      <c r="G1167" s="4" t="s">
        <v>144</v>
      </c>
      <c r="H1167" s="10">
        <v>49.38</v>
      </c>
      <c r="I1167" s="4" t="s">
        <v>1036</v>
      </c>
    </row>
    <row r="1168" ht="15.75" customHeight="1">
      <c r="A1168" s="4" t="s">
        <v>3410</v>
      </c>
      <c r="B1168" s="13">
        <v>46078.8835300926</v>
      </c>
      <c r="C1168" s="4" t="s">
        <v>3411</v>
      </c>
      <c r="D1168" s="4" t="s">
        <v>1163</v>
      </c>
      <c r="E1168" s="4" t="s">
        <v>1072</v>
      </c>
      <c r="F1168" s="4"/>
      <c r="G1168" s="4"/>
      <c r="H1168" s="4"/>
      <c r="I1168" s="4" t="s">
        <v>1035</v>
      </c>
    </row>
    <row r="1169" ht="15.75" customHeight="1">
      <c r="A1169" s="4" t="s">
        <v>3412</v>
      </c>
      <c r="B1169" s="13">
        <v>46104.9867708333</v>
      </c>
      <c r="C1169" s="4" t="s">
        <v>3413</v>
      </c>
      <c r="D1169" s="4" t="s">
        <v>1093</v>
      </c>
      <c r="E1169" s="4" t="s">
        <v>1064</v>
      </c>
      <c r="F1169" s="4"/>
      <c r="G1169" s="4"/>
      <c r="H1169" s="4"/>
      <c r="I1169" s="4" t="s">
        <v>1028</v>
      </c>
    </row>
    <row r="1170" ht="15.75" customHeight="1">
      <c r="A1170" s="4" t="s">
        <v>3414</v>
      </c>
      <c r="B1170" s="13">
        <v>46069.5690972222</v>
      </c>
      <c r="C1170" s="4" t="s">
        <v>3415</v>
      </c>
      <c r="D1170" s="4" t="s">
        <v>1081</v>
      </c>
      <c r="E1170" s="4" t="s">
        <v>1064</v>
      </c>
      <c r="F1170" s="4"/>
      <c r="G1170" s="4"/>
      <c r="H1170" s="4"/>
      <c r="I1170" s="4" t="s">
        <v>1039</v>
      </c>
    </row>
    <row r="1171" ht="15.75" customHeight="1">
      <c r="A1171" s="4" t="s">
        <v>3416</v>
      </c>
      <c r="B1171" s="13">
        <v>46072.8499074074</v>
      </c>
      <c r="C1171" s="4" t="s">
        <v>3417</v>
      </c>
      <c r="D1171" s="4" t="s">
        <v>1128</v>
      </c>
      <c r="E1171" s="4" t="s">
        <v>1105</v>
      </c>
      <c r="F1171" s="4" t="s">
        <v>202</v>
      </c>
      <c r="G1171" s="4"/>
      <c r="H1171" s="4"/>
      <c r="I1171" s="4" t="s">
        <v>427</v>
      </c>
    </row>
    <row r="1172" ht="15.75" customHeight="1">
      <c r="A1172" s="4" t="s">
        <v>3418</v>
      </c>
      <c r="B1172" s="13">
        <v>46123.6636574074</v>
      </c>
      <c r="C1172" s="4" t="s">
        <v>3419</v>
      </c>
      <c r="D1172" s="4" t="s">
        <v>1063</v>
      </c>
      <c r="E1172" s="4" t="s">
        <v>1064</v>
      </c>
      <c r="F1172" s="4"/>
      <c r="G1172" s="4" t="s">
        <v>84</v>
      </c>
      <c r="H1172" s="4"/>
      <c r="I1172" s="4" t="s">
        <v>1030</v>
      </c>
    </row>
    <row r="1173" ht="15.75" customHeight="1">
      <c r="A1173" s="4" t="s">
        <v>3420</v>
      </c>
      <c r="B1173" s="13">
        <v>46083.8015625</v>
      </c>
      <c r="C1173" s="4" t="s">
        <v>3421</v>
      </c>
      <c r="D1173" s="4" t="s">
        <v>1078</v>
      </c>
      <c r="E1173" s="4" t="s">
        <v>1064</v>
      </c>
      <c r="F1173" s="4"/>
      <c r="G1173" s="4" t="s">
        <v>84</v>
      </c>
      <c r="H1173" s="10">
        <v>160.75</v>
      </c>
      <c r="I1173" s="4" t="s">
        <v>1035</v>
      </c>
    </row>
    <row r="1174" ht="15.75" customHeight="1">
      <c r="A1174" s="4" t="s">
        <v>3422</v>
      </c>
      <c r="B1174" s="13">
        <v>46120.8526157407</v>
      </c>
      <c r="C1174" s="4" t="s">
        <v>3423</v>
      </c>
      <c r="D1174" s="4" t="s">
        <v>1078</v>
      </c>
      <c r="E1174" s="4" t="s">
        <v>1064</v>
      </c>
      <c r="F1174" s="4"/>
      <c r="G1174" s="4" t="s">
        <v>61</v>
      </c>
      <c r="H1174" s="10">
        <v>42.11</v>
      </c>
      <c r="I1174" s="4" t="s">
        <v>1028</v>
      </c>
    </row>
    <row r="1175" ht="15.75" customHeight="1">
      <c r="A1175" s="4" t="s">
        <v>3424</v>
      </c>
      <c r="B1175" s="13">
        <v>46093.7828125</v>
      </c>
      <c r="C1175" s="4" t="s">
        <v>3425</v>
      </c>
      <c r="D1175" s="4" t="s">
        <v>1071</v>
      </c>
      <c r="E1175" s="4" t="s">
        <v>1119</v>
      </c>
      <c r="F1175" s="4"/>
      <c r="G1175" s="4"/>
      <c r="H1175" s="4"/>
      <c r="I1175" s="4" t="s">
        <v>1046</v>
      </c>
    </row>
    <row r="1176" ht="15.75" customHeight="1">
      <c r="A1176" s="4" t="s">
        <v>3426</v>
      </c>
      <c r="B1176" s="13">
        <v>46042.7127430556</v>
      </c>
      <c r="C1176" s="4" t="s">
        <v>3427</v>
      </c>
      <c r="D1176" s="4" t="s">
        <v>1071</v>
      </c>
      <c r="E1176" s="4" t="s">
        <v>1119</v>
      </c>
      <c r="F1176" s="4"/>
      <c r="G1176" s="4"/>
      <c r="H1176" s="4"/>
      <c r="I1176" s="4" t="s">
        <v>1039</v>
      </c>
    </row>
    <row r="1177" ht="15.75" customHeight="1">
      <c r="A1177" s="4" t="s">
        <v>3428</v>
      </c>
      <c r="B1177" s="13">
        <v>46048.6390856481</v>
      </c>
      <c r="C1177" s="4" t="s">
        <v>3429</v>
      </c>
      <c r="D1177" s="4" t="s">
        <v>1075</v>
      </c>
      <c r="E1177" s="4" t="s">
        <v>1064</v>
      </c>
      <c r="F1177" s="4"/>
      <c r="G1177" s="4"/>
      <c r="H1177" s="4"/>
      <c r="I1177" s="4" t="s">
        <v>1048</v>
      </c>
    </row>
    <row r="1178" ht="15.75" customHeight="1">
      <c r="A1178" s="4" t="s">
        <v>3430</v>
      </c>
      <c r="B1178" s="13">
        <v>46077.6545833333</v>
      </c>
      <c r="C1178" s="4" t="s">
        <v>3431</v>
      </c>
      <c r="D1178" s="4" t="s">
        <v>1086</v>
      </c>
      <c r="E1178" s="4" t="s">
        <v>1064</v>
      </c>
      <c r="F1178" s="4"/>
      <c r="G1178" s="4"/>
      <c r="H1178" s="4"/>
      <c r="I1178" s="4" t="s">
        <v>1039</v>
      </c>
    </row>
    <row r="1179" ht="15.75" customHeight="1">
      <c r="A1179" s="4" t="s">
        <v>3432</v>
      </c>
      <c r="B1179" s="13">
        <v>46041.7336805556</v>
      </c>
      <c r="C1179" s="4" t="s">
        <v>3433</v>
      </c>
      <c r="D1179" s="4" t="s">
        <v>1163</v>
      </c>
      <c r="E1179" s="4" t="s">
        <v>1119</v>
      </c>
      <c r="F1179" s="4"/>
      <c r="G1179" s="4"/>
      <c r="H1179" s="4"/>
      <c r="I1179" s="4" t="s">
        <v>1048</v>
      </c>
    </row>
    <row r="1180" ht="15.75" customHeight="1">
      <c r="A1180" s="4" t="s">
        <v>3434</v>
      </c>
      <c r="B1180" s="13">
        <v>46032.8794212963</v>
      </c>
      <c r="C1180" s="4" t="s">
        <v>3435</v>
      </c>
      <c r="D1180" s="4" t="s">
        <v>1081</v>
      </c>
      <c r="E1180" s="4" t="s">
        <v>1064</v>
      </c>
      <c r="F1180" s="4"/>
      <c r="G1180" s="4"/>
      <c r="H1180" s="4"/>
      <c r="I1180" s="4" t="s">
        <v>1035</v>
      </c>
    </row>
    <row r="1181" ht="15.75" customHeight="1">
      <c r="A1181" s="4" t="s">
        <v>3436</v>
      </c>
      <c r="B1181" s="13">
        <v>46106.614224537</v>
      </c>
      <c r="C1181" s="4" t="s">
        <v>3437</v>
      </c>
      <c r="D1181" s="4" t="s">
        <v>1163</v>
      </c>
      <c r="E1181" s="4" t="s">
        <v>1119</v>
      </c>
      <c r="F1181" s="4"/>
      <c r="G1181" s="4"/>
      <c r="H1181" s="4"/>
      <c r="I1181" s="4" t="s">
        <v>1046</v>
      </c>
    </row>
    <row r="1182" ht="15.75" customHeight="1">
      <c r="A1182" s="4" t="s">
        <v>3438</v>
      </c>
      <c r="B1182" s="13">
        <v>46071.3963425926</v>
      </c>
      <c r="C1182" s="4" t="s">
        <v>3439</v>
      </c>
      <c r="D1182" s="4" t="s">
        <v>1128</v>
      </c>
      <c r="E1182" s="4" t="s">
        <v>1105</v>
      </c>
      <c r="F1182" s="4" t="s">
        <v>214</v>
      </c>
      <c r="G1182" s="4"/>
      <c r="H1182" s="4"/>
      <c r="I1182" s="4" t="s">
        <v>587</v>
      </c>
    </row>
    <row r="1183" ht="15.75" customHeight="1">
      <c r="A1183" s="4" t="s">
        <v>3440</v>
      </c>
      <c r="B1183" s="13">
        <v>46093.3582986111</v>
      </c>
      <c r="C1183" s="4" t="s">
        <v>3441</v>
      </c>
      <c r="D1183" s="4" t="s">
        <v>1093</v>
      </c>
      <c r="E1183" s="4" t="s">
        <v>1064</v>
      </c>
      <c r="F1183" s="4"/>
      <c r="G1183" s="4"/>
      <c r="H1183" s="4"/>
      <c r="I1183" s="4" t="s">
        <v>1052</v>
      </c>
    </row>
    <row r="1184" ht="15.75" customHeight="1">
      <c r="A1184" s="4" t="s">
        <v>3442</v>
      </c>
      <c r="B1184" s="13">
        <v>46039.4711226852</v>
      </c>
      <c r="C1184" s="4" t="s">
        <v>3443</v>
      </c>
      <c r="D1184" s="4" t="s">
        <v>1104</v>
      </c>
      <c r="E1184" s="4" t="s">
        <v>1090</v>
      </c>
      <c r="F1184" s="4" t="s">
        <v>798</v>
      </c>
      <c r="G1184" s="4"/>
      <c r="H1184" s="4"/>
      <c r="I1184" s="4" t="s">
        <v>427</v>
      </c>
    </row>
    <row r="1185" ht="15.75" customHeight="1">
      <c r="A1185" s="4" t="s">
        <v>3444</v>
      </c>
      <c r="B1185" s="13">
        <v>46105.7035763889</v>
      </c>
      <c r="C1185" s="4" t="s">
        <v>3445</v>
      </c>
      <c r="D1185" s="4" t="s">
        <v>1063</v>
      </c>
      <c r="E1185" s="4" t="s">
        <v>1064</v>
      </c>
      <c r="F1185" s="4"/>
      <c r="G1185" s="4" t="s">
        <v>195</v>
      </c>
      <c r="H1185" s="4"/>
      <c r="I1185" s="4" t="s">
        <v>1035</v>
      </c>
    </row>
    <row r="1186" ht="15.75" customHeight="1">
      <c r="A1186" s="4" t="s">
        <v>3446</v>
      </c>
      <c r="B1186" s="13">
        <v>46049.6097916667</v>
      </c>
      <c r="C1186" s="4" t="s">
        <v>3447</v>
      </c>
      <c r="D1186" s="4" t="s">
        <v>1075</v>
      </c>
      <c r="E1186" s="4" t="s">
        <v>1064</v>
      </c>
      <c r="F1186" s="4"/>
      <c r="G1186" s="4"/>
      <c r="H1186" s="4"/>
      <c r="I1186" s="4" t="s">
        <v>1036</v>
      </c>
    </row>
    <row r="1187" ht="15.75" customHeight="1">
      <c r="A1187" s="4" t="s">
        <v>3448</v>
      </c>
      <c r="B1187" s="13">
        <v>46061.342650463</v>
      </c>
      <c r="C1187" s="4" t="s">
        <v>3449</v>
      </c>
      <c r="D1187" s="4" t="s">
        <v>1081</v>
      </c>
      <c r="E1187" s="4" t="s">
        <v>1064</v>
      </c>
      <c r="F1187" s="4"/>
      <c r="G1187" s="4"/>
      <c r="H1187" s="4"/>
      <c r="I1187" s="4" t="s">
        <v>1028</v>
      </c>
    </row>
    <row r="1188" ht="15.75" customHeight="1">
      <c r="A1188" s="4" t="s">
        <v>3450</v>
      </c>
      <c r="B1188" s="13">
        <v>46046.9062268519</v>
      </c>
      <c r="C1188" s="4" t="s">
        <v>3451</v>
      </c>
      <c r="D1188" s="4" t="s">
        <v>1104</v>
      </c>
      <c r="E1188" s="4" t="s">
        <v>1090</v>
      </c>
      <c r="F1188" s="4" t="s">
        <v>803</v>
      </c>
      <c r="G1188" s="4"/>
      <c r="H1188" s="4"/>
      <c r="I1188" s="4" t="s">
        <v>1028</v>
      </c>
    </row>
    <row r="1189" ht="15.75" customHeight="1">
      <c r="A1189" s="4" t="s">
        <v>3452</v>
      </c>
      <c r="B1189" s="13">
        <v>46075.6342708333</v>
      </c>
      <c r="C1189" s="4" t="s">
        <v>3453</v>
      </c>
      <c r="D1189" s="4" t="s">
        <v>1089</v>
      </c>
      <c r="E1189" s="4" t="s">
        <v>1090</v>
      </c>
      <c r="F1189" s="4" t="s">
        <v>780</v>
      </c>
      <c r="G1189" s="4"/>
      <c r="H1189" s="4"/>
      <c r="I1189" s="4" t="s">
        <v>427</v>
      </c>
    </row>
    <row r="1190" ht="15.75" customHeight="1">
      <c r="A1190" s="4" t="s">
        <v>3454</v>
      </c>
      <c r="B1190" s="13">
        <v>46123.3384837963</v>
      </c>
      <c r="C1190" s="4" t="s">
        <v>3455</v>
      </c>
      <c r="D1190" s="4" t="s">
        <v>1063</v>
      </c>
      <c r="E1190" s="4" t="s">
        <v>1064</v>
      </c>
      <c r="F1190" s="4"/>
      <c r="G1190" s="4" t="s">
        <v>100</v>
      </c>
      <c r="H1190" s="4"/>
      <c r="I1190" s="4" t="s">
        <v>1035</v>
      </c>
    </row>
    <row r="1191" ht="15.75" customHeight="1">
      <c r="A1191" s="4" t="s">
        <v>3456</v>
      </c>
      <c r="B1191" s="13">
        <v>46047.6349189815</v>
      </c>
      <c r="C1191" s="4" t="s">
        <v>3457</v>
      </c>
      <c r="D1191" s="4" t="s">
        <v>1104</v>
      </c>
      <c r="E1191" s="4" t="s">
        <v>1090</v>
      </c>
      <c r="F1191" s="4" t="s">
        <v>817</v>
      </c>
      <c r="G1191" s="4"/>
      <c r="H1191" s="4"/>
      <c r="I1191" s="4" t="s">
        <v>1035</v>
      </c>
    </row>
    <row r="1192" ht="15.75" customHeight="1">
      <c r="A1192" s="4" t="s">
        <v>3458</v>
      </c>
      <c r="B1192" s="13">
        <v>46110.6908564815</v>
      </c>
      <c r="C1192" s="4" t="s">
        <v>3459</v>
      </c>
      <c r="D1192" s="4" t="s">
        <v>1110</v>
      </c>
      <c r="E1192" s="4" t="s">
        <v>1064</v>
      </c>
      <c r="F1192" s="4"/>
      <c r="G1192" s="4" t="s">
        <v>107</v>
      </c>
      <c r="H1192" s="10">
        <v>46.79</v>
      </c>
      <c r="I1192" s="4" t="s">
        <v>1042</v>
      </c>
    </row>
    <row r="1193" ht="15.75" customHeight="1">
      <c r="A1193" s="4" t="s">
        <v>3460</v>
      </c>
      <c r="B1193" s="13">
        <v>46078.9848726852</v>
      </c>
      <c r="C1193" s="4" t="s">
        <v>3461</v>
      </c>
      <c r="D1193" s="4" t="s">
        <v>1104</v>
      </c>
      <c r="E1193" s="4" t="s">
        <v>1105</v>
      </c>
      <c r="F1193" s="4" t="s">
        <v>54</v>
      </c>
      <c r="G1193" s="4"/>
      <c r="H1193" s="4"/>
      <c r="I1193" s="4" t="s">
        <v>1050</v>
      </c>
    </row>
    <row r="1194" ht="15.75" customHeight="1">
      <c r="A1194" s="4" t="s">
        <v>3462</v>
      </c>
      <c r="B1194" s="13">
        <v>46106.4507060185</v>
      </c>
      <c r="C1194" s="4" t="s">
        <v>3463</v>
      </c>
      <c r="D1194" s="4" t="s">
        <v>1071</v>
      </c>
      <c r="E1194" s="4" t="s">
        <v>1072</v>
      </c>
      <c r="F1194" s="4"/>
      <c r="G1194" s="4"/>
      <c r="H1194" s="4"/>
      <c r="I1194" s="4" t="s">
        <v>1048</v>
      </c>
    </row>
    <row r="1195" ht="15.75" customHeight="1">
      <c r="A1195" s="4" t="s">
        <v>3464</v>
      </c>
      <c r="B1195" s="13">
        <v>46132.9160532407</v>
      </c>
      <c r="C1195" s="4" t="s">
        <v>3465</v>
      </c>
      <c r="D1195" s="4" t="s">
        <v>1075</v>
      </c>
      <c r="E1195" s="4" t="s">
        <v>1064</v>
      </c>
      <c r="F1195" s="4"/>
      <c r="G1195" s="4"/>
      <c r="H1195" s="4"/>
      <c r="I1195" s="4" t="s">
        <v>1036</v>
      </c>
    </row>
    <row r="1196" ht="15.75" customHeight="1">
      <c r="A1196" s="4" t="s">
        <v>3466</v>
      </c>
      <c r="B1196" s="13">
        <v>46028.6376041667</v>
      </c>
      <c r="C1196" s="4" t="s">
        <v>3467</v>
      </c>
      <c r="D1196" s="4" t="s">
        <v>1071</v>
      </c>
      <c r="E1196" s="4" t="s">
        <v>1119</v>
      </c>
      <c r="F1196" s="4"/>
      <c r="G1196" s="4"/>
      <c r="H1196" s="4"/>
      <c r="I1196" s="4" t="s">
        <v>1050</v>
      </c>
    </row>
    <row r="1197" ht="15.75" customHeight="1">
      <c r="A1197" s="4" t="s">
        <v>3468</v>
      </c>
      <c r="B1197" s="13">
        <v>46056.5022337963</v>
      </c>
      <c r="C1197" s="4" t="s">
        <v>3469</v>
      </c>
      <c r="D1197" s="4" t="s">
        <v>1163</v>
      </c>
      <c r="E1197" s="4" t="s">
        <v>1119</v>
      </c>
      <c r="F1197" s="4"/>
      <c r="G1197" s="4"/>
      <c r="H1197" s="4"/>
      <c r="I1197" s="4" t="s">
        <v>1036</v>
      </c>
    </row>
    <row r="1198" ht="15.75" customHeight="1">
      <c r="A1198" s="4" t="s">
        <v>3470</v>
      </c>
      <c r="B1198" s="13">
        <v>46035.9958217593</v>
      </c>
      <c r="C1198" s="4" t="s">
        <v>3471</v>
      </c>
      <c r="D1198" s="4" t="s">
        <v>1081</v>
      </c>
      <c r="E1198" s="4" t="s">
        <v>1064</v>
      </c>
      <c r="F1198" s="4"/>
      <c r="G1198" s="4"/>
      <c r="H1198" s="4"/>
      <c r="I1198" s="4" t="s">
        <v>1042</v>
      </c>
    </row>
    <row r="1199" ht="15.75" customHeight="1">
      <c r="A1199" s="4" t="s">
        <v>3472</v>
      </c>
      <c r="B1199" s="13">
        <v>46064.963125</v>
      </c>
      <c r="C1199" s="4" t="s">
        <v>3473</v>
      </c>
      <c r="D1199" s="4" t="s">
        <v>1104</v>
      </c>
      <c r="E1199" s="4" t="s">
        <v>1090</v>
      </c>
      <c r="F1199" s="4" t="s">
        <v>780</v>
      </c>
      <c r="G1199" s="4"/>
      <c r="H1199" s="4"/>
      <c r="I1199" s="4" t="s">
        <v>1036</v>
      </c>
    </row>
    <row r="1200" ht="15.75" customHeight="1">
      <c r="A1200" s="4" t="s">
        <v>3474</v>
      </c>
      <c r="B1200" s="13">
        <v>46062.3391087963</v>
      </c>
      <c r="C1200" s="4" t="s">
        <v>3475</v>
      </c>
      <c r="D1200" s="4" t="s">
        <v>1081</v>
      </c>
      <c r="E1200" s="4" t="s">
        <v>1064</v>
      </c>
      <c r="F1200" s="4"/>
      <c r="G1200" s="4"/>
      <c r="H1200" s="4"/>
      <c r="I1200" s="4" t="s">
        <v>1035</v>
      </c>
    </row>
    <row r="1201" ht="15.75" customHeight="1">
      <c r="A1201" s="4" t="s">
        <v>3476</v>
      </c>
      <c r="B1201" s="13">
        <v>46034.7118865741</v>
      </c>
      <c r="C1201" s="4" t="s">
        <v>3477</v>
      </c>
      <c r="D1201" s="4" t="s">
        <v>1081</v>
      </c>
      <c r="E1201" s="4" t="s">
        <v>1064</v>
      </c>
      <c r="F1201" s="4"/>
      <c r="G1201" s="4"/>
      <c r="H1201" s="4"/>
      <c r="I1201" s="4" t="s">
        <v>1034</v>
      </c>
    </row>
    <row r="1202" ht="15.75" customHeight="1">
      <c r="A1202" s="4" t="s">
        <v>3478</v>
      </c>
      <c r="B1202" s="13">
        <v>46085.4513773148</v>
      </c>
      <c r="C1202" s="4" t="s">
        <v>3479</v>
      </c>
      <c r="D1202" s="4" t="s">
        <v>1128</v>
      </c>
      <c r="E1202" s="4" t="s">
        <v>1090</v>
      </c>
      <c r="F1202" s="4" t="s">
        <v>796</v>
      </c>
      <c r="G1202" s="4"/>
      <c r="H1202" s="4"/>
      <c r="I1202" s="4" t="s">
        <v>1046</v>
      </c>
    </row>
    <row r="1203" ht="15.75" customHeight="1">
      <c r="A1203" s="4" t="s">
        <v>3480</v>
      </c>
      <c r="B1203" s="13">
        <v>46060.8837731482</v>
      </c>
      <c r="C1203" s="4" t="s">
        <v>3481</v>
      </c>
      <c r="D1203" s="4" t="s">
        <v>1075</v>
      </c>
      <c r="E1203" s="4" t="s">
        <v>1064</v>
      </c>
      <c r="F1203" s="4"/>
      <c r="G1203" s="4"/>
      <c r="H1203" s="4"/>
      <c r="I1203" s="4" t="s">
        <v>1028</v>
      </c>
    </row>
    <row r="1204" ht="15.75" customHeight="1">
      <c r="A1204" s="4" t="s">
        <v>3482</v>
      </c>
      <c r="B1204" s="13">
        <v>46061.4877777778</v>
      </c>
      <c r="C1204" s="4" t="s">
        <v>3483</v>
      </c>
      <c r="D1204" s="4" t="s">
        <v>1093</v>
      </c>
      <c r="E1204" s="4" t="s">
        <v>1064</v>
      </c>
      <c r="F1204" s="4"/>
      <c r="G1204" s="4"/>
      <c r="H1204" s="4"/>
      <c r="I1204" s="4" t="s">
        <v>1028</v>
      </c>
    </row>
    <row r="1205" ht="15.75" customHeight="1">
      <c r="A1205" s="4" t="s">
        <v>3484</v>
      </c>
      <c r="B1205" s="13">
        <v>46038.8048148148</v>
      </c>
      <c r="C1205" s="4" t="s">
        <v>3485</v>
      </c>
      <c r="D1205" s="4" t="s">
        <v>1128</v>
      </c>
      <c r="E1205" s="4" t="s">
        <v>1090</v>
      </c>
      <c r="F1205" s="4" t="s">
        <v>786</v>
      </c>
      <c r="G1205" s="4"/>
      <c r="H1205" s="4"/>
      <c r="I1205" s="4" t="s">
        <v>1034</v>
      </c>
    </row>
    <row r="1206" ht="15.75" customHeight="1">
      <c r="A1206" s="4" t="s">
        <v>3486</v>
      </c>
      <c r="B1206" s="13">
        <v>46075.9042939815</v>
      </c>
      <c r="C1206" s="4" t="s">
        <v>3487</v>
      </c>
      <c r="D1206" s="4" t="s">
        <v>1089</v>
      </c>
      <c r="E1206" s="4" t="s">
        <v>1090</v>
      </c>
      <c r="F1206" s="4" t="s">
        <v>794</v>
      </c>
      <c r="G1206" s="4"/>
      <c r="H1206" s="4"/>
      <c r="I1206" s="4" t="s">
        <v>427</v>
      </c>
    </row>
    <row r="1207" ht="15.75" customHeight="1">
      <c r="A1207" s="4" t="s">
        <v>3488</v>
      </c>
      <c r="B1207" s="13">
        <v>46045.9911921296</v>
      </c>
      <c r="C1207" s="4" t="s">
        <v>3489</v>
      </c>
      <c r="D1207" s="4" t="s">
        <v>1063</v>
      </c>
      <c r="E1207" s="4" t="s">
        <v>1064</v>
      </c>
      <c r="F1207" s="4"/>
      <c r="G1207" s="4" t="s">
        <v>84</v>
      </c>
      <c r="H1207" s="4"/>
      <c r="I1207" s="4" t="s">
        <v>1046</v>
      </c>
    </row>
    <row r="1208" ht="15.75" customHeight="1">
      <c r="A1208" s="4" t="s">
        <v>3490</v>
      </c>
      <c r="B1208" s="13">
        <v>46126.4581597222</v>
      </c>
      <c r="C1208" s="4" t="s">
        <v>3491</v>
      </c>
      <c r="D1208" s="4" t="s">
        <v>1086</v>
      </c>
      <c r="E1208" s="4" t="s">
        <v>1064</v>
      </c>
      <c r="F1208" s="4"/>
      <c r="G1208" s="4"/>
      <c r="H1208" s="4"/>
      <c r="I1208" s="4" t="s">
        <v>1036</v>
      </c>
    </row>
    <row r="1209" ht="15.75" customHeight="1">
      <c r="A1209" s="4" t="s">
        <v>3492</v>
      </c>
      <c r="B1209" s="13">
        <v>46089.8106944444</v>
      </c>
      <c r="C1209" s="4" t="s">
        <v>3493</v>
      </c>
      <c r="D1209" s="4" t="s">
        <v>1078</v>
      </c>
      <c r="E1209" s="4" t="s">
        <v>1064</v>
      </c>
      <c r="F1209" s="4"/>
      <c r="G1209" s="4" t="s">
        <v>126</v>
      </c>
      <c r="H1209" s="10">
        <v>177.02</v>
      </c>
      <c r="I1209" s="4" t="s">
        <v>1042</v>
      </c>
    </row>
    <row r="1210" ht="15.75" customHeight="1">
      <c r="A1210" s="4" t="s">
        <v>3494</v>
      </c>
      <c r="B1210" s="13">
        <v>46036.7690740741</v>
      </c>
      <c r="C1210" s="4" t="s">
        <v>3495</v>
      </c>
      <c r="D1210" s="4" t="s">
        <v>1063</v>
      </c>
      <c r="E1210" s="4" t="s">
        <v>1064</v>
      </c>
      <c r="F1210" s="4"/>
      <c r="G1210" s="4" t="s">
        <v>244</v>
      </c>
      <c r="H1210" s="4"/>
      <c r="I1210" s="4" t="s">
        <v>1050</v>
      </c>
    </row>
    <row r="1211" ht="15.75" customHeight="1">
      <c r="A1211" s="4" t="s">
        <v>3496</v>
      </c>
      <c r="B1211" s="13">
        <v>46132.5615740741</v>
      </c>
      <c r="C1211" s="4" t="s">
        <v>3497</v>
      </c>
      <c r="D1211" s="4" t="s">
        <v>1128</v>
      </c>
      <c r="E1211" s="4" t="s">
        <v>1105</v>
      </c>
      <c r="F1211" s="4" t="s">
        <v>269</v>
      </c>
      <c r="G1211" s="4"/>
      <c r="H1211" s="4"/>
      <c r="I1211" s="4" t="s">
        <v>1034</v>
      </c>
    </row>
    <row r="1212" ht="15.75" customHeight="1">
      <c r="A1212" s="4" t="s">
        <v>3498</v>
      </c>
      <c r="B1212" s="13">
        <v>46069.3447222222</v>
      </c>
      <c r="C1212" s="4" t="s">
        <v>3499</v>
      </c>
      <c r="D1212" s="4" t="s">
        <v>1075</v>
      </c>
      <c r="E1212" s="4" t="s">
        <v>1064</v>
      </c>
      <c r="F1212" s="4"/>
      <c r="G1212" s="4"/>
      <c r="H1212" s="4"/>
      <c r="I1212" s="4" t="s">
        <v>1030</v>
      </c>
    </row>
    <row r="1213" ht="15.75" customHeight="1">
      <c r="A1213" s="4" t="s">
        <v>3500</v>
      </c>
      <c r="B1213" s="13">
        <v>46132.6721412037</v>
      </c>
      <c r="C1213" s="4" t="s">
        <v>3501</v>
      </c>
      <c r="D1213" s="4" t="s">
        <v>1078</v>
      </c>
      <c r="E1213" s="4" t="s">
        <v>1064</v>
      </c>
      <c r="F1213" s="4"/>
      <c r="G1213" s="4" t="s">
        <v>61</v>
      </c>
      <c r="H1213" s="10">
        <v>158.06</v>
      </c>
      <c r="I1213" s="4" t="s">
        <v>1050</v>
      </c>
    </row>
    <row r="1214" ht="15.75" customHeight="1">
      <c r="A1214" s="4" t="s">
        <v>3502</v>
      </c>
      <c r="B1214" s="13">
        <v>46123.9512847222</v>
      </c>
      <c r="C1214" s="4" t="s">
        <v>3503</v>
      </c>
      <c r="D1214" s="4" t="s">
        <v>1089</v>
      </c>
      <c r="E1214" s="4" t="s">
        <v>1105</v>
      </c>
      <c r="F1214" s="4" t="s">
        <v>242</v>
      </c>
      <c r="G1214" s="4"/>
      <c r="H1214" s="4"/>
      <c r="I1214" s="4" t="s">
        <v>1036</v>
      </c>
    </row>
    <row r="1215" ht="15.75" customHeight="1">
      <c r="A1215" s="4" t="s">
        <v>3504</v>
      </c>
      <c r="B1215" s="13">
        <v>46109.7026388889</v>
      </c>
      <c r="C1215" s="4" t="s">
        <v>3505</v>
      </c>
      <c r="D1215" s="4" t="s">
        <v>1089</v>
      </c>
      <c r="E1215" s="4" t="s">
        <v>1105</v>
      </c>
      <c r="F1215" s="4" t="s">
        <v>209</v>
      </c>
      <c r="G1215" s="4"/>
      <c r="H1215" s="4"/>
      <c r="I1215" s="4" t="s">
        <v>427</v>
      </c>
    </row>
    <row r="1216" ht="15.75" customHeight="1">
      <c r="A1216" s="4" t="s">
        <v>3506</v>
      </c>
      <c r="B1216" s="13">
        <v>46087.4634490741</v>
      </c>
      <c r="C1216" s="4" t="s">
        <v>3507</v>
      </c>
      <c r="D1216" s="4" t="s">
        <v>1110</v>
      </c>
      <c r="E1216" s="4" t="s">
        <v>1064</v>
      </c>
      <c r="F1216" s="4"/>
      <c r="G1216" s="4" t="s">
        <v>232</v>
      </c>
      <c r="H1216" s="10">
        <v>66.37</v>
      </c>
      <c r="I1216" s="4" t="s">
        <v>1048</v>
      </c>
    </row>
    <row r="1217" ht="15.75" customHeight="1">
      <c r="A1217" s="4" t="s">
        <v>3508</v>
      </c>
      <c r="B1217" s="13">
        <v>46059.3571412037</v>
      </c>
      <c r="C1217" s="4" t="s">
        <v>3509</v>
      </c>
      <c r="D1217" s="4" t="s">
        <v>1128</v>
      </c>
      <c r="E1217" s="4" t="s">
        <v>1105</v>
      </c>
      <c r="F1217" s="4" t="s">
        <v>257</v>
      </c>
      <c r="G1217" s="4"/>
      <c r="H1217" s="4"/>
      <c r="I1217" s="4" t="s">
        <v>1036</v>
      </c>
    </row>
    <row r="1218" ht="15.75" customHeight="1">
      <c r="A1218" s="4" t="s">
        <v>3510</v>
      </c>
      <c r="B1218" s="13">
        <v>46061.3751967593</v>
      </c>
      <c r="C1218" s="4" t="s">
        <v>3511</v>
      </c>
      <c r="D1218" s="4" t="s">
        <v>1071</v>
      </c>
      <c r="E1218" s="4" t="s">
        <v>1072</v>
      </c>
      <c r="F1218" s="4"/>
      <c r="G1218" s="4"/>
      <c r="H1218" s="4"/>
      <c r="I1218" s="4" t="s">
        <v>1035</v>
      </c>
    </row>
    <row r="1219" ht="15.75" customHeight="1">
      <c r="A1219" s="4" t="s">
        <v>3512</v>
      </c>
      <c r="B1219" s="13">
        <v>46052.8311342593</v>
      </c>
      <c r="C1219" s="4" t="s">
        <v>3513</v>
      </c>
      <c r="D1219" s="4" t="s">
        <v>1104</v>
      </c>
      <c r="E1219" s="4" t="s">
        <v>1090</v>
      </c>
      <c r="F1219" s="4" t="s">
        <v>827</v>
      </c>
      <c r="G1219" s="4"/>
      <c r="H1219" s="4"/>
      <c r="I1219" s="4" t="s">
        <v>587</v>
      </c>
    </row>
    <row r="1220" ht="15.75" customHeight="1">
      <c r="A1220" s="4" t="s">
        <v>3514</v>
      </c>
      <c r="B1220" s="13">
        <v>46047.7843518519</v>
      </c>
      <c r="C1220" s="4" t="s">
        <v>3515</v>
      </c>
      <c r="D1220" s="4" t="s">
        <v>1063</v>
      </c>
      <c r="E1220" s="4" t="s">
        <v>1064</v>
      </c>
      <c r="F1220" s="4"/>
      <c r="G1220" s="4" t="s">
        <v>232</v>
      </c>
      <c r="H1220" s="4"/>
      <c r="I1220" s="4" t="s">
        <v>587</v>
      </c>
    </row>
    <row r="1221" ht="15.75" customHeight="1">
      <c r="A1221" s="4" t="s">
        <v>3516</v>
      </c>
      <c r="B1221" s="13">
        <v>46124.8875810185</v>
      </c>
      <c r="C1221" s="4" t="s">
        <v>3517</v>
      </c>
      <c r="D1221" s="4" t="s">
        <v>1089</v>
      </c>
      <c r="E1221" s="4" t="s">
        <v>1090</v>
      </c>
      <c r="F1221" s="4" t="s">
        <v>807</v>
      </c>
      <c r="G1221" s="4"/>
      <c r="H1221" s="4"/>
      <c r="I1221" s="4" t="s">
        <v>1052</v>
      </c>
    </row>
    <row r="1222" ht="15.75" customHeight="1">
      <c r="A1222" s="4" t="s">
        <v>3518</v>
      </c>
      <c r="B1222" s="13">
        <v>46039.3708796296</v>
      </c>
      <c r="C1222" s="4" t="s">
        <v>3519</v>
      </c>
      <c r="D1222" s="4" t="s">
        <v>1089</v>
      </c>
      <c r="E1222" s="4" t="s">
        <v>1090</v>
      </c>
      <c r="F1222" s="4" t="s">
        <v>819</v>
      </c>
      <c r="G1222" s="4"/>
      <c r="H1222" s="4"/>
      <c r="I1222" s="4" t="s">
        <v>1034</v>
      </c>
    </row>
    <row r="1223" ht="15.75" customHeight="1">
      <c r="A1223" s="4" t="s">
        <v>3520</v>
      </c>
      <c r="B1223" s="13">
        <v>46061.4439930556</v>
      </c>
      <c r="C1223" s="4" t="s">
        <v>3521</v>
      </c>
      <c r="D1223" s="4" t="s">
        <v>1110</v>
      </c>
      <c r="E1223" s="4" t="s">
        <v>1064</v>
      </c>
      <c r="F1223" s="4"/>
      <c r="G1223" s="4" t="s">
        <v>107</v>
      </c>
      <c r="H1223" s="10">
        <v>89.04</v>
      </c>
      <c r="I1223" s="4" t="s">
        <v>1048</v>
      </c>
    </row>
    <row r="1224" ht="15.75" customHeight="1">
      <c r="A1224" s="4" t="s">
        <v>3522</v>
      </c>
      <c r="B1224" s="13">
        <v>46125.9296990741</v>
      </c>
      <c r="C1224" s="4" t="s">
        <v>3523</v>
      </c>
      <c r="D1224" s="4" t="s">
        <v>1075</v>
      </c>
      <c r="E1224" s="4" t="s">
        <v>1064</v>
      </c>
      <c r="F1224" s="4"/>
      <c r="G1224" s="4"/>
      <c r="H1224" s="4"/>
      <c r="I1224" s="4" t="s">
        <v>1028</v>
      </c>
    </row>
    <row r="1225" ht="15.75" customHeight="1">
      <c r="A1225" s="4" t="s">
        <v>3524</v>
      </c>
      <c r="B1225" s="13">
        <v>46109.6259722222</v>
      </c>
      <c r="C1225" s="4" t="s">
        <v>3525</v>
      </c>
      <c r="D1225" s="4" t="s">
        <v>1163</v>
      </c>
      <c r="E1225" s="4" t="s">
        <v>1119</v>
      </c>
      <c r="F1225" s="4"/>
      <c r="G1225" s="4"/>
      <c r="H1225" s="4"/>
      <c r="I1225" s="4" t="s">
        <v>1042</v>
      </c>
    </row>
    <row r="1226" ht="15.75" customHeight="1">
      <c r="A1226" s="4" t="s">
        <v>3526</v>
      </c>
      <c r="B1226" s="13">
        <v>46052.941400463</v>
      </c>
      <c r="C1226" s="4" t="s">
        <v>3527</v>
      </c>
      <c r="D1226" s="4" t="s">
        <v>1081</v>
      </c>
      <c r="E1226" s="4" t="s">
        <v>1064</v>
      </c>
      <c r="F1226" s="4"/>
      <c r="G1226" s="4"/>
      <c r="H1226" s="4"/>
      <c r="I1226" s="4" t="s">
        <v>1028</v>
      </c>
    </row>
    <row r="1227" ht="15.75" customHeight="1">
      <c r="A1227" s="4" t="s">
        <v>3528</v>
      </c>
      <c r="B1227" s="13">
        <v>46115.9284606482</v>
      </c>
      <c r="C1227" s="4" t="s">
        <v>3529</v>
      </c>
      <c r="D1227" s="4" t="s">
        <v>1071</v>
      </c>
      <c r="E1227" s="4" t="s">
        <v>1072</v>
      </c>
      <c r="F1227" s="4"/>
      <c r="G1227" s="4"/>
      <c r="H1227" s="4"/>
      <c r="I1227" s="4" t="s">
        <v>1034</v>
      </c>
    </row>
    <row r="1228" ht="15.75" customHeight="1">
      <c r="A1228" s="4" t="s">
        <v>3530</v>
      </c>
      <c r="B1228" s="13">
        <v>46064.8323032407</v>
      </c>
      <c r="C1228" s="4" t="s">
        <v>3531</v>
      </c>
      <c r="D1228" s="4" t="s">
        <v>1163</v>
      </c>
      <c r="E1228" s="4" t="s">
        <v>1119</v>
      </c>
      <c r="F1228" s="4"/>
      <c r="G1228" s="4"/>
      <c r="H1228" s="4"/>
      <c r="I1228" s="4" t="s">
        <v>1048</v>
      </c>
    </row>
    <row r="1229" ht="15.75" customHeight="1">
      <c r="A1229" s="4" t="s">
        <v>3532</v>
      </c>
      <c r="B1229" s="13">
        <v>46046.3704398148</v>
      </c>
      <c r="C1229" s="4" t="s">
        <v>3533</v>
      </c>
      <c r="D1229" s="4" t="s">
        <v>1078</v>
      </c>
      <c r="E1229" s="4" t="s">
        <v>1064</v>
      </c>
      <c r="F1229" s="4"/>
      <c r="G1229" s="4" t="s">
        <v>84</v>
      </c>
      <c r="H1229" s="10">
        <v>78.77</v>
      </c>
      <c r="I1229" s="4" t="s">
        <v>427</v>
      </c>
    </row>
    <row r="1230" ht="15.75" customHeight="1">
      <c r="A1230" s="4" t="s">
        <v>3534</v>
      </c>
      <c r="B1230" s="13">
        <v>46100.8752777778</v>
      </c>
      <c r="C1230" s="4" t="s">
        <v>3535</v>
      </c>
      <c r="D1230" s="4" t="s">
        <v>1163</v>
      </c>
      <c r="E1230" s="4" t="s">
        <v>1072</v>
      </c>
      <c r="F1230" s="4"/>
      <c r="G1230" s="4"/>
      <c r="H1230" s="4"/>
      <c r="I1230" s="4" t="s">
        <v>1052</v>
      </c>
    </row>
    <row r="1231" ht="15.75" customHeight="1">
      <c r="A1231" s="4" t="s">
        <v>3536</v>
      </c>
      <c r="B1231" s="13">
        <v>46119.682962963</v>
      </c>
      <c r="C1231" s="4" t="s">
        <v>3537</v>
      </c>
      <c r="D1231" s="4" t="s">
        <v>1093</v>
      </c>
      <c r="E1231" s="4" t="s">
        <v>1064</v>
      </c>
      <c r="F1231" s="4"/>
      <c r="G1231" s="4"/>
      <c r="H1231" s="4"/>
      <c r="I1231" s="4" t="s">
        <v>1046</v>
      </c>
    </row>
    <row r="1232" ht="15.75" customHeight="1">
      <c r="A1232" s="4" t="s">
        <v>3538</v>
      </c>
      <c r="B1232" s="13">
        <v>46034.6435416667</v>
      </c>
      <c r="C1232" s="4" t="s">
        <v>3539</v>
      </c>
      <c r="D1232" s="4" t="s">
        <v>1075</v>
      </c>
      <c r="E1232" s="4" t="s">
        <v>1064</v>
      </c>
      <c r="F1232" s="4"/>
      <c r="G1232" s="4"/>
      <c r="H1232" s="4"/>
      <c r="I1232" s="4" t="s">
        <v>1042</v>
      </c>
    </row>
    <row r="1233" ht="15.75" customHeight="1">
      <c r="A1233" s="4" t="s">
        <v>3540</v>
      </c>
      <c r="B1233" s="13">
        <v>46068.6527893519</v>
      </c>
      <c r="C1233" s="4" t="s">
        <v>3541</v>
      </c>
      <c r="D1233" s="4" t="s">
        <v>1128</v>
      </c>
      <c r="E1233" s="4" t="s">
        <v>1105</v>
      </c>
      <c r="F1233" s="4" t="s">
        <v>261</v>
      </c>
      <c r="G1233" s="4"/>
      <c r="H1233" s="4"/>
      <c r="I1233" s="4" t="s">
        <v>427</v>
      </c>
    </row>
    <row r="1234" ht="15.75" customHeight="1">
      <c r="A1234" s="4" t="s">
        <v>3542</v>
      </c>
      <c r="B1234" s="13">
        <v>46101.8460300926</v>
      </c>
      <c r="C1234" s="4" t="s">
        <v>3543</v>
      </c>
      <c r="D1234" s="4" t="s">
        <v>1081</v>
      </c>
      <c r="E1234" s="4" t="s">
        <v>1064</v>
      </c>
      <c r="F1234" s="4"/>
      <c r="G1234" s="4"/>
      <c r="H1234" s="4"/>
      <c r="I1234" s="4" t="s">
        <v>1034</v>
      </c>
    </row>
    <row r="1235" ht="15.75" customHeight="1">
      <c r="A1235" s="4" t="s">
        <v>3544</v>
      </c>
      <c r="B1235" s="13">
        <v>46091.7383217593</v>
      </c>
      <c r="C1235" s="4" t="s">
        <v>3545</v>
      </c>
      <c r="D1235" s="4" t="s">
        <v>1089</v>
      </c>
      <c r="E1235" s="4" t="s">
        <v>1105</v>
      </c>
      <c r="F1235" s="4" t="s">
        <v>234</v>
      </c>
      <c r="G1235" s="4"/>
      <c r="H1235" s="4"/>
      <c r="I1235" s="4" t="s">
        <v>1042</v>
      </c>
    </row>
    <row r="1236" ht="15.75" customHeight="1">
      <c r="A1236" s="4" t="s">
        <v>3546</v>
      </c>
      <c r="B1236" s="13">
        <v>46058.4373263889</v>
      </c>
      <c r="C1236" s="4" t="s">
        <v>3547</v>
      </c>
      <c r="D1236" s="4" t="s">
        <v>1089</v>
      </c>
      <c r="E1236" s="4" t="s">
        <v>1105</v>
      </c>
      <c r="F1236" s="4" t="s">
        <v>205</v>
      </c>
      <c r="G1236" s="4"/>
      <c r="H1236" s="4"/>
      <c r="I1236" s="4" t="s">
        <v>1036</v>
      </c>
    </row>
    <row r="1237" ht="15.75" customHeight="1">
      <c r="A1237" s="4" t="s">
        <v>3548</v>
      </c>
      <c r="B1237" s="13">
        <v>46064.764224537</v>
      </c>
      <c r="C1237" s="4" t="s">
        <v>3549</v>
      </c>
      <c r="D1237" s="4" t="s">
        <v>1104</v>
      </c>
      <c r="E1237" s="4" t="s">
        <v>1105</v>
      </c>
      <c r="F1237" s="4" t="s">
        <v>229</v>
      </c>
      <c r="G1237" s="4"/>
      <c r="H1237" s="4"/>
      <c r="I1237" s="4" t="s">
        <v>1036</v>
      </c>
    </row>
    <row r="1238" ht="15.75" customHeight="1">
      <c r="A1238" s="4" t="s">
        <v>3550</v>
      </c>
      <c r="B1238" s="13">
        <v>46024.553587963</v>
      </c>
      <c r="C1238" s="4" t="s">
        <v>3551</v>
      </c>
      <c r="D1238" s="4" t="s">
        <v>1075</v>
      </c>
      <c r="E1238" s="4" t="s">
        <v>1064</v>
      </c>
      <c r="F1238" s="4"/>
      <c r="G1238" s="4"/>
      <c r="H1238" s="4"/>
      <c r="I1238" s="4" t="s">
        <v>1052</v>
      </c>
    </row>
    <row r="1239" ht="15.75" customHeight="1">
      <c r="A1239" s="4" t="s">
        <v>3552</v>
      </c>
      <c r="B1239" s="13">
        <v>46107.527662037</v>
      </c>
      <c r="C1239" s="4" t="s">
        <v>3553</v>
      </c>
      <c r="D1239" s="4" t="s">
        <v>1110</v>
      </c>
      <c r="E1239" s="4" t="s">
        <v>1064</v>
      </c>
      <c r="F1239" s="4"/>
      <c r="G1239" s="4" t="s">
        <v>126</v>
      </c>
      <c r="H1239" s="10">
        <v>207.84</v>
      </c>
      <c r="I1239" s="4" t="s">
        <v>1034</v>
      </c>
    </row>
    <row r="1240" ht="15.75" customHeight="1">
      <c r="A1240" s="4" t="s">
        <v>3554</v>
      </c>
      <c r="B1240" s="13">
        <v>46091.5231944445</v>
      </c>
      <c r="C1240" s="4" t="s">
        <v>3555</v>
      </c>
      <c r="D1240" s="4" t="s">
        <v>1081</v>
      </c>
      <c r="E1240" s="4" t="s">
        <v>1064</v>
      </c>
      <c r="F1240" s="4"/>
      <c r="G1240" s="4"/>
      <c r="H1240" s="4"/>
      <c r="I1240" s="4" t="s">
        <v>427</v>
      </c>
    </row>
    <row r="1241" ht="15.75" customHeight="1">
      <c r="A1241" s="4" t="s">
        <v>3556</v>
      </c>
      <c r="B1241" s="13">
        <v>46078.8416319444</v>
      </c>
      <c r="C1241" s="4" t="s">
        <v>3557</v>
      </c>
      <c r="D1241" s="4" t="s">
        <v>1071</v>
      </c>
      <c r="E1241" s="4" t="s">
        <v>1072</v>
      </c>
      <c r="F1241" s="4"/>
      <c r="G1241" s="4"/>
      <c r="H1241" s="4"/>
      <c r="I1241" s="4" t="s">
        <v>1050</v>
      </c>
    </row>
    <row r="1242" ht="15.75" customHeight="1">
      <c r="A1242" s="4" t="s">
        <v>3558</v>
      </c>
      <c r="B1242" s="13">
        <v>46099.5368981482</v>
      </c>
      <c r="C1242" s="4" t="s">
        <v>3559</v>
      </c>
      <c r="D1242" s="4" t="s">
        <v>1128</v>
      </c>
      <c r="E1242" s="4" t="s">
        <v>1105</v>
      </c>
      <c r="F1242" s="4" t="s">
        <v>302</v>
      </c>
      <c r="G1242" s="4"/>
      <c r="H1242" s="4"/>
      <c r="I1242" s="4" t="s">
        <v>427</v>
      </c>
    </row>
    <row r="1243" ht="15.75" customHeight="1">
      <c r="A1243" s="4" t="s">
        <v>3560</v>
      </c>
      <c r="B1243" s="13">
        <v>46068.6508217593</v>
      </c>
      <c r="C1243" s="4" t="s">
        <v>3561</v>
      </c>
      <c r="D1243" s="4" t="s">
        <v>1104</v>
      </c>
      <c r="E1243" s="4" t="s">
        <v>1090</v>
      </c>
      <c r="F1243" s="4" t="s">
        <v>827</v>
      </c>
      <c r="G1243" s="4"/>
      <c r="H1243" s="4"/>
      <c r="I1243" s="4" t="s">
        <v>1042</v>
      </c>
    </row>
    <row r="1244" ht="15.75" customHeight="1">
      <c r="A1244" s="4" t="s">
        <v>3562</v>
      </c>
      <c r="B1244" s="13">
        <v>46051.5363657407</v>
      </c>
      <c r="C1244" s="4" t="s">
        <v>3563</v>
      </c>
      <c r="D1244" s="4" t="s">
        <v>1075</v>
      </c>
      <c r="E1244" s="4" t="s">
        <v>1064</v>
      </c>
      <c r="F1244" s="4"/>
      <c r="G1244" s="4"/>
      <c r="H1244" s="4"/>
      <c r="I1244" s="4" t="s">
        <v>427</v>
      </c>
    </row>
    <row r="1245" ht="15.75" customHeight="1">
      <c r="A1245" s="4" t="s">
        <v>3564</v>
      </c>
      <c r="B1245" s="13">
        <v>46028.7325115741</v>
      </c>
      <c r="C1245" s="4" t="s">
        <v>3565</v>
      </c>
      <c r="D1245" s="4" t="s">
        <v>1163</v>
      </c>
      <c r="E1245" s="4" t="s">
        <v>1072</v>
      </c>
      <c r="F1245" s="4"/>
      <c r="G1245" s="4"/>
      <c r="H1245" s="4"/>
      <c r="I1245" s="4" t="s">
        <v>1028</v>
      </c>
    </row>
    <row r="1246" ht="15.75" customHeight="1">
      <c r="A1246" s="4" t="s">
        <v>3566</v>
      </c>
      <c r="B1246" s="13">
        <v>46029.4835069445</v>
      </c>
      <c r="C1246" s="4" t="s">
        <v>3567</v>
      </c>
      <c r="D1246" s="4" t="s">
        <v>1071</v>
      </c>
      <c r="E1246" s="4" t="s">
        <v>1072</v>
      </c>
      <c r="F1246" s="4"/>
      <c r="G1246" s="4"/>
      <c r="H1246" s="4"/>
      <c r="I1246" s="4" t="s">
        <v>1046</v>
      </c>
    </row>
    <row r="1247" ht="15.75" customHeight="1">
      <c r="A1247" s="4" t="s">
        <v>3568</v>
      </c>
      <c r="B1247" s="13">
        <v>46100.3750347222</v>
      </c>
      <c r="C1247" s="4" t="s">
        <v>3569</v>
      </c>
      <c r="D1247" s="4" t="s">
        <v>1104</v>
      </c>
      <c r="E1247" s="4" t="s">
        <v>1105</v>
      </c>
      <c r="F1247" s="4" t="s">
        <v>102</v>
      </c>
      <c r="G1247" s="4"/>
      <c r="H1247" s="4"/>
      <c r="I1247" s="4" t="s">
        <v>1031</v>
      </c>
    </row>
    <row r="1248" ht="15.75" customHeight="1">
      <c r="A1248" s="4" t="s">
        <v>3570</v>
      </c>
      <c r="B1248" s="13">
        <v>46046.7671875</v>
      </c>
      <c r="C1248" s="4" t="s">
        <v>3571</v>
      </c>
      <c r="D1248" s="4" t="s">
        <v>1128</v>
      </c>
      <c r="E1248" s="4" t="s">
        <v>1105</v>
      </c>
      <c r="F1248" s="4" t="s">
        <v>257</v>
      </c>
      <c r="G1248" s="4"/>
      <c r="H1248" s="4"/>
      <c r="I1248" s="4" t="s">
        <v>1050</v>
      </c>
    </row>
    <row r="1249" ht="15.75" customHeight="1">
      <c r="A1249" s="4" t="s">
        <v>3572</v>
      </c>
      <c r="B1249" s="13">
        <v>46116.9428125</v>
      </c>
      <c r="C1249" s="4" t="s">
        <v>3573</v>
      </c>
      <c r="D1249" s="4" t="s">
        <v>1089</v>
      </c>
      <c r="E1249" s="4" t="s">
        <v>1090</v>
      </c>
      <c r="F1249" s="4" t="s">
        <v>821</v>
      </c>
      <c r="G1249" s="4"/>
      <c r="H1249" s="4"/>
      <c r="I1249" s="4" t="s">
        <v>1035</v>
      </c>
    </row>
    <row r="1250" ht="15.75" customHeight="1">
      <c r="A1250" s="4" t="s">
        <v>3574</v>
      </c>
      <c r="B1250" s="13">
        <v>46040.62875</v>
      </c>
      <c r="C1250" s="4" t="s">
        <v>3575</v>
      </c>
      <c r="D1250" s="4" t="s">
        <v>1110</v>
      </c>
      <c r="E1250" s="4" t="s">
        <v>1064</v>
      </c>
      <c r="F1250" s="4"/>
      <c r="G1250" s="4" t="s">
        <v>227</v>
      </c>
      <c r="H1250" s="10">
        <v>88.39</v>
      </c>
      <c r="I1250" s="4" t="s">
        <v>1031</v>
      </c>
    </row>
    <row r="1251" ht="15.75" customHeight="1">
      <c r="A1251" s="4" t="s">
        <v>3576</v>
      </c>
      <c r="B1251" s="13">
        <v>46079.7453125</v>
      </c>
      <c r="C1251" s="4" t="s">
        <v>3577</v>
      </c>
      <c r="D1251" s="4" t="s">
        <v>1078</v>
      </c>
      <c r="E1251" s="4" t="s">
        <v>1064</v>
      </c>
      <c r="F1251" s="4"/>
      <c r="G1251" s="4" t="s">
        <v>84</v>
      </c>
      <c r="H1251" s="10">
        <v>171.31</v>
      </c>
      <c r="I1251" s="4" t="s">
        <v>1034</v>
      </c>
    </row>
    <row r="1252" ht="15.75" customHeight="1">
      <c r="A1252" s="4" t="s">
        <v>3578</v>
      </c>
      <c r="B1252" s="13">
        <v>46109.4986689815</v>
      </c>
      <c r="C1252" s="4" t="s">
        <v>3579</v>
      </c>
      <c r="D1252" s="4" t="s">
        <v>1110</v>
      </c>
      <c r="E1252" s="4" t="s">
        <v>1064</v>
      </c>
      <c r="F1252" s="4"/>
      <c r="G1252" s="4" t="s">
        <v>61</v>
      </c>
      <c r="H1252" s="10">
        <v>100.08</v>
      </c>
      <c r="I1252" s="4" t="s">
        <v>1034</v>
      </c>
    </row>
    <row r="1253" ht="15.75" customHeight="1">
      <c r="A1253" s="4" t="s">
        <v>3580</v>
      </c>
      <c r="B1253" s="13">
        <v>46107.9874652778</v>
      </c>
      <c r="C1253" s="4" t="s">
        <v>3581</v>
      </c>
      <c r="D1253" s="4" t="s">
        <v>1128</v>
      </c>
      <c r="E1253" s="4" t="s">
        <v>1105</v>
      </c>
      <c r="F1253" s="4" t="s">
        <v>246</v>
      </c>
      <c r="G1253" s="4"/>
      <c r="H1253" s="4"/>
      <c r="I1253" s="4" t="s">
        <v>1030</v>
      </c>
    </row>
    <row r="1254" ht="15.75" customHeight="1">
      <c r="A1254" s="4" t="s">
        <v>3582</v>
      </c>
      <c r="B1254" s="13">
        <v>46105.7712384259</v>
      </c>
      <c r="C1254" s="4" t="s">
        <v>3583</v>
      </c>
      <c r="D1254" s="4" t="s">
        <v>1086</v>
      </c>
      <c r="E1254" s="4" t="s">
        <v>1064</v>
      </c>
      <c r="F1254" s="4"/>
      <c r="G1254" s="4"/>
      <c r="H1254" s="4"/>
      <c r="I1254" s="4" t="s">
        <v>1039</v>
      </c>
    </row>
    <row r="1255" ht="15.75" customHeight="1">
      <c r="A1255" s="4" t="s">
        <v>3584</v>
      </c>
      <c r="B1255" s="13">
        <v>46030.5057291667</v>
      </c>
      <c r="C1255" s="4" t="s">
        <v>3585</v>
      </c>
      <c r="D1255" s="4" t="s">
        <v>1071</v>
      </c>
      <c r="E1255" s="4" t="s">
        <v>1119</v>
      </c>
      <c r="F1255" s="4"/>
      <c r="G1255" s="4"/>
      <c r="H1255" s="4"/>
      <c r="I1255" s="4" t="s">
        <v>1046</v>
      </c>
    </row>
    <row r="1256" ht="15.75" customHeight="1">
      <c r="A1256" s="4" t="s">
        <v>3586</v>
      </c>
      <c r="B1256" s="13">
        <v>46072.9864236111</v>
      </c>
      <c r="C1256" s="4" t="s">
        <v>3587</v>
      </c>
      <c r="D1256" s="4" t="s">
        <v>1089</v>
      </c>
      <c r="E1256" s="4" t="s">
        <v>1105</v>
      </c>
      <c r="F1256" s="4" t="s">
        <v>229</v>
      </c>
      <c r="G1256" s="4"/>
      <c r="H1256" s="4"/>
      <c r="I1256" s="4" t="s">
        <v>1030</v>
      </c>
    </row>
    <row r="1257" ht="15.75" customHeight="1">
      <c r="A1257" s="4" t="s">
        <v>3588</v>
      </c>
      <c r="B1257" s="13">
        <v>46068.5034143519</v>
      </c>
      <c r="C1257" s="4" t="s">
        <v>3589</v>
      </c>
      <c r="D1257" s="4" t="s">
        <v>1163</v>
      </c>
      <c r="E1257" s="4" t="s">
        <v>1119</v>
      </c>
      <c r="F1257" s="4"/>
      <c r="G1257" s="4"/>
      <c r="H1257" s="4"/>
      <c r="I1257" s="4" t="s">
        <v>1028</v>
      </c>
    </row>
    <row r="1258" ht="15.75" customHeight="1">
      <c r="A1258" s="4" t="s">
        <v>3590</v>
      </c>
      <c r="B1258" s="13">
        <v>46070.8853935185</v>
      </c>
      <c r="C1258" s="4" t="s">
        <v>3591</v>
      </c>
      <c r="D1258" s="4" t="s">
        <v>1163</v>
      </c>
      <c r="E1258" s="4" t="s">
        <v>1072</v>
      </c>
      <c r="F1258" s="4"/>
      <c r="G1258" s="4"/>
      <c r="H1258" s="4"/>
      <c r="I1258" s="4" t="s">
        <v>1050</v>
      </c>
    </row>
    <row r="1259" ht="15.75" customHeight="1">
      <c r="A1259" s="4" t="s">
        <v>3592</v>
      </c>
      <c r="B1259" s="13">
        <v>46025.3762384259</v>
      </c>
      <c r="C1259" s="4" t="s">
        <v>3593</v>
      </c>
      <c r="D1259" s="4" t="s">
        <v>1110</v>
      </c>
      <c r="E1259" s="4" t="s">
        <v>1064</v>
      </c>
      <c r="F1259" s="4"/>
      <c r="G1259" s="4" t="s">
        <v>126</v>
      </c>
      <c r="H1259" s="10">
        <v>148.8</v>
      </c>
      <c r="I1259" s="4" t="s">
        <v>1048</v>
      </c>
    </row>
    <row r="1260" ht="15.75" customHeight="1">
      <c r="A1260" s="4" t="s">
        <v>3594</v>
      </c>
      <c r="B1260" s="13">
        <v>46112.5383680556</v>
      </c>
      <c r="C1260" s="4" t="s">
        <v>3595</v>
      </c>
      <c r="D1260" s="4" t="s">
        <v>1071</v>
      </c>
      <c r="E1260" s="4" t="s">
        <v>1072</v>
      </c>
      <c r="F1260" s="4"/>
      <c r="G1260" s="4"/>
      <c r="H1260" s="4"/>
      <c r="I1260" s="4" t="s">
        <v>1028</v>
      </c>
    </row>
    <row r="1261" ht="15.75" customHeight="1">
      <c r="A1261" s="4" t="s">
        <v>3596</v>
      </c>
      <c r="B1261" s="13">
        <v>46087.8504513889</v>
      </c>
      <c r="C1261" s="4" t="s">
        <v>3597</v>
      </c>
      <c r="D1261" s="4" t="s">
        <v>1081</v>
      </c>
      <c r="E1261" s="4" t="s">
        <v>1064</v>
      </c>
      <c r="F1261" s="4"/>
      <c r="G1261" s="4"/>
      <c r="H1261" s="4"/>
      <c r="I1261" s="4" t="s">
        <v>1048</v>
      </c>
    </row>
    <row r="1262" ht="15.75" customHeight="1">
      <c r="A1262" s="4" t="s">
        <v>3598</v>
      </c>
      <c r="B1262" s="13">
        <v>46056.4803472222</v>
      </c>
      <c r="C1262" s="4" t="s">
        <v>3599</v>
      </c>
      <c r="D1262" s="4" t="s">
        <v>1086</v>
      </c>
      <c r="E1262" s="4" t="s">
        <v>1064</v>
      </c>
      <c r="F1262" s="4"/>
      <c r="G1262" s="4"/>
      <c r="H1262" s="4"/>
      <c r="I1262" s="4" t="s">
        <v>1031</v>
      </c>
    </row>
    <row r="1263" ht="15.75" customHeight="1">
      <c r="A1263" s="4" t="s">
        <v>3600</v>
      </c>
      <c r="B1263" s="13">
        <v>46095.4557986111</v>
      </c>
      <c r="C1263" s="4" t="s">
        <v>3601</v>
      </c>
      <c r="D1263" s="4" t="s">
        <v>1063</v>
      </c>
      <c r="E1263" s="4" t="s">
        <v>1064</v>
      </c>
      <c r="F1263" s="4"/>
      <c r="G1263" s="4" t="s">
        <v>190</v>
      </c>
      <c r="H1263" s="4"/>
      <c r="I1263" s="4" t="s">
        <v>1035</v>
      </c>
    </row>
    <row r="1264" ht="15.75" customHeight="1">
      <c r="A1264" s="4" t="s">
        <v>3602</v>
      </c>
      <c r="B1264" s="13">
        <v>46108.3697222222</v>
      </c>
      <c r="C1264" s="4" t="s">
        <v>3603</v>
      </c>
      <c r="D1264" s="4" t="s">
        <v>1078</v>
      </c>
      <c r="E1264" s="4" t="s">
        <v>1064</v>
      </c>
      <c r="F1264" s="4"/>
      <c r="G1264" s="4" t="s">
        <v>84</v>
      </c>
      <c r="H1264" s="10">
        <v>51.07</v>
      </c>
      <c r="I1264" s="4" t="s">
        <v>1046</v>
      </c>
    </row>
    <row r="1265" ht="15.75" customHeight="1">
      <c r="A1265" s="4" t="s">
        <v>3604</v>
      </c>
      <c r="B1265" s="13">
        <v>46070.4521875</v>
      </c>
      <c r="C1265" s="4" t="s">
        <v>3605</v>
      </c>
      <c r="D1265" s="4" t="s">
        <v>1110</v>
      </c>
      <c r="E1265" s="4" t="s">
        <v>1064</v>
      </c>
      <c r="F1265" s="4"/>
      <c r="G1265" s="4" t="s">
        <v>126</v>
      </c>
      <c r="H1265" s="10">
        <v>231.99</v>
      </c>
      <c r="I1265" s="4" t="s">
        <v>1052</v>
      </c>
    </row>
    <row r="1266" ht="15.75" customHeight="1">
      <c r="A1266" s="4" t="s">
        <v>3606</v>
      </c>
      <c r="B1266" s="13">
        <v>46129.8218171296</v>
      </c>
      <c r="C1266" s="4" t="s">
        <v>3607</v>
      </c>
      <c r="D1266" s="4" t="s">
        <v>1093</v>
      </c>
      <c r="E1266" s="4" t="s">
        <v>1064</v>
      </c>
      <c r="F1266" s="4"/>
      <c r="G1266" s="4"/>
      <c r="H1266" s="4"/>
      <c r="I1266" s="4" t="s">
        <v>1050</v>
      </c>
    </row>
    <row r="1267" ht="15.75" customHeight="1">
      <c r="A1267" s="4" t="s">
        <v>3608</v>
      </c>
      <c r="B1267" s="13">
        <v>46079.7343402778</v>
      </c>
      <c r="C1267" s="4" t="s">
        <v>3609</v>
      </c>
      <c r="D1267" s="4" t="s">
        <v>1163</v>
      </c>
      <c r="E1267" s="4" t="s">
        <v>1119</v>
      </c>
      <c r="F1267" s="4"/>
      <c r="G1267" s="4"/>
      <c r="H1267" s="4"/>
      <c r="I1267" s="4" t="s">
        <v>587</v>
      </c>
    </row>
    <row r="1268" ht="15.75" customHeight="1">
      <c r="A1268" s="4" t="s">
        <v>3610</v>
      </c>
      <c r="B1268" s="13">
        <v>46025.7268518519</v>
      </c>
      <c r="C1268" s="4" t="s">
        <v>3611</v>
      </c>
      <c r="D1268" s="4" t="s">
        <v>1104</v>
      </c>
      <c r="E1268" s="4" t="s">
        <v>1105</v>
      </c>
      <c r="F1268" s="4" t="s">
        <v>251</v>
      </c>
      <c r="G1268" s="4"/>
      <c r="H1268" s="4"/>
      <c r="I1268" s="4" t="s">
        <v>1031</v>
      </c>
    </row>
    <row r="1269" ht="15.75" customHeight="1">
      <c r="A1269" s="4" t="s">
        <v>3612</v>
      </c>
      <c r="B1269" s="13">
        <v>46072.7875810185</v>
      </c>
      <c r="C1269" s="4" t="s">
        <v>3613</v>
      </c>
      <c r="D1269" s="4" t="s">
        <v>1063</v>
      </c>
      <c r="E1269" s="4" t="s">
        <v>1064</v>
      </c>
      <c r="F1269" s="4"/>
      <c r="G1269" s="4" t="s">
        <v>232</v>
      </c>
      <c r="H1269" s="4"/>
      <c r="I1269" s="4" t="s">
        <v>1035</v>
      </c>
    </row>
    <row r="1270" ht="15.75" customHeight="1">
      <c r="A1270" s="4" t="s">
        <v>3614</v>
      </c>
      <c r="B1270" s="13">
        <v>46076.966412037</v>
      </c>
      <c r="C1270" s="4" t="s">
        <v>3615</v>
      </c>
      <c r="D1270" s="4" t="s">
        <v>1093</v>
      </c>
      <c r="E1270" s="4" t="s">
        <v>1064</v>
      </c>
      <c r="F1270" s="4"/>
      <c r="G1270" s="4"/>
      <c r="H1270" s="4"/>
      <c r="I1270" s="4" t="s">
        <v>1046</v>
      </c>
    </row>
    <row r="1271" ht="15.75" customHeight="1">
      <c r="A1271" s="4" t="s">
        <v>3616</v>
      </c>
      <c r="B1271" s="13">
        <v>46122.5949421296</v>
      </c>
      <c r="C1271" s="4" t="s">
        <v>3617</v>
      </c>
      <c r="D1271" s="4" t="s">
        <v>1071</v>
      </c>
      <c r="E1271" s="4" t="s">
        <v>1072</v>
      </c>
      <c r="F1271" s="4"/>
      <c r="G1271" s="4"/>
      <c r="H1271" s="4"/>
      <c r="I1271" s="4" t="s">
        <v>1031</v>
      </c>
    </row>
    <row r="1272" ht="15.75" customHeight="1">
      <c r="A1272" s="4" t="s">
        <v>3618</v>
      </c>
      <c r="B1272" s="13">
        <v>46070.3410763889</v>
      </c>
      <c r="C1272" s="4" t="s">
        <v>3619</v>
      </c>
      <c r="D1272" s="4" t="s">
        <v>1081</v>
      </c>
      <c r="E1272" s="4" t="s">
        <v>1064</v>
      </c>
      <c r="F1272" s="4"/>
      <c r="G1272" s="4"/>
      <c r="H1272" s="4"/>
      <c r="I1272" s="4" t="s">
        <v>1048</v>
      </c>
    </row>
    <row r="1273" ht="15.75" customHeight="1">
      <c r="A1273" s="4" t="s">
        <v>3620</v>
      </c>
      <c r="B1273" s="13">
        <v>46132.3465046296</v>
      </c>
      <c r="C1273" s="4" t="s">
        <v>3621</v>
      </c>
      <c r="D1273" s="4" t="s">
        <v>1086</v>
      </c>
      <c r="E1273" s="4" t="s">
        <v>1064</v>
      </c>
      <c r="F1273" s="4"/>
      <c r="G1273" s="4"/>
      <c r="H1273" s="4"/>
      <c r="I1273" s="4" t="s">
        <v>587</v>
      </c>
    </row>
    <row r="1274" ht="15.75" customHeight="1">
      <c r="A1274" s="4" t="s">
        <v>3622</v>
      </c>
      <c r="B1274" s="13">
        <v>46070.4969097222</v>
      </c>
      <c r="C1274" s="4" t="s">
        <v>3623</v>
      </c>
      <c r="D1274" s="4" t="s">
        <v>1128</v>
      </c>
      <c r="E1274" s="4" t="s">
        <v>1105</v>
      </c>
      <c r="F1274" s="4" t="s">
        <v>261</v>
      </c>
      <c r="G1274" s="4"/>
      <c r="H1274" s="4"/>
      <c r="I1274" s="4" t="s">
        <v>1048</v>
      </c>
    </row>
    <row r="1275" ht="15.75" customHeight="1">
      <c r="A1275" s="4" t="s">
        <v>3624</v>
      </c>
      <c r="B1275" s="13">
        <v>46034.7281828704</v>
      </c>
      <c r="C1275" s="4" t="s">
        <v>3625</v>
      </c>
      <c r="D1275" s="4" t="s">
        <v>1128</v>
      </c>
      <c r="E1275" s="4" t="s">
        <v>1090</v>
      </c>
      <c r="F1275" s="4" t="s">
        <v>782</v>
      </c>
      <c r="G1275" s="4"/>
      <c r="H1275" s="4"/>
      <c r="I1275" s="4" t="s">
        <v>1039</v>
      </c>
    </row>
    <row r="1276" ht="15.75" customHeight="1">
      <c r="A1276" s="4" t="s">
        <v>3626</v>
      </c>
      <c r="B1276" s="13">
        <v>46095.6806018519</v>
      </c>
      <c r="C1276" s="4" t="s">
        <v>3627</v>
      </c>
      <c r="D1276" s="4" t="s">
        <v>1089</v>
      </c>
      <c r="E1276" s="4" t="s">
        <v>1105</v>
      </c>
      <c r="F1276" s="4" t="s">
        <v>140</v>
      </c>
      <c r="G1276" s="4"/>
      <c r="H1276" s="4"/>
      <c r="I1276" s="4" t="s">
        <v>1031</v>
      </c>
    </row>
    <row r="1277" ht="15.75" customHeight="1">
      <c r="A1277" s="4" t="s">
        <v>3628</v>
      </c>
      <c r="B1277" s="13">
        <v>46051.5381365741</v>
      </c>
      <c r="C1277" s="4" t="s">
        <v>3629</v>
      </c>
      <c r="D1277" s="4" t="s">
        <v>1081</v>
      </c>
      <c r="E1277" s="4" t="s">
        <v>1064</v>
      </c>
      <c r="F1277" s="4"/>
      <c r="G1277" s="4"/>
      <c r="H1277" s="4"/>
      <c r="I1277" s="4" t="s">
        <v>1030</v>
      </c>
    </row>
    <row r="1278" ht="15.75" customHeight="1">
      <c r="A1278" s="4" t="s">
        <v>3630</v>
      </c>
      <c r="B1278" s="13">
        <v>46124.5012962963</v>
      </c>
      <c r="C1278" s="4" t="s">
        <v>3631</v>
      </c>
      <c r="D1278" s="4" t="s">
        <v>1128</v>
      </c>
      <c r="E1278" s="4" t="s">
        <v>1105</v>
      </c>
      <c r="F1278" s="4" t="s">
        <v>162</v>
      </c>
      <c r="G1278" s="4"/>
      <c r="H1278" s="4"/>
      <c r="I1278" s="4" t="s">
        <v>1035</v>
      </c>
    </row>
    <row r="1279" ht="15.75" customHeight="1">
      <c r="A1279" s="4" t="s">
        <v>3632</v>
      </c>
      <c r="B1279" s="13">
        <v>46049.6168171296</v>
      </c>
      <c r="C1279" s="4" t="s">
        <v>3633</v>
      </c>
      <c r="D1279" s="4" t="s">
        <v>1163</v>
      </c>
      <c r="E1279" s="4" t="s">
        <v>1072</v>
      </c>
      <c r="F1279" s="4"/>
      <c r="G1279" s="4"/>
      <c r="H1279" s="4"/>
      <c r="I1279" s="4" t="s">
        <v>1035</v>
      </c>
    </row>
    <row r="1280" ht="15.75" customHeight="1">
      <c r="A1280" s="4" t="s">
        <v>3634</v>
      </c>
      <c r="B1280" s="13">
        <v>46044.8553935185</v>
      </c>
      <c r="C1280" s="4" t="s">
        <v>3635</v>
      </c>
      <c r="D1280" s="4" t="s">
        <v>1163</v>
      </c>
      <c r="E1280" s="4" t="s">
        <v>1072</v>
      </c>
      <c r="F1280" s="4"/>
      <c r="G1280" s="4"/>
      <c r="H1280" s="4"/>
      <c r="I1280" s="4" t="s">
        <v>1028</v>
      </c>
    </row>
    <row r="1281" ht="15.75" customHeight="1">
      <c r="A1281" s="4" t="s">
        <v>3636</v>
      </c>
      <c r="B1281" s="13">
        <v>46100.7482291667</v>
      </c>
      <c r="C1281" s="4" t="s">
        <v>3637</v>
      </c>
      <c r="D1281" s="4" t="s">
        <v>1078</v>
      </c>
      <c r="E1281" s="4" t="s">
        <v>1064</v>
      </c>
      <c r="F1281" s="4"/>
      <c r="G1281" s="4" t="s">
        <v>61</v>
      </c>
      <c r="H1281" s="10">
        <v>66.23</v>
      </c>
      <c r="I1281" s="4" t="s">
        <v>1039</v>
      </c>
    </row>
    <row r="1282" ht="15.75" customHeight="1">
      <c r="A1282" s="4" t="s">
        <v>3638</v>
      </c>
      <c r="B1282" s="13">
        <v>46037.5897685185</v>
      </c>
      <c r="C1282" s="4" t="s">
        <v>3639</v>
      </c>
      <c r="D1282" s="4" t="s">
        <v>1089</v>
      </c>
      <c r="E1282" s="4" t="s">
        <v>1090</v>
      </c>
      <c r="F1282" s="4" t="s">
        <v>796</v>
      </c>
      <c r="G1282" s="4"/>
      <c r="H1282" s="4"/>
      <c r="I1282" s="4" t="s">
        <v>1042</v>
      </c>
    </row>
    <row r="1283" ht="15.75" customHeight="1">
      <c r="A1283" s="4" t="s">
        <v>3640</v>
      </c>
      <c r="B1283" s="13">
        <v>46023.4214930556</v>
      </c>
      <c r="C1283" s="4" t="s">
        <v>3641</v>
      </c>
      <c r="D1283" s="4" t="s">
        <v>1081</v>
      </c>
      <c r="E1283" s="4" t="s">
        <v>1064</v>
      </c>
      <c r="F1283" s="4"/>
      <c r="G1283" s="4"/>
      <c r="H1283" s="4"/>
      <c r="I1283" s="4" t="s">
        <v>1034</v>
      </c>
    </row>
    <row r="1284" ht="15.75" customHeight="1">
      <c r="A1284" s="4" t="s">
        <v>3642</v>
      </c>
      <c r="B1284" s="13">
        <v>46114.3992592593</v>
      </c>
      <c r="C1284" s="4" t="s">
        <v>3643</v>
      </c>
      <c r="D1284" s="4" t="s">
        <v>1163</v>
      </c>
      <c r="E1284" s="4" t="s">
        <v>1119</v>
      </c>
      <c r="F1284" s="4"/>
      <c r="G1284" s="4"/>
      <c r="H1284" s="4"/>
      <c r="I1284" s="4" t="s">
        <v>1028</v>
      </c>
    </row>
    <row r="1285" ht="15.75" customHeight="1">
      <c r="A1285" s="4" t="s">
        <v>3644</v>
      </c>
      <c r="B1285" s="13">
        <v>46117.3876851852</v>
      </c>
      <c r="C1285" s="4" t="s">
        <v>3645</v>
      </c>
      <c r="D1285" s="4" t="s">
        <v>1086</v>
      </c>
      <c r="E1285" s="4" t="s">
        <v>1064</v>
      </c>
      <c r="F1285" s="4"/>
      <c r="G1285" s="4"/>
      <c r="H1285" s="4"/>
      <c r="I1285" s="4" t="s">
        <v>1052</v>
      </c>
    </row>
    <row r="1286" ht="15.75" customHeight="1">
      <c r="A1286" s="4" t="s">
        <v>3646</v>
      </c>
      <c r="B1286" s="13">
        <v>46067.8506597222</v>
      </c>
      <c r="C1286" s="4" t="s">
        <v>3647</v>
      </c>
      <c r="D1286" s="4" t="s">
        <v>1104</v>
      </c>
      <c r="E1286" s="4" t="s">
        <v>1090</v>
      </c>
      <c r="F1286" s="4" t="s">
        <v>786</v>
      </c>
      <c r="G1286" s="4"/>
      <c r="H1286" s="4"/>
      <c r="I1286" s="4" t="s">
        <v>1048</v>
      </c>
    </row>
    <row r="1287" ht="15.75" customHeight="1">
      <c r="A1287" s="4" t="s">
        <v>3648</v>
      </c>
      <c r="B1287" s="13">
        <v>46106.4705092593</v>
      </c>
      <c r="C1287" s="4" t="s">
        <v>3649</v>
      </c>
      <c r="D1287" s="4" t="s">
        <v>1081</v>
      </c>
      <c r="E1287" s="4" t="s">
        <v>1064</v>
      </c>
      <c r="F1287" s="4"/>
      <c r="G1287" s="4"/>
      <c r="H1287" s="4"/>
      <c r="I1287" s="4" t="s">
        <v>1034</v>
      </c>
    </row>
    <row r="1288" ht="15.75" customHeight="1">
      <c r="A1288" s="4" t="s">
        <v>3650</v>
      </c>
      <c r="B1288" s="13">
        <v>46029.5851736111</v>
      </c>
      <c r="C1288" s="4" t="s">
        <v>3651</v>
      </c>
      <c r="D1288" s="4" t="s">
        <v>1163</v>
      </c>
      <c r="E1288" s="4" t="s">
        <v>1119</v>
      </c>
      <c r="F1288" s="4"/>
      <c r="G1288" s="4"/>
      <c r="H1288" s="4"/>
      <c r="I1288" s="4" t="s">
        <v>1031</v>
      </c>
    </row>
    <row r="1289" ht="15.75" customHeight="1">
      <c r="A1289" s="4" t="s">
        <v>3652</v>
      </c>
      <c r="B1289" s="13">
        <v>46080.480474537</v>
      </c>
      <c r="C1289" s="4" t="s">
        <v>3653</v>
      </c>
      <c r="D1289" s="4" t="s">
        <v>1078</v>
      </c>
      <c r="E1289" s="4" t="s">
        <v>1064</v>
      </c>
      <c r="F1289" s="4"/>
      <c r="G1289" s="4" t="s">
        <v>100</v>
      </c>
      <c r="H1289" s="10">
        <v>46.45</v>
      </c>
      <c r="I1289" s="4" t="s">
        <v>1046</v>
      </c>
    </row>
    <row r="1290" ht="15.75" customHeight="1">
      <c r="A1290" s="4" t="s">
        <v>3654</v>
      </c>
      <c r="B1290" s="13">
        <v>46036.8733564815</v>
      </c>
      <c r="C1290" s="4" t="s">
        <v>3655</v>
      </c>
      <c r="D1290" s="4" t="s">
        <v>1081</v>
      </c>
      <c r="E1290" s="4" t="s">
        <v>1064</v>
      </c>
      <c r="F1290" s="4"/>
      <c r="G1290" s="4"/>
      <c r="H1290" s="4"/>
      <c r="I1290" s="4" t="s">
        <v>1046</v>
      </c>
    </row>
    <row r="1291" ht="15.75" customHeight="1">
      <c r="A1291" s="4" t="s">
        <v>3656</v>
      </c>
      <c r="B1291" s="13">
        <v>46036.8785416667</v>
      </c>
      <c r="C1291" s="4" t="s">
        <v>3657</v>
      </c>
      <c r="D1291" s="4" t="s">
        <v>1086</v>
      </c>
      <c r="E1291" s="4" t="s">
        <v>1064</v>
      </c>
      <c r="F1291" s="4"/>
      <c r="G1291" s="4"/>
      <c r="H1291" s="4"/>
      <c r="I1291" s="4" t="s">
        <v>1035</v>
      </c>
    </row>
    <row r="1292" ht="15.75" customHeight="1">
      <c r="A1292" s="4" t="s">
        <v>3658</v>
      </c>
      <c r="B1292" s="13">
        <v>46077.4622222222</v>
      </c>
      <c r="C1292" s="4" t="s">
        <v>3659</v>
      </c>
      <c r="D1292" s="4" t="s">
        <v>1163</v>
      </c>
      <c r="E1292" s="4" t="s">
        <v>1072</v>
      </c>
      <c r="F1292" s="4"/>
      <c r="G1292" s="4"/>
      <c r="H1292" s="4"/>
      <c r="I1292" s="4" t="s">
        <v>1039</v>
      </c>
    </row>
    <row r="1293" ht="15.75" customHeight="1">
      <c r="A1293" s="4" t="s">
        <v>3660</v>
      </c>
      <c r="B1293" s="13">
        <v>46089.6126388889</v>
      </c>
      <c r="C1293" s="4" t="s">
        <v>3661</v>
      </c>
      <c r="D1293" s="4" t="s">
        <v>1086</v>
      </c>
      <c r="E1293" s="4" t="s">
        <v>1064</v>
      </c>
      <c r="F1293" s="4"/>
      <c r="G1293" s="4"/>
      <c r="H1293" s="4"/>
      <c r="I1293" s="4" t="s">
        <v>1039</v>
      </c>
    </row>
    <row r="1294" ht="15.75" customHeight="1">
      <c r="A1294" s="4" t="s">
        <v>3662</v>
      </c>
      <c r="B1294" s="13">
        <v>46026.7737615741</v>
      </c>
      <c r="C1294" s="4" t="s">
        <v>3663</v>
      </c>
      <c r="D1294" s="4" t="s">
        <v>1063</v>
      </c>
      <c r="E1294" s="4" t="s">
        <v>1064</v>
      </c>
      <c r="F1294" s="4"/>
      <c r="G1294" s="4" t="s">
        <v>227</v>
      </c>
      <c r="H1294" s="4"/>
      <c r="I1294" s="4" t="s">
        <v>1036</v>
      </c>
    </row>
    <row r="1295" ht="15.75" customHeight="1">
      <c r="A1295" s="4" t="s">
        <v>3664</v>
      </c>
      <c r="B1295" s="13">
        <v>46077.7699652778</v>
      </c>
      <c r="C1295" s="4" t="s">
        <v>3665</v>
      </c>
      <c r="D1295" s="4" t="s">
        <v>1063</v>
      </c>
      <c r="E1295" s="4" t="s">
        <v>1064</v>
      </c>
      <c r="F1295" s="4"/>
      <c r="G1295" s="4" t="s">
        <v>126</v>
      </c>
      <c r="H1295" s="4"/>
      <c r="I1295" s="4" t="s">
        <v>1052</v>
      </c>
    </row>
    <row r="1296" ht="15.75" customHeight="1">
      <c r="A1296" s="4" t="s">
        <v>3666</v>
      </c>
      <c r="B1296" s="13">
        <v>46106.5542824074</v>
      </c>
      <c r="C1296" s="4" t="s">
        <v>3667</v>
      </c>
      <c r="D1296" s="4" t="s">
        <v>1071</v>
      </c>
      <c r="E1296" s="4" t="s">
        <v>1072</v>
      </c>
      <c r="F1296" s="4"/>
      <c r="G1296" s="4"/>
      <c r="H1296" s="4"/>
      <c r="I1296" s="4" t="s">
        <v>1035</v>
      </c>
    </row>
    <row r="1297" ht="15.75" customHeight="1">
      <c r="A1297" s="4" t="s">
        <v>3668</v>
      </c>
      <c r="B1297" s="13">
        <v>46084.7743287037</v>
      </c>
      <c r="C1297" s="4" t="s">
        <v>3669</v>
      </c>
      <c r="D1297" s="4" t="s">
        <v>1086</v>
      </c>
      <c r="E1297" s="4" t="s">
        <v>1064</v>
      </c>
      <c r="F1297" s="4"/>
      <c r="G1297" s="4"/>
      <c r="H1297" s="4"/>
      <c r="I1297" s="4" t="s">
        <v>1031</v>
      </c>
    </row>
    <row r="1298" ht="15.75" customHeight="1">
      <c r="A1298" s="4" t="s">
        <v>3670</v>
      </c>
      <c r="B1298" s="13">
        <v>46085.5839351852</v>
      </c>
      <c r="C1298" s="4" t="s">
        <v>3671</v>
      </c>
      <c r="D1298" s="4" t="s">
        <v>1163</v>
      </c>
      <c r="E1298" s="4" t="s">
        <v>1072</v>
      </c>
      <c r="F1298" s="4"/>
      <c r="G1298" s="4"/>
      <c r="H1298" s="4"/>
      <c r="I1298" s="4" t="s">
        <v>587</v>
      </c>
    </row>
    <row r="1299" ht="15.75" customHeight="1">
      <c r="A1299" s="4" t="s">
        <v>3672</v>
      </c>
      <c r="B1299" s="13">
        <v>46045.9919444445</v>
      </c>
      <c r="C1299" s="4" t="s">
        <v>3673</v>
      </c>
      <c r="D1299" s="4" t="s">
        <v>1093</v>
      </c>
      <c r="E1299" s="4" t="s">
        <v>1064</v>
      </c>
      <c r="F1299" s="4"/>
      <c r="G1299" s="4"/>
      <c r="H1299" s="4"/>
      <c r="I1299" s="4" t="s">
        <v>1050</v>
      </c>
    </row>
    <row r="1300" ht="15.75" customHeight="1">
      <c r="A1300" s="4" t="s">
        <v>3674</v>
      </c>
      <c r="B1300" s="13">
        <v>46031.8276273148</v>
      </c>
      <c r="C1300" s="4" t="s">
        <v>3675</v>
      </c>
      <c r="D1300" s="4" t="s">
        <v>1063</v>
      </c>
      <c r="E1300" s="4" t="s">
        <v>1064</v>
      </c>
      <c r="F1300" s="4"/>
      <c r="G1300" s="4" t="s">
        <v>195</v>
      </c>
      <c r="H1300" s="4"/>
      <c r="I1300" s="4" t="s">
        <v>1050</v>
      </c>
    </row>
    <row r="1301" ht="15.75" customHeight="1">
      <c r="A1301" s="4" t="s">
        <v>3676</v>
      </c>
      <c r="B1301" s="13">
        <v>46036.6255902778</v>
      </c>
      <c r="C1301" s="4" t="s">
        <v>3677</v>
      </c>
      <c r="D1301" s="4" t="s">
        <v>1075</v>
      </c>
      <c r="E1301" s="4" t="s">
        <v>1064</v>
      </c>
      <c r="F1301" s="4"/>
      <c r="G1301" s="4"/>
      <c r="H1301" s="4"/>
      <c r="I1301" s="4" t="s">
        <v>1048</v>
      </c>
    </row>
    <row r="1302" ht="15.75" customHeight="1">
      <c r="A1302" s="4" t="s">
        <v>3678</v>
      </c>
      <c r="B1302" s="13">
        <v>46083.5394212963</v>
      </c>
      <c r="C1302" s="4" t="s">
        <v>3679</v>
      </c>
      <c r="D1302" s="4" t="s">
        <v>1071</v>
      </c>
      <c r="E1302" s="4" t="s">
        <v>1119</v>
      </c>
      <c r="F1302" s="4"/>
      <c r="G1302" s="4"/>
      <c r="H1302" s="4"/>
      <c r="I1302" s="4" t="s">
        <v>587</v>
      </c>
    </row>
    <row r="1303" ht="15.75" customHeight="1">
      <c r="A1303" s="4" t="s">
        <v>3680</v>
      </c>
      <c r="B1303" s="13">
        <v>46084.9795023148</v>
      </c>
      <c r="C1303" s="4" t="s">
        <v>3681</v>
      </c>
      <c r="D1303" s="4" t="s">
        <v>1128</v>
      </c>
      <c r="E1303" s="4" t="s">
        <v>1105</v>
      </c>
      <c r="F1303" s="4" t="s">
        <v>115</v>
      </c>
      <c r="G1303" s="4"/>
      <c r="H1303" s="4"/>
      <c r="I1303" s="4" t="s">
        <v>1039</v>
      </c>
    </row>
    <row r="1304" ht="15.75" customHeight="1">
      <c r="A1304" s="4" t="s">
        <v>3682</v>
      </c>
      <c r="B1304" s="13">
        <v>46084.8416666667</v>
      </c>
      <c r="C1304" s="4" t="s">
        <v>3683</v>
      </c>
      <c r="D1304" s="4" t="s">
        <v>1086</v>
      </c>
      <c r="E1304" s="4" t="s">
        <v>1064</v>
      </c>
      <c r="F1304" s="4"/>
      <c r="G1304" s="4"/>
      <c r="H1304" s="4"/>
      <c r="I1304" s="4" t="s">
        <v>427</v>
      </c>
    </row>
    <row r="1305" ht="15.75" customHeight="1">
      <c r="A1305" s="4" t="s">
        <v>3684</v>
      </c>
      <c r="B1305" s="13">
        <v>46029.531875</v>
      </c>
      <c r="C1305" s="4" t="s">
        <v>3685</v>
      </c>
      <c r="D1305" s="4" t="s">
        <v>1104</v>
      </c>
      <c r="E1305" s="4" t="s">
        <v>1105</v>
      </c>
      <c r="F1305" s="4" t="s">
        <v>146</v>
      </c>
      <c r="G1305" s="4"/>
      <c r="H1305" s="4"/>
      <c r="I1305" s="4" t="s">
        <v>1028</v>
      </c>
    </row>
    <row r="1306" ht="15.75" customHeight="1">
      <c r="A1306" s="4" t="s">
        <v>3686</v>
      </c>
      <c r="B1306" s="13">
        <v>46067.9964351852</v>
      </c>
      <c r="C1306" s="4" t="s">
        <v>3687</v>
      </c>
      <c r="D1306" s="4" t="s">
        <v>1089</v>
      </c>
      <c r="E1306" s="4" t="s">
        <v>1090</v>
      </c>
      <c r="F1306" s="4" t="s">
        <v>819</v>
      </c>
      <c r="G1306" s="4"/>
      <c r="H1306" s="4"/>
      <c r="I1306" s="4" t="s">
        <v>1031</v>
      </c>
    </row>
    <row r="1307" ht="15.75" customHeight="1">
      <c r="A1307" s="4" t="s">
        <v>3688</v>
      </c>
      <c r="B1307" s="13">
        <v>46109.9627777778</v>
      </c>
      <c r="C1307" s="4" t="s">
        <v>3689</v>
      </c>
      <c r="D1307" s="4" t="s">
        <v>1104</v>
      </c>
      <c r="E1307" s="4" t="s">
        <v>1105</v>
      </c>
      <c r="F1307" s="4" t="s">
        <v>302</v>
      </c>
      <c r="G1307" s="4"/>
      <c r="H1307" s="4"/>
      <c r="I1307" s="4" t="s">
        <v>1046</v>
      </c>
    </row>
    <row r="1308" ht="15.75" customHeight="1">
      <c r="A1308" s="4" t="s">
        <v>3690</v>
      </c>
      <c r="B1308" s="13">
        <v>46060.4018402778</v>
      </c>
      <c r="C1308" s="4" t="s">
        <v>3691</v>
      </c>
      <c r="D1308" s="4" t="s">
        <v>1075</v>
      </c>
      <c r="E1308" s="4" t="s">
        <v>1064</v>
      </c>
      <c r="F1308" s="4"/>
      <c r="G1308" s="4"/>
      <c r="H1308" s="4"/>
      <c r="I1308" s="4" t="s">
        <v>1050</v>
      </c>
    </row>
    <row r="1309" ht="15.75" customHeight="1">
      <c r="A1309" s="4" t="s">
        <v>3692</v>
      </c>
      <c r="B1309" s="13">
        <v>46025.3609375</v>
      </c>
      <c r="C1309" s="4" t="s">
        <v>3693</v>
      </c>
      <c r="D1309" s="4" t="s">
        <v>1078</v>
      </c>
      <c r="E1309" s="4" t="s">
        <v>1064</v>
      </c>
      <c r="F1309" s="4"/>
      <c r="G1309" s="4" t="s">
        <v>77</v>
      </c>
      <c r="H1309" s="10">
        <v>129.78</v>
      </c>
      <c r="I1309" s="4" t="s">
        <v>1034</v>
      </c>
    </row>
    <row r="1310" ht="15.75" customHeight="1">
      <c r="A1310" s="4" t="s">
        <v>3694</v>
      </c>
      <c r="B1310" s="13">
        <v>46122.9438888889</v>
      </c>
      <c r="C1310" s="4" t="s">
        <v>3695</v>
      </c>
      <c r="D1310" s="4" t="s">
        <v>1110</v>
      </c>
      <c r="E1310" s="4" t="s">
        <v>1064</v>
      </c>
      <c r="F1310" s="4"/>
      <c r="G1310" s="4" t="s">
        <v>227</v>
      </c>
      <c r="H1310" s="10">
        <v>189.17</v>
      </c>
      <c r="I1310" s="4" t="s">
        <v>1052</v>
      </c>
    </row>
    <row r="1311" ht="15.75" customHeight="1">
      <c r="A1311" s="4" t="s">
        <v>3696</v>
      </c>
      <c r="B1311" s="13">
        <v>46113.3534837963</v>
      </c>
      <c r="C1311" s="4" t="s">
        <v>3697</v>
      </c>
      <c r="D1311" s="4" t="s">
        <v>1071</v>
      </c>
      <c r="E1311" s="4" t="s">
        <v>1072</v>
      </c>
      <c r="F1311" s="4"/>
      <c r="G1311" s="4"/>
      <c r="H1311" s="4"/>
      <c r="I1311" s="4" t="s">
        <v>1035</v>
      </c>
    </row>
    <row r="1312" ht="15.75" customHeight="1">
      <c r="A1312" s="4" t="s">
        <v>3698</v>
      </c>
      <c r="B1312" s="13">
        <v>46065.9935185185</v>
      </c>
      <c r="C1312" s="4" t="s">
        <v>3699</v>
      </c>
      <c r="D1312" s="4" t="s">
        <v>1104</v>
      </c>
      <c r="E1312" s="4" t="s">
        <v>1090</v>
      </c>
      <c r="F1312" s="4" t="s">
        <v>780</v>
      </c>
      <c r="G1312" s="4"/>
      <c r="H1312" s="4"/>
      <c r="I1312" s="4" t="s">
        <v>1042</v>
      </c>
    </row>
    <row r="1313" ht="15.75" customHeight="1">
      <c r="A1313" s="4" t="s">
        <v>3700</v>
      </c>
      <c r="B1313" s="13">
        <v>46073.5180555556</v>
      </c>
      <c r="C1313" s="4" t="s">
        <v>3701</v>
      </c>
      <c r="D1313" s="4" t="s">
        <v>1104</v>
      </c>
      <c r="E1313" s="4" t="s">
        <v>1105</v>
      </c>
      <c r="F1313" s="4" t="s">
        <v>251</v>
      </c>
      <c r="G1313" s="4"/>
      <c r="H1313" s="4"/>
      <c r="I1313" s="4" t="s">
        <v>1039</v>
      </c>
    </row>
    <row r="1314" ht="15.75" customHeight="1">
      <c r="A1314" s="4" t="s">
        <v>3702</v>
      </c>
      <c r="B1314" s="13">
        <v>46108.7045023148</v>
      </c>
      <c r="C1314" s="4" t="s">
        <v>3703</v>
      </c>
      <c r="D1314" s="4" t="s">
        <v>1110</v>
      </c>
      <c r="E1314" s="4" t="s">
        <v>1064</v>
      </c>
      <c r="F1314" s="4"/>
      <c r="G1314" s="4" t="s">
        <v>112</v>
      </c>
      <c r="H1314" s="10">
        <v>74.78</v>
      </c>
      <c r="I1314" s="4" t="s">
        <v>1050</v>
      </c>
    </row>
    <row r="1315" ht="15.75" customHeight="1">
      <c r="A1315" s="4" t="s">
        <v>3704</v>
      </c>
      <c r="B1315" s="13">
        <v>46087.5989699074</v>
      </c>
      <c r="C1315" s="4" t="s">
        <v>3705</v>
      </c>
      <c r="D1315" s="4" t="s">
        <v>1163</v>
      </c>
      <c r="E1315" s="4" t="s">
        <v>1119</v>
      </c>
      <c r="F1315" s="4"/>
      <c r="G1315" s="4"/>
      <c r="H1315" s="4"/>
      <c r="I1315" s="4" t="s">
        <v>1046</v>
      </c>
    </row>
    <row r="1316" ht="15.75" customHeight="1">
      <c r="A1316" s="4" t="s">
        <v>3706</v>
      </c>
      <c r="B1316" s="13">
        <v>46034.6835069444</v>
      </c>
      <c r="C1316" s="4" t="s">
        <v>3707</v>
      </c>
      <c r="D1316" s="4" t="s">
        <v>1071</v>
      </c>
      <c r="E1316" s="4" t="s">
        <v>1072</v>
      </c>
      <c r="F1316" s="4"/>
      <c r="G1316" s="4"/>
      <c r="H1316" s="4"/>
      <c r="I1316" s="4" t="s">
        <v>587</v>
      </c>
    </row>
    <row r="1317" ht="15.75" customHeight="1">
      <c r="A1317" s="4" t="s">
        <v>3708</v>
      </c>
      <c r="B1317" s="13">
        <v>46126.5013425926</v>
      </c>
      <c r="C1317" s="4" t="s">
        <v>3709</v>
      </c>
      <c r="D1317" s="4" t="s">
        <v>1110</v>
      </c>
      <c r="E1317" s="4" t="s">
        <v>1064</v>
      </c>
      <c r="F1317" s="4"/>
      <c r="G1317" s="4" t="s">
        <v>232</v>
      </c>
      <c r="H1317" s="10">
        <v>201.26</v>
      </c>
      <c r="I1317" s="4" t="s">
        <v>1031</v>
      </c>
    </row>
    <row r="1318" ht="15.75" customHeight="1">
      <c r="A1318" s="4" t="s">
        <v>3710</v>
      </c>
      <c r="B1318" s="13">
        <v>46069.5344097222</v>
      </c>
      <c r="C1318" s="4" t="s">
        <v>3711</v>
      </c>
      <c r="D1318" s="4" t="s">
        <v>1075</v>
      </c>
      <c r="E1318" s="4" t="s">
        <v>1064</v>
      </c>
      <c r="F1318" s="4"/>
      <c r="G1318" s="4"/>
      <c r="H1318" s="4"/>
      <c r="I1318" s="4" t="s">
        <v>1050</v>
      </c>
    </row>
    <row r="1319" ht="15.75" customHeight="1">
      <c r="A1319" s="4" t="s">
        <v>3712</v>
      </c>
      <c r="B1319" s="13">
        <v>46044.9875925926</v>
      </c>
      <c r="C1319" s="4" t="s">
        <v>3713</v>
      </c>
      <c r="D1319" s="4" t="s">
        <v>1071</v>
      </c>
      <c r="E1319" s="4" t="s">
        <v>1119</v>
      </c>
      <c r="F1319" s="4"/>
      <c r="G1319" s="4"/>
      <c r="H1319" s="4"/>
      <c r="I1319" s="4" t="s">
        <v>1028</v>
      </c>
    </row>
    <row r="1320" ht="15.75" customHeight="1">
      <c r="A1320" s="4" t="s">
        <v>3714</v>
      </c>
      <c r="B1320" s="13">
        <v>46041.3572337963</v>
      </c>
      <c r="C1320" s="4" t="s">
        <v>3715</v>
      </c>
      <c r="D1320" s="4" t="s">
        <v>1081</v>
      </c>
      <c r="E1320" s="4" t="s">
        <v>1064</v>
      </c>
      <c r="F1320" s="4"/>
      <c r="G1320" s="4"/>
      <c r="H1320" s="4"/>
      <c r="I1320" s="4" t="s">
        <v>1031</v>
      </c>
    </row>
    <row r="1321" ht="15.75" customHeight="1">
      <c r="A1321" s="4" t="s">
        <v>3716</v>
      </c>
      <c r="B1321" s="13">
        <v>46063.4423726852</v>
      </c>
      <c r="C1321" s="4" t="s">
        <v>3717</v>
      </c>
      <c r="D1321" s="4" t="s">
        <v>1089</v>
      </c>
      <c r="E1321" s="4" t="s">
        <v>1105</v>
      </c>
      <c r="F1321" s="4" t="s">
        <v>109</v>
      </c>
      <c r="G1321" s="4"/>
      <c r="H1321" s="4"/>
      <c r="I1321" s="4" t="s">
        <v>1031</v>
      </c>
    </row>
    <row r="1322" ht="15.75" customHeight="1">
      <c r="A1322" s="4" t="s">
        <v>3718</v>
      </c>
      <c r="B1322" s="13">
        <v>46048.4143634259</v>
      </c>
      <c r="C1322" s="4" t="s">
        <v>3719</v>
      </c>
      <c r="D1322" s="4" t="s">
        <v>1081</v>
      </c>
      <c r="E1322" s="4" t="s">
        <v>1064</v>
      </c>
      <c r="F1322" s="4"/>
      <c r="G1322" s="4"/>
      <c r="H1322" s="4"/>
      <c r="I1322" s="4" t="s">
        <v>1028</v>
      </c>
    </row>
    <row r="1323" ht="15.75" customHeight="1">
      <c r="A1323" s="4" t="s">
        <v>3720</v>
      </c>
      <c r="B1323" s="13">
        <v>46071.61875</v>
      </c>
      <c r="C1323" s="4" t="s">
        <v>3721</v>
      </c>
      <c r="D1323" s="4" t="s">
        <v>1110</v>
      </c>
      <c r="E1323" s="4" t="s">
        <v>1064</v>
      </c>
      <c r="F1323" s="4"/>
      <c r="G1323" s="4" t="s">
        <v>100</v>
      </c>
      <c r="H1323" s="10">
        <v>139.58</v>
      </c>
      <c r="I1323" s="4" t="s">
        <v>1036</v>
      </c>
    </row>
    <row r="1324" ht="15.75" customHeight="1">
      <c r="A1324" s="4" t="s">
        <v>3722</v>
      </c>
      <c r="B1324" s="13">
        <v>46053.4412962963</v>
      </c>
      <c r="C1324" s="4" t="s">
        <v>3723</v>
      </c>
      <c r="D1324" s="4" t="s">
        <v>1071</v>
      </c>
      <c r="E1324" s="4" t="s">
        <v>1119</v>
      </c>
      <c r="F1324" s="4"/>
      <c r="G1324" s="4"/>
      <c r="H1324" s="4"/>
      <c r="I1324" s="4" t="s">
        <v>587</v>
      </c>
    </row>
    <row r="1325" ht="15.75" customHeight="1">
      <c r="A1325" s="4" t="s">
        <v>3724</v>
      </c>
      <c r="B1325" s="13">
        <v>46028.5650578704</v>
      </c>
      <c r="C1325" s="4" t="s">
        <v>3725</v>
      </c>
      <c r="D1325" s="4" t="s">
        <v>1163</v>
      </c>
      <c r="E1325" s="4" t="s">
        <v>1072</v>
      </c>
      <c r="F1325" s="4"/>
      <c r="G1325" s="4"/>
      <c r="H1325" s="4"/>
      <c r="I1325" s="4" t="s">
        <v>1036</v>
      </c>
    </row>
    <row r="1326" ht="15.75" customHeight="1">
      <c r="A1326" s="4" t="s">
        <v>3726</v>
      </c>
      <c r="B1326" s="13">
        <v>46102.4026273148</v>
      </c>
      <c r="C1326" s="4" t="s">
        <v>3727</v>
      </c>
      <c r="D1326" s="4" t="s">
        <v>1128</v>
      </c>
      <c r="E1326" s="4" t="s">
        <v>1105</v>
      </c>
      <c r="F1326" s="4" t="s">
        <v>218</v>
      </c>
      <c r="G1326" s="4"/>
      <c r="H1326" s="4"/>
      <c r="I1326" s="4" t="s">
        <v>1031</v>
      </c>
    </row>
    <row r="1327" ht="15.75" customHeight="1">
      <c r="A1327" s="4" t="s">
        <v>3728</v>
      </c>
      <c r="B1327" s="13">
        <v>46034.6593287037</v>
      </c>
      <c r="C1327" s="4" t="s">
        <v>3729</v>
      </c>
      <c r="D1327" s="4" t="s">
        <v>1075</v>
      </c>
      <c r="E1327" s="4" t="s">
        <v>1064</v>
      </c>
      <c r="F1327" s="4"/>
      <c r="G1327" s="4"/>
      <c r="H1327" s="4"/>
      <c r="I1327" s="4" t="s">
        <v>1048</v>
      </c>
    </row>
    <row r="1328" ht="15.75" customHeight="1">
      <c r="A1328" s="4" t="s">
        <v>3730</v>
      </c>
      <c r="B1328" s="13">
        <v>46040.5303240741</v>
      </c>
      <c r="C1328" s="4" t="s">
        <v>3731</v>
      </c>
      <c r="D1328" s="4" t="s">
        <v>1104</v>
      </c>
      <c r="E1328" s="4" t="s">
        <v>1090</v>
      </c>
      <c r="F1328" s="4" t="s">
        <v>823</v>
      </c>
      <c r="G1328" s="4"/>
      <c r="H1328" s="4"/>
      <c r="I1328" s="4" t="s">
        <v>1036</v>
      </c>
    </row>
    <row r="1329" ht="15.75" customHeight="1">
      <c r="A1329" s="4" t="s">
        <v>3732</v>
      </c>
      <c r="B1329" s="13">
        <v>46122.9567592593</v>
      </c>
      <c r="C1329" s="4" t="s">
        <v>3733</v>
      </c>
      <c r="D1329" s="4" t="s">
        <v>1078</v>
      </c>
      <c r="E1329" s="4" t="s">
        <v>1064</v>
      </c>
      <c r="F1329" s="4"/>
      <c r="G1329" s="4" t="s">
        <v>126</v>
      </c>
      <c r="H1329" s="10">
        <v>33.64</v>
      </c>
      <c r="I1329" s="4" t="s">
        <v>587</v>
      </c>
    </row>
    <row r="1330" ht="15.75" customHeight="1">
      <c r="A1330" s="4" t="s">
        <v>3734</v>
      </c>
      <c r="B1330" s="13">
        <v>46027.8219328704</v>
      </c>
      <c r="C1330" s="4" t="s">
        <v>3735</v>
      </c>
      <c r="D1330" s="4" t="s">
        <v>1104</v>
      </c>
      <c r="E1330" s="4" t="s">
        <v>1105</v>
      </c>
      <c r="F1330" s="4" t="s">
        <v>140</v>
      </c>
      <c r="G1330" s="4"/>
      <c r="H1330" s="4"/>
      <c r="I1330" s="4" t="s">
        <v>1036</v>
      </c>
    </row>
    <row r="1331" ht="15.75" customHeight="1">
      <c r="A1331" s="4" t="s">
        <v>3736</v>
      </c>
      <c r="B1331" s="13">
        <v>46102.7139583333</v>
      </c>
      <c r="C1331" s="4" t="s">
        <v>3737</v>
      </c>
      <c r="D1331" s="4" t="s">
        <v>1093</v>
      </c>
      <c r="E1331" s="4" t="s">
        <v>1064</v>
      </c>
      <c r="F1331" s="4"/>
      <c r="G1331" s="4"/>
      <c r="H1331" s="4"/>
      <c r="I1331" s="4" t="s">
        <v>427</v>
      </c>
    </row>
    <row r="1332" ht="15.75" customHeight="1">
      <c r="A1332" s="4" t="s">
        <v>3738</v>
      </c>
      <c r="B1332" s="13">
        <v>46077.6461342593</v>
      </c>
      <c r="C1332" s="4" t="s">
        <v>3739</v>
      </c>
      <c r="D1332" s="4" t="s">
        <v>1081</v>
      </c>
      <c r="E1332" s="4" t="s">
        <v>1064</v>
      </c>
      <c r="F1332" s="4"/>
      <c r="G1332" s="4"/>
      <c r="H1332" s="4"/>
      <c r="I1332" s="4" t="s">
        <v>1031</v>
      </c>
    </row>
    <row r="1333" ht="15.75" customHeight="1">
      <c r="A1333" s="4" t="s">
        <v>3740</v>
      </c>
      <c r="B1333" s="13">
        <v>46077.989525463</v>
      </c>
      <c r="C1333" s="4" t="s">
        <v>3741</v>
      </c>
      <c r="D1333" s="4" t="s">
        <v>1093</v>
      </c>
      <c r="E1333" s="4" t="s">
        <v>1064</v>
      </c>
      <c r="F1333" s="4"/>
      <c r="G1333" s="4"/>
      <c r="H1333" s="4"/>
      <c r="I1333" s="4" t="s">
        <v>587</v>
      </c>
    </row>
    <row r="1334" ht="15.75" customHeight="1">
      <c r="A1334" s="4" t="s">
        <v>3742</v>
      </c>
      <c r="B1334" s="13">
        <v>46107.6020717593</v>
      </c>
      <c r="C1334" s="4" t="s">
        <v>3743</v>
      </c>
      <c r="D1334" s="4" t="s">
        <v>1128</v>
      </c>
      <c r="E1334" s="4" t="s">
        <v>1090</v>
      </c>
      <c r="F1334" s="4" t="s">
        <v>771</v>
      </c>
      <c r="G1334" s="4"/>
      <c r="H1334" s="4"/>
      <c r="I1334" s="4" t="s">
        <v>1030</v>
      </c>
    </row>
    <row r="1335" ht="15.75" customHeight="1">
      <c r="A1335" s="4" t="s">
        <v>3744</v>
      </c>
      <c r="B1335" s="13">
        <v>46106.8727893519</v>
      </c>
      <c r="C1335" s="4" t="s">
        <v>3745</v>
      </c>
      <c r="D1335" s="4" t="s">
        <v>1086</v>
      </c>
      <c r="E1335" s="4" t="s">
        <v>1064</v>
      </c>
      <c r="F1335" s="4"/>
      <c r="G1335" s="4"/>
      <c r="H1335" s="4"/>
      <c r="I1335" s="4" t="s">
        <v>1036</v>
      </c>
    </row>
    <row r="1336" ht="15.75" customHeight="1">
      <c r="A1336" s="4" t="s">
        <v>3746</v>
      </c>
      <c r="B1336" s="13">
        <v>46046.8940625</v>
      </c>
      <c r="C1336" s="4" t="s">
        <v>3747</v>
      </c>
      <c r="D1336" s="4" t="s">
        <v>1128</v>
      </c>
      <c r="E1336" s="4" t="s">
        <v>1105</v>
      </c>
      <c r="F1336" s="4" t="s">
        <v>280</v>
      </c>
      <c r="G1336" s="4"/>
      <c r="H1336" s="4"/>
      <c r="I1336" s="4" t="s">
        <v>1039</v>
      </c>
    </row>
    <row r="1337" ht="15.75" customHeight="1">
      <c r="A1337" s="4" t="s">
        <v>3748</v>
      </c>
      <c r="B1337" s="13">
        <v>46080.8370949074</v>
      </c>
      <c r="C1337" s="4" t="s">
        <v>3749</v>
      </c>
      <c r="D1337" s="4" t="s">
        <v>1110</v>
      </c>
      <c r="E1337" s="4" t="s">
        <v>1064</v>
      </c>
      <c r="F1337" s="4"/>
      <c r="G1337" s="4" t="s">
        <v>144</v>
      </c>
      <c r="H1337" s="10">
        <v>126.33</v>
      </c>
      <c r="I1337" s="4" t="s">
        <v>1036</v>
      </c>
    </row>
    <row r="1338" ht="15.75" customHeight="1">
      <c r="A1338" s="4" t="s">
        <v>3750</v>
      </c>
      <c r="B1338" s="13">
        <v>46053.7753935185</v>
      </c>
      <c r="C1338" s="4" t="s">
        <v>3751</v>
      </c>
      <c r="D1338" s="4" t="s">
        <v>1071</v>
      </c>
      <c r="E1338" s="4" t="s">
        <v>1072</v>
      </c>
      <c r="F1338" s="4"/>
      <c r="G1338" s="4"/>
      <c r="H1338" s="4"/>
      <c r="I1338" s="4" t="s">
        <v>1046</v>
      </c>
    </row>
    <row r="1339" ht="15.75" customHeight="1">
      <c r="A1339" s="4" t="s">
        <v>3752</v>
      </c>
      <c r="B1339" s="13">
        <v>46078.7770023148</v>
      </c>
      <c r="C1339" s="4" t="s">
        <v>3753</v>
      </c>
      <c r="D1339" s="4" t="s">
        <v>1128</v>
      </c>
      <c r="E1339" s="4" t="s">
        <v>1090</v>
      </c>
      <c r="F1339" s="4" t="s">
        <v>833</v>
      </c>
      <c r="G1339" s="4"/>
      <c r="H1339" s="4"/>
      <c r="I1339" s="4" t="s">
        <v>1048</v>
      </c>
    </row>
    <row r="1340" ht="15.75" customHeight="1">
      <c r="A1340" s="4" t="s">
        <v>3754</v>
      </c>
      <c r="B1340" s="13">
        <v>46117.3472337963</v>
      </c>
      <c r="C1340" s="4" t="s">
        <v>3755</v>
      </c>
      <c r="D1340" s="4" t="s">
        <v>1063</v>
      </c>
      <c r="E1340" s="4" t="s">
        <v>1064</v>
      </c>
      <c r="F1340" s="4"/>
      <c r="G1340" s="4" t="s">
        <v>77</v>
      </c>
      <c r="H1340" s="4"/>
      <c r="I1340" s="4" t="s">
        <v>1034</v>
      </c>
    </row>
    <row r="1341" ht="15.75" customHeight="1">
      <c r="A1341" s="4" t="s">
        <v>3756</v>
      </c>
      <c r="B1341" s="13">
        <v>46093.6083796296</v>
      </c>
      <c r="C1341" s="4" t="s">
        <v>3757</v>
      </c>
      <c r="D1341" s="4" t="s">
        <v>1093</v>
      </c>
      <c r="E1341" s="4" t="s">
        <v>1064</v>
      </c>
      <c r="F1341" s="4"/>
      <c r="G1341" s="4"/>
      <c r="H1341" s="4"/>
      <c r="I1341" s="4" t="s">
        <v>1034</v>
      </c>
    </row>
    <row r="1342" ht="15.75" customHeight="1">
      <c r="A1342" s="4" t="s">
        <v>3758</v>
      </c>
      <c r="B1342" s="13">
        <v>46091.9206134259</v>
      </c>
      <c r="C1342" s="4" t="s">
        <v>3759</v>
      </c>
      <c r="D1342" s="4" t="s">
        <v>1104</v>
      </c>
      <c r="E1342" s="4" t="s">
        <v>1105</v>
      </c>
      <c r="F1342" s="4" t="s">
        <v>269</v>
      </c>
      <c r="G1342" s="4"/>
      <c r="H1342" s="4"/>
      <c r="I1342" s="4" t="s">
        <v>1034</v>
      </c>
    </row>
    <row r="1343" ht="15.75" customHeight="1">
      <c r="A1343" s="4" t="s">
        <v>3760</v>
      </c>
      <c r="B1343" s="13">
        <v>46023.552974537</v>
      </c>
      <c r="C1343" s="4" t="s">
        <v>3761</v>
      </c>
      <c r="D1343" s="4" t="s">
        <v>1089</v>
      </c>
      <c r="E1343" s="4" t="s">
        <v>1090</v>
      </c>
      <c r="F1343" s="4" t="s">
        <v>805</v>
      </c>
      <c r="G1343" s="4"/>
      <c r="H1343" s="4"/>
      <c r="I1343" s="4" t="s">
        <v>1034</v>
      </c>
    </row>
    <row r="1344" ht="15.75" customHeight="1">
      <c r="A1344" s="4" t="s">
        <v>3762</v>
      </c>
      <c r="B1344" s="13">
        <v>46082.4029398148</v>
      </c>
      <c r="C1344" s="4" t="s">
        <v>3763</v>
      </c>
      <c r="D1344" s="4" t="s">
        <v>1081</v>
      </c>
      <c r="E1344" s="4" t="s">
        <v>1064</v>
      </c>
      <c r="F1344" s="4"/>
      <c r="G1344" s="4"/>
      <c r="H1344" s="4"/>
      <c r="I1344" s="4" t="s">
        <v>1030</v>
      </c>
    </row>
    <row r="1345" ht="15.75" customHeight="1">
      <c r="A1345" s="4" t="s">
        <v>3764</v>
      </c>
      <c r="B1345" s="13">
        <v>46116.5150462963</v>
      </c>
      <c r="C1345" s="4" t="s">
        <v>3765</v>
      </c>
      <c r="D1345" s="4" t="s">
        <v>1104</v>
      </c>
      <c r="E1345" s="4" t="s">
        <v>1090</v>
      </c>
      <c r="F1345" s="4" t="s">
        <v>775</v>
      </c>
      <c r="G1345" s="4"/>
      <c r="H1345" s="4"/>
      <c r="I1345" s="4" t="s">
        <v>1046</v>
      </c>
    </row>
    <row r="1346" ht="15.75" customHeight="1">
      <c r="A1346" s="4" t="s">
        <v>3766</v>
      </c>
      <c r="B1346" s="13">
        <v>46044.3511805556</v>
      </c>
      <c r="C1346" s="4" t="s">
        <v>3767</v>
      </c>
      <c r="D1346" s="4" t="s">
        <v>1078</v>
      </c>
      <c r="E1346" s="4" t="s">
        <v>1064</v>
      </c>
      <c r="F1346" s="4"/>
      <c r="G1346" s="4" t="s">
        <v>126</v>
      </c>
      <c r="H1346" s="10">
        <v>156.46</v>
      </c>
      <c r="I1346" s="4" t="s">
        <v>1031</v>
      </c>
    </row>
    <row r="1347" ht="15.75" customHeight="1">
      <c r="A1347" s="4" t="s">
        <v>3768</v>
      </c>
      <c r="B1347" s="13">
        <v>46049.4865162037</v>
      </c>
      <c r="C1347" s="4" t="s">
        <v>3769</v>
      </c>
      <c r="D1347" s="4" t="s">
        <v>1071</v>
      </c>
      <c r="E1347" s="4" t="s">
        <v>1119</v>
      </c>
      <c r="F1347" s="4"/>
      <c r="G1347" s="4"/>
      <c r="H1347" s="4"/>
      <c r="I1347" s="4" t="s">
        <v>1046</v>
      </c>
    </row>
    <row r="1348" ht="15.75" customHeight="1">
      <c r="A1348" s="4" t="s">
        <v>3770</v>
      </c>
      <c r="B1348" s="13">
        <v>46048.3394791667</v>
      </c>
      <c r="C1348" s="4" t="s">
        <v>3771</v>
      </c>
      <c r="D1348" s="4" t="s">
        <v>1081</v>
      </c>
      <c r="E1348" s="4" t="s">
        <v>1064</v>
      </c>
      <c r="F1348" s="4"/>
      <c r="G1348" s="4"/>
      <c r="H1348" s="4"/>
      <c r="I1348" s="4" t="s">
        <v>1039</v>
      </c>
    </row>
    <row r="1349" ht="15.75" customHeight="1">
      <c r="A1349" s="4" t="s">
        <v>3772</v>
      </c>
      <c r="B1349" s="13">
        <v>46040.6978125</v>
      </c>
      <c r="C1349" s="4" t="s">
        <v>3773</v>
      </c>
      <c r="D1349" s="4" t="s">
        <v>1075</v>
      </c>
      <c r="E1349" s="4" t="s">
        <v>1064</v>
      </c>
      <c r="F1349" s="4"/>
      <c r="G1349" s="4"/>
      <c r="H1349" s="4"/>
      <c r="I1349" s="4" t="s">
        <v>1035</v>
      </c>
    </row>
    <row r="1350" ht="15.75" customHeight="1">
      <c r="A1350" s="4" t="s">
        <v>3774</v>
      </c>
      <c r="B1350" s="13">
        <v>46104.709537037</v>
      </c>
      <c r="C1350" s="4" t="s">
        <v>3775</v>
      </c>
      <c r="D1350" s="4" t="s">
        <v>1086</v>
      </c>
      <c r="E1350" s="4" t="s">
        <v>1064</v>
      </c>
      <c r="F1350" s="4"/>
      <c r="G1350" s="4"/>
      <c r="H1350" s="4"/>
      <c r="I1350" s="4" t="s">
        <v>1035</v>
      </c>
    </row>
    <row r="1351" ht="15.75" customHeight="1">
      <c r="A1351" s="4" t="s">
        <v>3776</v>
      </c>
      <c r="B1351" s="13">
        <v>46120.680150463</v>
      </c>
      <c r="C1351" s="4" t="s">
        <v>3777</v>
      </c>
      <c r="D1351" s="4" t="s">
        <v>1081</v>
      </c>
      <c r="E1351" s="4" t="s">
        <v>1064</v>
      </c>
      <c r="F1351" s="4"/>
      <c r="G1351" s="4"/>
      <c r="H1351" s="4"/>
      <c r="I1351" s="4" t="s">
        <v>1035</v>
      </c>
    </row>
    <row r="1352" ht="15.75" customHeight="1">
      <c r="A1352" s="4" t="s">
        <v>3778</v>
      </c>
      <c r="B1352" s="13">
        <v>46055.4072222222</v>
      </c>
      <c r="C1352" s="4" t="s">
        <v>3779</v>
      </c>
      <c r="D1352" s="4" t="s">
        <v>1093</v>
      </c>
      <c r="E1352" s="4" t="s">
        <v>1064</v>
      </c>
      <c r="F1352" s="4"/>
      <c r="G1352" s="4"/>
      <c r="H1352" s="4"/>
      <c r="I1352" s="4" t="s">
        <v>1028</v>
      </c>
    </row>
    <row r="1353" ht="15.75" customHeight="1">
      <c r="A1353" s="4" t="s">
        <v>3780</v>
      </c>
      <c r="B1353" s="13">
        <v>46055.8015740741</v>
      </c>
      <c r="C1353" s="4" t="s">
        <v>3781</v>
      </c>
      <c r="D1353" s="4" t="s">
        <v>1078</v>
      </c>
      <c r="E1353" s="4" t="s">
        <v>1064</v>
      </c>
      <c r="F1353" s="4"/>
      <c r="G1353" s="4" t="s">
        <v>61</v>
      </c>
      <c r="H1353" s="10">
        <v>163.62</v>
      </c>
      <c r="I1353" s="4" t="s">
        <v>1048</v>
      </c>
    </row>
    <row r="1354" ht="15.75" customHeight="1">
      <c r="A1354" s="4" t="s">
        <v>3782</v>
      </c>
      <c r="B1354" s="13">
        <v>46128.8909606482</v>
      </c>
      <c r="C1354" s="4" t="s">
        <v>3783</v>
      </c>
      <c r="D1354" s="4" t="s">
        <v>1081</v>
      </c>
      <c r="E1354" s="4" t="s">
        <v>1064</v>
      </c>
      <c r="F1354" s="4"/>
      <c r="G1354" s="4"/>
      <c r="H1354" s="4"/>
      <c r="I1354" s="4" t="s">
        <v>1048</v>
      </c>
    </row>
    <row r="1355" ht="15.75" customHeight="1">
      <c r="A1355" s="4" t="s">
        <v>3784</v>
      </c>
      <c r="B1355" s="13">
        <v>46123.7331828704</v>
      </c>
      <c r="C1355" s="4" t="s">
        <v>3785</v>
      </c>
      <c r="D1355" s="4" t="s">
        <v>1110</v>
      </c>
      <c r="E1355" s="4" t="s">
        <v>1064</v>
      </c>
      <c r="F1355" s="4"/>
      <c r="G1355" s="4" t="s">
        <v>150</v>
      </c>
      <c r="H1355" s="10">
        <v>209.19</v>
      </c>
      <c r="I1355" s="4" t="s">
        <v>587</v>
      </c>
    </row>
    <row r="1356" ht="15.75" customHeight="1">
      <c r="A1356" s="4" t="s">
        <v>3786</v>
      </c>
      <c r="B1356" s="13">
        <v>46050.892974537</v>
      </c>
      <c r="C1356" s="4" t="s">
        <v>3787</v>
      </c>
      <c r="D1356" s="4" t="s">
        <v>1093</v>
      </c>
      <c r="E1356" s="4" t="s">
        <v>1064</v>
      </c>
      <c r="F1356" s="4"/>
      <c r="G1356" s="4"/>
      <c r="H1356" s="4"/>
      <c r="I1356" s="4" t="s">
        <v>1042</v>
      </c>
    </row>
    <row r="1357" ht="15.75" customHeight="1">
      <c r="A1357" s="4" t="s">
        <v>3788</v>
      </c>
      <c r="B1357" s="13">
        <v>46126.9377662037</v>
      </c>
      <c r="C1357" s="4" t="s">
        <v>3789</v>
      </c>
      <c r="D1357" s="4" t="s">
        <v>1081</v>
      </c>
      <c r="E1357" s="4" t="s">
        <v>1064</v>
      </c>
      <c r="F1357" s="4"/>
      <c r="G1357" s="4"/>
      <c r="H1357" s="4"/>
      <c r="I1357" s="4" t="s">
        <v>1050</v>
      </c>
    </row>
    <row r="1358" ht="15.75" customHeight="1">
      <c r="A1358" s="4" t="s">
        <v>3790</v>
      </c>
      <c r="B1358" s="13">
        <v>46043.9096180556</v>
      </c>
      <c r="C1358" s="4" t="s">
        <v>3791</v>
      </c>
      <c r="D1358" s="4" t="s">
        <v>1110</v>
      </c>
      <c r="E1358" s="4" t="s">
        <v>1064</v>
      </c>
      <c r="F1358" s="4"/>
      <c r="G1358" s="4" t="s">
        <v>107</v>
      </c>
      <c r="H1358" s="10">
        <v>91.76</v>
      </c>
      <c r="I1358" s="4" t="s">
        <v>587</v>
      </c>
    </row>
    <row r="1359" ht="15.75" customHeight="1">
      <c r="A1359" s="4" t="s">
        <v>3792</v>
      </c>
      <c r="B1359" s="13">
        <v>46078.788587963</v>
      </c>
      <c r="C1359" s="4" t="s">
        <v>3793</v>
      </c>
      <c r="D1359" s="4" t="s">
        <v>1086</v>
      </c>
      <c r="E1359" s="4" t="s">
        <v>1064</v>
      </c>
      <c r="F1359" s="4"/>
      <c r="G1359" s="4"/>
      <c r="H1359" s="4"/>
      <c r="I1359" s="4" t="s">
        <v>1050</v>
      </c>
    </row>
    <row r="1360" ht="15.75" customHeight="1">
      <c r="A1360" s="4" t="s">
        <v>3794</v>
      </c>
      <c r="B1360" s="13">
        <v>46125.3915046296</v>
      </c>
      <c r="C1360" s="4" t="s">
        <v>3795</v>
      </c>
      <c r="D1360" s="4" t="s">
        <v>1063</v>
      </c>
      <c r="E1360" s="4" t="s">
        <v>1064</v>
      </c>
      <c r="F1360" s="4"/>
      <c r="G1360" s="4" t="s">
        <v>77</v>
      </c>
      <c r="H1360" s="4"/>
      <c r="I1360" s="4" t="s">
        <v>1046</v>
      </c>
    </row>
    <row r="1361" ht="15.75" customHeight="1">
      <c r="A1361" s="4" t="s">
        <v>3796</v>
      </c>
      <c r="B1361" s="13">
        <v>46116.3357523148</v>
      </c>
      <c r="C1361" s="4" t="s">
        <v>3797</v>
      </c>
      <c r="D1361" s="4" t="s">
        <v>1128</v>
      </c>
      <c r="E1361" s="4" t="s">
        <v>1105</v>
      </c>
      <c r="F1361" s="4" t="s">
        <v>71</v>
      </c>
      <c r="G1361" s="4"/>
      <c r="H1361" s="4"/>
      <c r="I1361" s="4" t="s">
        <v>1039</v>
      </c>
    </row>
    <row r="1362" ht="15.75" customHeight="1">
      <c r="A1362" s="4" t="s">
        <v>3798</v>
      </c>
      <c r="B1362" s="13">
        <v>46080.6658217593</v>
      </c>
      <c r="C1362" s="4" t="s">
        <v>3799</v>
      </c>
      <c r="D1362" s="4" t="s">
        <v>1093</v>
      </c>
      <c r="E1362" s="4" t="s">
        <v>1064</v>
      </c>
      <c r="F1362" s="4"/>
      <c r="G1362" s="4"/>
      <c r="H1362" s="4"/>
      <c r="I1362" s="4" t="s">
        <v>1050</v>
      </c>
    </row>
    <row r="1363" ht="15.75" customHeight="1">
      <c r="A1363" s="4" t="s">
        <v>3800</v>
      </c>
      <c r="B1363" s="13">
        <v>46123.8212962963</v>
      </c>
      <c r="C1363" s="4" t="s">
        <v>3801</v>
      </c>
      <c r="D1363" s="4" t="s">
        <v>1081</v>
      </c>
      <c r="E1363" s="4" t="s">
        <v>1064</v>
      </c>
      <c r="F1363" s="4"/>
      <c r="G1363" s="4"/>
      <c r="H1363" s="4"/>
      <c r="I1363" s="4" t="s">
        <v>1031</v>
      </c>
    </row>
    <row r="1364" ht="15.75" customHeight="1">
      <c r="A1364" s="4" t="s">
        <v>3802</v>
      </c>
      <c r="B1364" s="13">
        <v>46065.7967824074</v>
      </c>
      <c r="C1364" s="4" t="s">
        <v>3803</v>
      </c>
      <c r="D1364" s="4" t="s">
        <v>1128</v>
      </c>
      <c r="E1364" s="4" t="s">
        <v>1105</v>
      </c>
      <c r="F1364" s="4" t="s">
        <v>185</v>
      </c>
      <c r="G1364" s="4"/>
      <c r="H1364" s="4"/>
      <c r="I1364" s="4" t="s">
        <v>1042</v>
      </c>
    </row>
    <row r="1365" ht="15.75" customHeight="1">
      <c r="A1365" s="4" t="s">
        <v>3804</v>
      </c>
      <c r="B1365" s="13">
        <v>46046.4716782407</v>
      </c>
      <c r="C1365" s="4" t="s">
        <v>3805</v>
      </c>
      <c r="D1365" s="4" t="s">
        <v>1081</v>
      </c>
      <c r="E1365" s="4" t="s">
        <v>1064</v>
      </c>
      <c r="F1365" s="4"/>
      <c r="G1365" s="4"/>
      <c r="H1365" s="4"/>
      <c r="I1365" s="4" t="s">
        <v>1046</v>
      </c>
    </row>
    <row r="1366" ht="15.75" customHeight="1">
      <c r="A1366" s="4" t="s">
        <v>3806</v>
      </c>
      <c r="B1366" s="13">
        <v>46056.6612731482</v>
      </c>
      <c r="C1366" s="4" t="s">
        <v>3807</v>
      </c>
      <c r="D1366" s="4" t="s">
        <v>1071</v>
      </c>
      <c r="E1366" s="4" t="s">
        <v>1072</v>
      </c>
      <c r="F1366" s="4"/>
      <c r="G1366" s="4"/>
      <c r="H1366" s="4"/>
      <c r="I1366" s="4" t="s">
        <v>1039</v>
      </c>
    </row>
    <row r="1367" ht="15.75" customHeight="1">
      <c r="A1367" s="4" t="s">
        <v>3808</v>
      </c>
      <c r="B1367" s="13">
        <v>46035.4647569444</v>
      </c>
      <c r="C1367" s="4" t="s">
        <v>3809</v>
      </c>
      <c r="D1367" s="4" t="s">
        <v>1086</v>
      </c>
      <c r="E1367" s="4" t="s">
        <v>1064</v>
      </c>
      <c r="F1367" s="4"/>
      <c r="G1367" s="4"/>
      <c r="H1367" s="4"/>
      <c r="I1367" s="4" t="s">
        <v>1031</v>
      </c>
    </row>
    <row r="1368" ht="15.75" customHeight="1">
      <c r="A1368" s="4" t="s">
        <v>3810</v>
      </c>
      <c r="B1368" s="13">
        <v>46046.952962963</v>
      </c>
      <c r="C1368" s="4" t="s">
        <v>3811</v>
      </c>
      <c r="D1368" s="4" t="s">
        <v>1063</v>
      </c>
      <c r="E1368" s="4" t="s">
        <v>1064</v>
      </c>
      <c r="F1368" s="4"/>
      <c r="G1368" s="4" t="s">
        <v>150</v>
      </c>
      <c r="H1368" s="4"/>
      <c r="I1368" s="4" t="s">
        <v>1035</v>
      </c>
    </row>
    <row r="1369" ht="15.75" customHeight="1">
      <c r="A1369" s="4" t="s">
        <v>3812</v>
      </c>
      <c r="B1369" s="13">
        <v>46067.4889236111</v>
      </c>
      <c r="C1369" s="4" t="s">
        <v>3813</v>
      </c>
      <c r="D1369" s="4" t="s">
        <v>1081</v>
      </c>
      <c r="E1369" s="4" t="s">
        <v>1064</v>
      </c>
      <c r="F1369" s="4"/>
      <c r="G1369" s="4"/>
      <c r="H1369" s="4"/>
      <c r="I1369" s="4" t="s">
        <v>1052</v>
      </c>
    </row>
    <row r="1370" ht="15.75" customHeight="1">
      <c r="A1370" s="4" t="s">
        <v>3814</v>
      </c>
      <c r="B1370" s="13">
        <v>46114.8071527778</v>
      </c>
      <c r="C1370" s="4" t="s">
        <v>3815</v>
      </c>
      <c r="D1370" s="4" t="s">
        <v>1163</v>
      </c>
      <c r="E1370" s="4" t="s">
        <v>1072</v>
      </c>
      <c r="F1370" s="4"/>
      <c r="G1370" s="4"/>
      <c r="H1370" s="4"/>
      <c r="I1370" s="4" t="s">
        <v>1042</v>
      </c>
    </row>
    <row r="1371" ht="15.75" customHeight="1">
      <c r="A1371" s="4" t="s">
        <v>3816</v>
      </c>
      <c r="B1371" s="13">
        <v>46128.4425231482</v>
      </c>
      <c r="C1371" s="4" t="s">
        <v>3817</v>
      </c>
      <c r="D1371" s="4" t="s">
        <v>1071</v>
      </c>
      <c r="E1371" s="4" t="s">
        <v>1119</v>
      </c>
      <c r="F1371" s="4"/>
      <c r="G1371" s="4"/>
      <c r="H1371" s="4"/>
      <c r="I1371" s="4" t="s">
        <v>1050</v>
      </c>
    </row>
    <row r="1372" ht="15.75" customHeight="1">
      <c r="A1372" s="4" t="s">
        <v>3818</v>
      </c>
      <c r="B1372" s="13">
        <v>46129.8061111111</v>
      </c>
      <c r="C1372" s="4" t="s">
        <v>3819</v>
      </c>
      <c r="D1372" s="4" t="s">
        <v>1063</v>
      </c>
      <c r="E1372" s="4" t="s">
        <v>1064</v>
      </c>
      <c r="F1372" s="4"/>
      <c r="G1372" s="4" t="s">
        <v>61</v>
      </c>
      <c r="H1372" s="4"/>
      <c r="I1372" s="4" t="s">
        <v>427</v>
      </c>
    </row>
    <row r="1373" ht="15.75" customHeight="1">
      <c r="A1373" s="4" t="s">
        <v>3820</v>
      </c>
      <c r="B1373" s="13">
        <v>46046.476724537</v>
      </c>
      <c r="C1373" s="4" t="s">
        <v>3821</v>
      </c>
      <c r="D1373" s="4" t="s">
        <v>1093</v>
      </c>
      <c r="E1373" s="4" t="s">
        <v>1064</v>
      </c>
      <c r="F1373" s="4"/>
      <c r="G1373" s="4"/>
      <c r="H1373" s="4"/>
      <c r="I1373" s="4" t="s">
        <v>1030</v>
      </c>
    </row>
    <row r="1374" ht="15.75" customHeight="1">
      <c r="A1374" s="4" t="s">
        <v>3822</v>
      </c>
      <c r="B1374" s="13">
        <v>46131.4460648148</v>
      </c>
      <c r="C1374" s="4" t="s">
        <v>3823</v>
      </c>
      <c r="D1374" s="4" t="s">
        <v>1128</v>
      </c>
      <c r="E1374" s="4" t="s">
        <v>1090</v>
      </c>
      <c r="F1374" s="4" t="s">
        <v>829</v>
      </c>
      <c r="G1374" s="4"/>
      <c r="H1374" s="4"/>
      <c r="I1374" s="4" t="s">
        <v>1039</v>
      </c>
    </row>
    <row r="1375" ht="15.75" customHeight="1">
      <c r="A1375" s="4" t="s">
        <v>3824</v>
      </c>
      <c r="B1375" s="13">
        <v>46120.8867592593</v>
      </c>
      <c r="C1375" s="4" t="s">
        <v>3825</v>
      </c>
      <c r="D1375" s="4" t="s">
        <v>1128</v>
      </c>
      <c r="E1375" s="4" t="s">
        <v>1105</v>
      </c>
      <c r="F1375" s="4" t="s">
        <v>238</v>
      </c>
      <c r="G1375" s="4"/>
      <c r="H1375" s="4"/>
      <c r="I1375" s="4" t="s">
        <v>1030</v>
      </c>
    </row>
    <row r="1376" ht="15.75" customHeight="1">
      <c r="A1376" s="4" t="s">
        <v>3826</v>
      </c>
      <c r="B1376" s="13">
        <v>46123.9341435185</v>
      </c>
      <c r="C1376" s="4" t="s">
        <v>3827</v>
      </c>
      <c r="D1376" s="4" t="s">
        <v>1163</v>
      </c>
      <c r="E1376" s="4" t="s">
        <v>1119</v>
      </c>
      <c r="F1376" s="4"/>
      <c r="G1376" s="4"/>
      <c r="H1376" s="4"/>
      <c r="I1376" s="4" t="s">
        <v>1030</v>
      </c>
    </row>
    <row r="1377" ht="15.75" customHeight="1">
      <c r="A1377" s="4" t="s">
        <v>3828</v>
      </c>
      <c r="B1377" s="13">
        <v>46129.8854282407</v>
      </c>
      <c r="C1377" s="4" t="s">
        <v>3829</v>
      </c>
      <c r="D1377" s="4" t="s">
        <v>1071</v>
      </c>
      <c r="E1377" s="4" t="s">
        <v>1072</v>
      </c>
      <c r="F1377" s="4"/>
      <c r="G1377" s="4"/>
      <c r="H1377" s="4"/>
      <c r="I1377" s="4" t="s">
        <v>1046</v>
      </c>
    </row>
    <row r="1378" ht="15.75" customHeight="1">
      <c r="A1378" s="4" t="s">
        <v>3830</v>
      </c>
      <c r="B1378" s="13">
        <v>46062.7519097222</v>
      </c>
      <c r="C1378" s="4" t="s">
        <v>3831</v>
      </c>
      <c r="D1378" s="4" t="s">
        <v>1089</v>
      </c>
      <c r="E1378" s="4" t="s">
        <v>1105</v>
      </c>
      <c r="F1378" s="4" t="s">
        <v>115</v>
      </c>
      <c r="G1378" s="4"/>
      <c r="H1378" s="4"/>
      <c r="I1378" s="4" t="s">
        <v>1028</v>
      </c>
    </row>
    <row r="1379" ht="15.75" customHeight="1">
      <c r="A1379" s="4" t="s">
        <v>3832</v>
      </c>
      <c r="B1379" s="13">
        <v>46115.8946064815</v>
      </c>
      <c r="C1379" s="4" t="s">
        <v>3833</v>
      </c>
      <c r="D1379" s="4" t="s">
        <v>1086</v>
      </c>
      <c r="E1379" s="4" t="s">
        <v>1064</v>
      </c>
      <c r="F1379" s="4"/>
      <c r="G1379" s="4"/>
      <c r="H1379" s="4"/>
      <c r="I1379" s="4" t="s">
        <v>1035</v>
      </c>
    </row>
    <row r="1380" ht="15.75" customHeight="1">
      <c r="A1380" s="4" t="s">
        <v>3834</v>
      </c>
      <c r="B1380" s="13">
        <v>46128.3885648148</v>
      </c>
      <c r="C1380" s="4" t="s">
        <v>3835</v>
      </c>
      <c r="D1380" s="4" t="s">
        <v>1110</v>
      </c>
      <c r="E1380" s="4" t="s">
        <v>1064</v>
      </c>
      <c r="F1380" s="4"/>
      <c r="G1380" s="4" t="s">
        <v>232</v>
      </c>
      <c r="H1380" s="10">
        <v>40.12</v>
      </c>
      <c r="I1380" s="4" t="s">
        <v>1034</v>
      </c>
    </row>
    <row r="1381" ht="15.75" customHeight="1">
      <c r="A1381" s="4" t="s">
        <v>3836</v>
      </c>
      <c r="B1381" s="13">
        <v>46127.6425810185</v>
      </c>
      <c r="C1381" s="4" t="s">
        <v>3837</v>
      </c>
      <c r="D1381" s="4" t="s">
        <v>1071</v>
      </c>
      <c r="E1381" s="4" t="s">
        <v>1119</v>
      </c>
      <c r="F1381" s="4"/>
      <c r="G1381" s="4"/>
      <c r="H1381" s="4"/>
      <c r="I1381" s="4" t="s">
        <v>1035</v>
      </c>
    </row>
    <row r="1382" ht="15.75" customHeight="1">
      <c r="A1382" s="4" t="s">
        <v>3838</v>
      </c>
      <c r="B1382" s="13">
        <v>46053.4689351852</v>
      </c>
      <c r="C1382" s="4" t="s">
        <v>3839</v>
      </c>
      <c r="D1382" s="4" t="s">
        <v>1086</v>
      </c>
      <c r="E1382" s="4" t="s">
        <v>1064</v>
      </c>
      <c r="F1382" s="4"/>
      <c r="G1382" s="4"/>
      <c r="H1382" s="4"/>
      <c r="I1382" s="4" t="s">
        <v>1031</v>
      </c>
    </row>
    <row r="1383" ht="15.75" customHeight="1">
      <c r="A1383" s="4" t="s">
        <v>3840</v>
      </c>
      <c r="B1383" s="13">
        <v>46046.4220486111</v>
      </c>
      <c r="C1383" s="4" t="s">
        <v>3841</v>
      </c>
      <c r="D1383" s="4" t="s">
        <v>1093</v>
      </c>
      <c r="E1383" s="4" t="s">
        <v>1064</v>
      </c>
      <c r="F1383" s="4"/>
      <c r="G1383" s="4"/>
      <c r="H1383" s="4"/>
      <c r="I1383" s="4" t="s">
        <v>1050</v>
      </c>
    </row>
    <row r="1384" ht="15.75" customHeight="1">
      <c r="A1384" s="4" t="s">
        <v>3842</v>
      </c>
      <c r="B1384" s="13">
        <v>46056.622974537</v>
      </c>
      <c r="C1384" s="4" t="s">
        <v>3843</v>
      </c>
      <c r="D1384" s="4" t="s">
        <v>1081</v>
      </c>
      <c r="E1384" s="4" t="s">
        <v>1064</v>
      </c>
      <c r="F1384" s="4"/>
      <c r="G1384" s="4"/>
      <c r="H1384" s="4"/>
      <c r="I1384" s="4" t="s">
        <v>1031</v>
      </c>
    </row>
    <row r="1385" ht="15.75" customHeight="1">
      <c r="A1385" s="4" t="s">
        <v>3844</v>
      </c>
      <c r="B1385" s="13">
        <v>46070.6658564815</v>
      </c>
      <c r="C1385" s="4" t="s">
        <v>3845</v>
      </c>
      <c r="D1385" s="4" t="s">
        <v>1071</v>
      </c>
      <c r="E1385" s="4" t="s">
        <v>1072</v>
      </c>
      <c r="F1385" s="4"/>
      <c r="G1385" s="4"/>
      <c r="H1385" s="4"/>
      <c r="I1385" s="4" t="s">
        <v>1036</v>
      </c>
    </row>
    <row r="1386" ht="15.75" customHeight="1">
      <c r="A1386" s="4" t="s">
        <v>3846</v>
      </c>
      <c r="B1386" s="13">
        <v>46084.4886689815</v>
      </c>
      <c r="C1386" s="4" t="s">
        <v>3847</v>
      </c>
      <c r="D1386" s="4" t="s">
        <v>1093</v>
      </c>
      <c r="E1386" s="4" t="s">
        <v>1064</v>
      </c>
      <c r="F1386" s="4"/>
      <c r="G1386" s="4"/>
      <c r="H1386" s="4"/>
      <c r="I1386" s="4" t="s">
        <v>1028</v>
      </c>
    </row>
    <row r="1387" ht="15.75" customHeight="1">
      <c r="A1387" s="4" t="s">
        <v>3848</v>
      </c>
      <c r="B1387" s="13">
        <v>46037.9431481482</v>
      </c>
      <c r="C1387" s="4" t="s">
        <v>3849</v>
      </c>
      <c r="D1387" s="4" t="s">
        <v>1071</v>
      </c>
      <c r="E1387" s="4" t="s">
        <v>1072</v>
      </c>
      <c r="F1387" s="4"/>
      <c r="G1387" s="4"/>
      <c r="H1387" s="4"/>
      <c r="I1387" s="4" t="s">
        <v>427</v>
      </c>
    </row>
    <row r="1388" ht="15.75" customHeight="1">
      <c r="A1388" s="4" t="s">
        <v>3850</v>
      </c>
      <c r="B1388" s="13">
        <v>46037.8817476852</v>
      </c>
      <c r="C1388" s="4" t="s">
        <v>3851</v>
      </c>
      <c r="D1388" s="4" t="s">
        <v>1163</v>
      </c>
      <c r="E1388" s="4" t="s">
        <v>1119</v>
      </c>
      <c r="F1388" s="4"/>
      <c r="G1388" s="4"/>
      <c r="H1388" s="4"/>
      <c r="I1388" s="4" t="s">
        <v>1052</v>
      </c>
    </row>
    <row r="1389" ht="15.75" customHeight="1">
      <c r="A1389" s="4" t="s">
        <v>3852</v>
      </c>
      <c r="B1389" s="13">
        <v>46042.5462615741</v>
      </c>
      <c r="C1389" s="4" t="s">
        <v>3853</v>
      </c>
      <c r="D1389" s="4" t="s">
        <v>1071</v>
      </c>
      <c r="E1389" s="4" t="s">
        <v>1119</v>
      </c>
      <c r="F1389" s="4"/>
      <c r="G1389" s="4"/>
      <c r="H1389" s="4"/>
      <c r="I1389" s="4" t="s">
        <v>1046</v>
      </c>
    </row>
    <row r="1390" ht="15.75" customHeight="1">
      <c r="A1390" s="4" t="s">
        <v>3854</v>
      </c>
      <c r="B1390" s="13">
        <v>46109.9359837963</v>
      </c>
      <c r="C1390" s="4" t="s">
        <v>3855</v>
      </c>
      <c r="D1390" s="4" t="s">
        <v>1110</v>
      </c>
      <c r="E1390" s="4" t="s">
        <v>1064</v>
      </c>
      <c r="F1390" s="4"/>
      <c r="G1390" s="4" t="s">
        <v>232</v>
      </c>
      <c r="H1390" s="10">
        <v>147.75</v>
      </c>
      <c r="I1390" s="4" t="s">
        <v>1028</v>
      </c>
    </row>
    <row r="1391" ht="15.75" customHeight="1">
      <c r="A1391" s="4" t="s">
        <v>3856</v>
      </c>
      <c r="B1391" s="13">
        <v>46085.3532523148</v>
      </c>
      <c r="C1391" s="4" t="s">
        <v>3857</v>
      </c>
      <c r="D1391" s="4" t="s">
        <v>1093</v>
      </c>
      <c r="E1391" s="4" t="s">
        <v>1064</v>
      </c>
      <c r="F1391" s="4"/>
      <c r="G1391" s="4"/>
      <c r="H1391" s="4"/>
      <c r="I1391" s="4" t="s">
        <v>1036</v>
      </c>
    </row>
    <row r="1392" ht="15.75" customHeight="1">
      <c r="A1392" s="4" t="s">
        <v>3858</v>
      </c>
      <c r="B1392" s="13">
        <v>46033.83</v>
      </c>
      <c r="C1392" s="4" t="s">
        <v>3859</v>
      </c>
      <c r="D1392" s="4" t="s">
        <v>1086</v>
      </c>
      <c r="E1392" s="4" t="s">
        <v>1064</v>
      </c>
      <c r="F1392" s="4"/>
      <c r="G1392" s="4"/>
      <c r="H1392" s="4"/>
      <c r="I1392" s="4" t="s">
        <v>1042</v>
      </c>
    </row>
    <row r="1393" ht="15.75" customHeight="1">
      <c r="A1393" s="4" t="s">
        <v>3860</v>
      </c>
      <c r="B1393" s="13">
        <v>46023.5345023148</v>
      </c>
      <c r="C1393" s="4" t="s">
        <v>3861</v>
      </c>
      <c r="D1393" s="4" t="s">
        <v>1128</v>
      </c>
      <c r="E1393" s="4" t="s">
        <v>1105</v>
      </c>
      <c r="F1393" s="4" t="s">
        <v>71</v>
      </c>
      <c r="G1393" s="4"/>
      <c r="H1393" s="4"/>
      <c r="I1393" s="4" t="s">
        <v>1052</v>
      </c>
    </row>
    <row r="1394" ht="15.75" customHeight="1">
      <c r="A1394" s="4" t="s">
        <v>3862</v>
      </c>
      <c r="B1394" s="13">
        <v>46062.8305902778</v>
      </c>
      <c r="C1394" s="4" t="s">
        <v>3863</v>
      </c>
      <c r="D1394" s="4" t="s">
        <v>1086</v>
      </c>
      <c r="E1394" s="4" t="s">
        <v>1064</v>
      </c>
      <c r="F1394" s="4"/>
      <c r="G1394" s="4"/>
      <c r="H1394" s="4"/>
      <c r="I1394" s="4" t="s">
        <v>1046</v>
      </c>
    </row>
    <row r="1395" ht="15.75" customHeight="1">
      <c r="A1395" s="4" t="s">
        <v>3864</v>
      </c>
      <c r="B1395" s="13">
        <v>46029.6540393519</v>
      </c>
      <c r="C1395" s="4" t="s">
        <v>3865</v>
      </c>
      <c r="D1395" s="4" t="s">
        <v>1075</v>
      </c>
      <c r="E1395" s="4" t="s">
        <v>1064</v>
      </c>
      <c r="F1395" s="4"/>
      <c r="G1395" s="4"/>
      <c r="H1395" s="4"/>
      <c r="I1395" s="4" t="s">
        <v>1039</v>
      </c>
    </row>
    <row r="1396" ht="15.75" customHeight="1">
      <c r="A1396" s="4" t="s">
        <v>3866</v>
      </c>
      <c r="B1396" s="13">
        <v>46057.9053703704</v>
      </c>
      <c r="C1396" s="4" t="s">
        <v>3867</v>
      </c>
      <c r="D1396" s="4" t="s">
        <v>1110</v>
      </c>
      <c r="E1396" s="4" t="s">
        <v>1064</v>
      </c>
      <c r="F1396" s="4"/>
      <c r="G1396" s="4" t="s">
        <v>232</v>
      </c>
      <c r="H1396" s="10">
        <v>78.9</v>
      </c>
      <c r="I1396" s="4" t="s">
        <v>1031</v>
      </c>
    </row>
    <row r="1397" ht="15.75" customHeight="1">
      <c r="A1397" s="4" t="s">
        <v>3868</v>
      </c>
      <c r="B1397" s="13">
        <v>46087.4597685185</v>
      </c>
      <c r="C1397" s="4" t="s">
        <v>3869</v>
      </c>
      <c r="D1397" s="4" t="s">
        <v>1163</v>
      </c>
      <c r="E1397" s="4" t="s">
        <v>1072</v>
      </c>
      <c r="F1397" s="4"/>
      <c r="G1397" s="4"/>
      <c r="H1397" s="4"/>
      <c r="I1397" s="4" t="s">
        <v>1042</v>
      </c>
    </row>
    <row r="1398" ht="15.75" customHeight="1">
      <c r="A1398" s="4" t="s">
        <v>3870</v>
      </c>
      <c r="B1398" s="13">
        <v>46035.6356134259</v>
      </c>
      <c r="C1398" s="4" t="s">
        <v>3871</v>
      </c>
      <c r="D1398" s="4" t="s">
        <v>1063</v>
      </c>
      <c r="E1398" s="4" t="s">
        <v>1064</v>
      </c>
      <c r="F1398" s="4"/>
      <c r="G1398" s="4" t="s">
        <v>150</v>
      </c>
      <c r="H1398" s="4"/>
      <c r="I1398" s="4" t="s">
        <v>427</v>
      </c>
    </row>
    <row r="1399" ht="15.75" customHeight="1">
      <c r="A1399" s="4" t="s">
        <v>3872</v>
      </c>
      <c r="B1399" s="13">
        <v>46035.6490972222</v>
      </c>
      <c r="C1399" s="4" t="s">
        <v>3873</v>
      </c>
      <c r="D1399" s="4" t="s">
        <v>1089</v>
      </c>
      <c r="E1399" s="4" t="s">
        <v>1105</v>
      </c>
      <c r="F1399" s="4" t="s">
        <v>246</v>
      </c>
      <c r="G1399" s="4"/>
      <c r="H1399" s="4"/>
      <c r="I1399" s="4" t="s">
        <v>1039</v>
      </c>
    </row>
    <row r="1400" ht="15.75" customHeight="1">
      <c r="A1400" s="4" t="s">
        <v>3874</v>
      </c>
      <c r="B1400" s="13">
        <v>46110.4561111111</v>
      </c>
      <c r="C1400" s="4" t="s">
        <v>3875</v>
      </c>
      <c r="D1400" s="4" t="s">
        <v>1110</v>
      </c>
      <c r="E1400" s="4" t="s">
        <v>1064</v>
      </c>
      <c r="F1400" s="4"/>
      <c r="G1400" s="4" t="s">
        <v>61</v>
      </c>
      <c r="H1400" s="10">
        <v>75.12</v>
      </c>
      <c r="I1400" s="4" t="s">
        <v>587</v>
      </c>
    </row>
    <row r="1401" ht="15.75" customHeight="1">
      <c r="A1401" s="4" t="s">
        <v>3876</v>
      </c>
      <c r="B1401" s="13">
        <v>46053.4456481482</v>
      </c>
      <c r="C1401" s="4" t="s">
        <v>3877</v>
      </c>
      <c r="D1401" s="4" t="s">
        <v>1089</v>
      </c>
      <c r="E1401" s="4" t="s">
        <v>1105</v>
      </c>
      <c r="F1401" s="4" t="s">
        <v>294</v>
      </c>
      <c r="G1401" s="4"/>
      <c r="H1401" s="4"/>
      <c r="I1401" s="4" t="s">
        <v>1048</v>
      </c>
    </row>
    <row r="1402" ht="15.75" customHeight="1">
      <c r="A1402" s="4" t="s">
        <v>3878</v>
      </c>
      <c r="B1402" s="13">
        <v>46113.7371643519</v>
      </c>
      <c r="C1402" s="4" t="s">
        <v>3879</v>
      </c>
      <c r="D1402" s="4" t="s">
        <v>1071</v>
      </c>
      <c r="E1402" s="4" t="s">
        <v>1072</v>
      </c>
      <c r="F1402" s="4"/>
      <c r="G1402" s="4"/>
      <c r="H1402" s="4"/>
      <c r="I1402" s="4" t="s">
        <v>427</v>
      </c>
    </row>
    <row r="1403" ht="15.75" customHeight="1">
      <c r="A1403" s="4" t="s">
        <v>3880</v>
      </c>
      <c r="B1403" s="13">
        <v>46055.4923958333</v>
      </c>
      <c r="C1403" s="4" t="s">
        <v>3881</v>
      </c>
      <c r="D1403" s="4" t="s">
        <v>1104</v>
      </c>
      <c r="E1403" s="4" t="s">
        <v>1105</v>
      </c>
      <c r="F1403" s="4" t="s">
        <v>246</v>
      </c>
      <c r="G1403" s="4"/>
      <c r="H1403" s="4"/>
      <c r="I1403" s="4" t="s">
        <v>1034</v>
      </c>
    </row>
    <row r="1404" ht="15.75" customHeight="1">
      <c r="A1404" s="4" t="s">
        <v>3882</v>
      </c>
      <c r="B1404" s="13">
        <v>46124.7542939815</v>
      </c>
      <c r="C1404" s="4" t="s">
        <v>3883</v>
      </c>
      <c r="D1404" s="4" t="s">
        <v>1089</v>
      </c>
      <c r="E1404" s="4" t="s">
        <v>1105</v>
      </c>
      <c r="F1404" s="4" t="s">
        <v>109</v>
      </c>
      <c r="G1404" s="4"/>
      <c r="H1404" s="4"/>
      <c r="I1404" s="4" t="s">
        <v>1035</v>
      </c>
    </row>
    <row r="1405" ht="15.75" customHeight="1">
      <c r="A1405" s="4" t="s">
        <v>3884</v>
      </c>
      <c r="B1405" s="13">
        <v>46119.4439351852</v>
      </c>
      <c r="C1405" s="4" t="s">
        <v>3885</v>
      </c>
      <c r="D1405" s="4" t="s">
        <v>1071</v>
      </c>
      <c r="E1405" s="4" t="s">
        <v>1119</v>
      </c>
      <c r="F1405" s="4"/>
      <c r="G1405" s="4"/>
      <c r="H1405" s="4"/>
      <c r="I1405" s="4" t="s">
        <v>427</v>
      </c>
    </row>
    <row r="1406" ht="15.75" customHeight="1">
      <c r="A1406" s="4" t="s">
        <v>3886</v>
      </c>
      <c r="B1406" s="13">
        <v>46073.8065277778</v>
      </c>
      <c r="C1406" s="4" t="s">
        <v>3887</v>
      </c>
      <c r="D1406" s="4" t="s">
        <v>1071</v>
      </c>
      <c r="E1406" s="4" t="s">
        <v>1072</v>
      </c>
      <c r="F1406" s="4"/>
      <c r="G1406" s="4"/>
      <c r="H1406" s="4"/>
      <c r="I1406" s="4" t="s">
        <v>1052</v>
      </c>
    </row>
    <row r="1407" ht="15.75" customHeight="1">
      <c r="A1407" s="4" t="s">
        <v>3888</v>
      </c>
      <c r="B1407" s="13">
        <v>46080.4894444444</v>
      </c>
      <c r="C1407" s="4" t="s">
        <v>3889</v>
      </c>
      <c r="D1407" s="4" t="s">
        <v>1093</v>
      </c>
      <c r="E1407" s="4" t="s">
        <v>1064</v>
      </c>
      <c r="F1407" s="4"/>
      <c r="G1407" s="4"/>
      <c r="H1407" s="4"/>
      <c r="I1407" s="4" t="s">
        <v>1031</v>
      </c>
    </row>
    <row r="1408" ht="15.75" customHeight="1">
      <c r="A1408" s="4" t="s">
        <v>3890</v>
      </c>
      <c r="B1408" s="13">
        <v>46097.8090972222</v>
      </c>
      <c r="C1408" s="4" t="s">
        <v>3891</v>
      </c>
      <c r="D1408" s="4" t="s">
        <v>1110</v>
      </c>
      <c r="E1408" s="4" t="s">
        <v>1064</v>
      </c>
      <c r="F1408" s="4"/>
      <c r="G1408" s="4" t="s">
        <v>69</v>
      </c>
      <c r="H1408" s="10">
        <v>143.31</v>
      </c>
      <c r="I1408" s="4" t="s">
        <v>1042</v>
      </c>
    </row>
    <row r="1409" ht="15.75" customHeight="1">
      <c r="A1409" s="4" t="s">
        <v>3892</v>
      </c>
      <c r="B1409" s="13">
        <v>46069.9676967593</v>
      </c>
      <c r="C1409" s="4" t="s">
        <v>3893</v>
      </c>
      <c r="D1409" s="4" t="s">
        <v>1063</v>
      </c>
      <c r="E1409" s="4" t="s">
        <v>1064</v>
      </c>
      <c r="F1409" s="4"/>
      <c r="G1409" s="4" t="s">
        <v>84</v>
      </c>
      <c r="H1409" s="4"/>
      <c r="I1409" s="4" t="s">
        <v>587</v>
      </c>
    </row>
    <row r="1410" ht="15.75" customHeight="1">
      <c r="A1410" s="4" t="s">
        <v>3894</v>
      </c>
      <c r="B1410" s="13">
        <v>46044.509525463</v>
      </c>
      <c r="C1410" s="4" t="s">
        <v>3895</v>
      </c>
      <c r="D1410" s="4" t="s">
        <v>1089</v>
      </c>
      <c r="E1410" s="4" t="s">
        <v>1105</v>
      </c>
      <c r="F1410" s="4" t="s">
        <v>205</v>
      </c>
      <c r="G1410" s="4"/>
      <c r="H1410" s="4"/>
      <c r="I1410" s="4" t="s">
        <v>1031</v>
      </c>
    </row>
    <row r="1411" ht="15.75" customHeight="1">
      <c r="A1411" s="4" t="s">
        <v>3896</v>
      </c>
      <c r="B1411" s="13">
        <v>46086.8845601852</v>
      </c>
      <c r="C1411" s="4" t="s">
        <v>3897</v>
      </c>
      <c r="D1411" s="4" t="s">
        <v>1128</v>
      </c>
      <c r="E1411" s="4" t="s">
        <v>1105</v>
      </c>
      <c r="F1411" s="4" t="s">
        <v>221</v>
      </c>
      <c r="G1411" s="4"/>
      <c r="H1411" s="4"/>
      <c r="I1411" s="4" t="s">
        <v>1031</v>
      </c>
    </row>
    <row r="1412" ht="15.75" customHeight="1">
      <c r="A1412" s="4" t="s">
        <v>3898</v>
      </c>
      <c r="B1412" s="13">
        <v>46110.7164351852</v>
      </c>
      <c r="C1412" s="4" t="s">
        <v>3899</v>
      </c>
      <c r="D1412" s="4" t="s">
        <v>1104</v>
      </c>
      <c r="E1412" s="4" t="s">
        <v>1105</v>
      </c>
      <c r="F1412" s="4" t="s">
        <v>257</v>
      </c>
      <c r="G1412" s="4"/>
      <c r="H1412" s="4"/>
      <c r="I1412" s="4" t="s">
        <v>1031</v>
      </c>
    </row>
    <row r="1413" ht="15.75" customHeight="1">
      <c r="A1413" s="4" t="s">
        <v>3900</v>
      </c>
      <c r="B1413" s="13">
        <v>46117.8846759259</v>
      </c>
      <c r="C1413" s="4" t="s">
        <v>3901</v>
      </c>
      <c r="D1413" s="4" t="s">
        <v>1163</v>
      </c>
      <c r="E1413" s="4" t="s">
        <v>1072</v>
      </c>
      <c r="F1413" s="4"/>
      <c r="G1413" s="4"/>
      <c r="H1413" s="4"/>
      <c r="I1413" s="4" t="s">
        <v>1034</v>
      </c>
    </row>
    <row r="1414" ht="15.75" customHeight="1">
      <c r="A1414" s="4" t="s">
        <v>3902</v>
      </c>
      <c r="B1414" s="13">
        <v>46091.8593981482</v>
      </c>
      <c r="C1414" s="4" t="s">
        <v>3903</v>
      </c>
      <c r="D1414" s="4" t="s">
        <v>1075</v>
      </c>
      <c r="E1414" s="4" t="s">
        <v>1064</v>
      </c>
      <c r="F1414" s="4"/>
      <c r="G1414" s="4"/>
      <c r="H1414" s="4"/>
      <c r="I1414" s="4" t="s">
        <v>1048</v>
      </c>
    </row>
    <row r="1415" ht="15.75" customHeight="1">
      <c r="A1415" s="4" t="s">
        <v>3904</v>
      </c>
      <c r="B1415" s="13">
        <v>46023.3455324074</v>
      </c>
      <c r="C1415" s="4" t="s">
        <v>3905</v>
      </c>
      <c r="D1415" s="4" t="s">
        <v>1110</v>
      </c>
      <c r="E1415" s="4" t="s">
        <v>1064</v>
      </c>
      <c r="F1415" s="4"/>
      <c r="G1415" s="4" t="s">
        <v>126</v>
      </c>
      <c r="H1415" s="10">
        <v>113.13</v>
      </c>
      <c r="I1415" s="4" t="s">
        <v>1052</v>
      </c>
    </row>
    <row r="1416" ht="15.75" customHeight="1">
      <c r="A1416" s="4" t="s">
        <v>3906</v>
      </c>
      <c r="B1416" s="13">
        <v>46130.4502546296</v>
      </c>
      <c r="C1416" s="4" t="s">
        <v>3907</v>
      </c>
      <c r="D1416" s="4" t="s">
        <v>1086</v>
      </c>
      <c r="E1416" s="4" t="s">
        <v>1064</v>
      </c>
      <c r="F1416" s="4"/>
      <c r="G1416" s="4"/>
      <c r="H1416" s="4"/>
      <c r="I1416" s="4" t="s">
        <v>1039</v>
      </c>
    </row>
    <row r="1417" ht="15.75" customHeight="1">
      <c r="A1417" s="4" t="s">
        <v>3908</v>
      </c>
      <c r="B1417" s="13">
        <v>46037.5631828704</v>
      </c>
      <c r="C1417" s="4" t="s">
        <v>3909</v>
      </c>
      <c r="D1417" s="4" t="s">
        <v>1071</v>
      </c>
      <c r="E1417" s="4" t="s">
        <v>1072</v>
      </c>
      <c r="F1417" s="4"/>
      <c r="G1417" s="4"/>
      <c r="H1417" s="4"/>
      <c r="I1417" s="4" t="s">
        <v>1042</v>
      </c>
    </row>
    <row r="1418" ht="15.75" customHeight="1">
      <c r="A1418" s="4" t="s">
        <v>3910</v>
      </c>
      <c r="B1418" s="13">
        <v>46029.8666550926</v>
      </c>
      <c r="C1418" s="4" t="s">
        <v>3911</v>
      </c>
      <c r="D1418" s="4" t="s">
        <v>1078</v>
      </c>
      <c r="E1418" s="4" t="s">
        <v>1064</v>
      </c>
      <c r="F1418" s="4"/>
      <c r="G1418" s="4" t="s">
        <v>69</v>
      </c>
      <c r="H1418" s="10">
        <v>48.91</v>
      </c>
      <c r="I1418" s="4" t="s">
        <v>1048</v>
      </c>
    </row>
    <row r="1419" ht="15.75" customHeight="1">
      <c r="A1419" s="4" t="s">
        <v>3912</v>
      </c>
      <c r="B1419" s="13">
        <v>46058.9635763889</v>
      </c>
      <c r="C1419" s="4" t="s">
        <v>3913</v>
      </c>
      <c r="D1419" s="4" t="s">
        <v>1128</v>
      </c>
      <c r="E1419" s="4" t="s">
        <v>1105</v>
      </c>
      <c r="F1419" s="4" t="s">
        <v>253</v>
      </c>
      <c r="G1419" s="4"/>
      <c r="H1419" s="4"/>
      <c r="I1419" s="4" t="s">
        <v>1035</v>
      </c>
    </row>
    <row r="1420" ht="15.75" customHeight="1">
      <c r="A1420" s="4" t="s">
        <v>3914</v>
      </c>
      <c r="B1420" s="13">
        <v>46106.4131018519</v>
      </c>
      <c r="C1420" s="4" t="s">
        <v>3915</v>
      </c>
      <c r="D1420" s="4" t="s">
        <v>1075</v>
      </c>
      <c r="E1420" s="4" t="s">
        <v>1064</v>
      </c>
      <c r="F1420" s="4"/>
      <c r="G1420" s="4"/>
      <c r="H1420" s="4"/>
      <c r="I1420" s="4" t="s">
        <v>1036</v>
      </c>
    </row>
    <row r="1421" ht="15.75" customHeight="1">
      <c r="A1421" s="4" t="s">
        <v>3916</v>
      </c>
      <c r="B1421" s="13">
        <v>46124.7038888889</v>
      </c>
      <c r="C1421" s="4" t="s">
        <v>3917</v>
      </c>
      <c r="D1421" s="4" t="s">
        <v>1086</v>
      </c>
      <c r="E1421" s="4" t="s">
        <v>1064</v>
      </c>
      <c r="F1421" s="4"/>
      <c r="G1421" s="4"/>
      <c r="H1421" s="4"/>
      <c r="I1421" s="4" t="s">
        <v>1036</v>
      </c>
    </row>
    <row r="1422" ht="15.75" customHeight="1">
      <c r="A1422" s="4" t="s">
        <v>3918</v>
      </c>
      <c r="B1422" s="13">
        <v>46030.7576273148</v>
      </c>
      <c r="C1422" s="4" t="s">
        <v>3919</v>
      </c>
      <c r="D1422" s="4" t="s">
        <v>1071</v>
      </c>
      <c r="E1422" s="4" t="s">
        <v>1072</v>
      </c>
      <c r="F1422" s="4"/>
      <c r="G1422" s="4"/>
      <c r="H1422" s="4"/>
      <c r="I1422" s="4" t="s">
        <v>587</v>
      </c>
    </row>
    <row r="1423" ht="15.75" customHeight="1">
      <c r="A1423" s="4" t="s">
        <v>3920</v>
      </c>
      <c r="B1423" s="13">
        <v>46124.7683101852</v>
      </c>
      <c r="C1423" s="4" t="s">
        <v>3921</v>
      </c>
      <c r="D1423" s="4" t="s">
        <v>1075</v>
      </c>
      <c r="E1423" s="4" t="s">
        <v>1064</v>
      </c>
      <c r="F1423" s="4"/>
      <c r="G1423" s="4"/>
      <c r="H1423" s="4"/>
      <c r="I1423" s="4" t="s">
        <v>1028</v>
      </c>
    </row>
    <row r="1424" ht="15.75" customHeight="1">
      <c r="A1424" s="4" t="s">
        <v>3922</v>
      </c>
      <c r="B1424" s="13">
        <v>46024.8781365741</v>
      </c>
      <c r="C1424" s="4" t="s">
        <v>3923</v>
      </c>
      <c r="D1424" s="4" t="s">
        <v>1104</v>
      </c>
      <c r="E1424" s="4" t="s">
        <v>1090</v>
      </c>
      <c r="F1424" s="4" t="s">
        <v>786</v>
      </c>
      <c r="G1424" s="4"/>
      <c r="H1424" s="4"/>
      <c r="I1424" s="4" t="s">
        <v>587</v>
      </c>
    </row>
    <row r="1425" ht="15.75" customHeight="1">
      <c r="A1425" s="4" t="s">
        <v>3924</v>
      </c>
      <c r="B1425" s="13">
        <v>46044.9332523148</v>
      </c>
      <c r="C1425" s="4" t="s">
        <v>3925</v>
      </c>
      <c r="D1425" s="4" t="s">
        <v>1104</v>
      </c>
      <c r="E1425" s="4" t="s">
        <v>1090</v>
      </c>
      <c r="F1425" s="4" t="s">
        <v>800</v>
      </c>
      <c r="G1425" s="4"/>
      <c r="H1425" s="4"/>
      <c r="I1425" s="4" t="s">
        <v>1030</v>
      </c>
    </row>
    <row r="1426" ht="15.75" customHeight="1">
      <c r="A1426" s="4" t="s">
        <v>3926</v>
      </c>
      <c r="B1426" s="13">
        <v>46099.7350231482</v>
      </c>
      <c r="C1426" s="4" t="s">
        <v>3927</v>
      </c>
      <c r="D1426" s="4" t="s">
        <v>1075</v>
      </c>
      <c r="E1426" s="4" t="s">
        <v>1064</v>
      </c>
      <c r="F1426" s="4"/>
      <c r="G1426" s="4"/>
      <c r="H1426" s="4"/>
      <c r="I1426" s="4" t="s">
        <v>1030</v>
      </c>
    </row>
    <row r="1427" ht="15.75" customHeight="1">
      <c r="A1427" s="4" t="s">
        <v>3928</v>
      </c>
      <c r="B1427" s="13">
        <v>46096.606875</v>
      </c>
      <c r="C1427" s="4" t="s">
        <v>3929</v>
      </c>
      <c r="D1427" s="4" t="s">
        <v>1104</v>
      </c>
      <c r="E1427" s="4" t="s">
        <v>1105</v>
      </c>
      <c r="F1427" s="4" t="s">
        <v>128</v>
      </c>
      <c r="G1427" s="4"/>
      <c r="H1427" s="4"/>
      <c r="I1427" s="4" t="s">
        <v>1039</v>
      </c>
    </row>
    <row r="1428" ht="15.75" customHeight="1">
      <c r="A1428" s="4" t="s">
        <v>3930</v>
      </c>
      <c r="B1428" s="13">
        <v>46037.6124074074</v>
      </c>
      <c r="C1428" s="4" t="s">
        <v>3931</v>
      </c>
      <c r="D1428" s="4" t="s">
        <v>1089</v>
      </c>
      <c r="E1428" s="4" t="s">
        <v>1105</v>
      </c>
      <c r="F1428" s="4" t="s">
        <v>277</v>
      </c>
      <c r="G1428" s="4"/>
      <c r="H1428" s="4"/>
      <c r="I1428" s="4" t="s">
        <v>1039</v>
      </c>
    </row>
    <row r="1429" ht="15.75" customHeight="1">
      <c r="A1429" s="4" t="s">
        <v>3932</v>
      </c>
      <c r="B1429" s="13">
        <v>46037.8436458333</v>
      </c>
      <c r="C1429" s="4" t="s">
        <v>3933</v>
      </c>
      <c r="D1429" s="4" t="s">
        <v>1128</v>
      </c>
      <c r="E1429" s="4" t="s">
        <v>1090</v>
      </c>
      <c r="F1429" s="4" t="s">
        <v>778</v>
      </c>
      <c r="G1429" s="4"/>
      <c r="H1429" s="4"/>
      <c r="I1429" s="4" t="s">
        <v>1046</v>
      </c>
    </row>
    <row r="1430" ht="15.75" customHeight="1">
      <c r="A1430" s="4" t="s">
        <v>3934</v>
      </c>
      <c r="B1430" s="13">
        <v>46090.7622337963</v>
      </c>
      <c r="C1430" s="4" t="s">
        <v>3935</v>
      </c>
      <c r="D1430" s="4" t="s">
        <v>1071</v>
      </c>
      <c r="E1430" s="4" t="s">
        <v>1119</v>
      </c>
      <c r="F1430" s="4"/>
      <c r="G1430" s="4"/>
      <c r="H1430" s="4"/>
      <c r="I1430" s="4" t="s">
        <v>1052</v>
      </c>
    </row>
    <row r="1431" ht="15.75" customHeight="1">
      <c r="A1431" s="4" t="s">
        <v>3936</v>
      </c>
      <c r="B1431" s="13">
        <v>46109.5683101852</v>
      </c>
      <c r="C1431" s="4" t="s">
        <v>3937</v>
      </c>
      <c r="D1431" s="4" t="s">
        <v>1093</v>
      </c>
      <c r="E1431" s="4" t="s">
        <v>1064</v>
      </c>
      <c r="F1431" s="4"/>
      <c r="G1431" s="4"/>
      <c r="H1431" s="4"/>
      <c r="I1431" s="4" t="s">
        <v>1052</v>
      </c>
    </row>
    <row r="1432" ht="15.75" customHeight="1">
      <c r="A1432" s="4" t="s">
        <v>3938</v>
      </c>
      <c r="B1432" s="13">
        <v>46111.9151851852</v>
      </c>
      <c r="C1432" s="4" t="s">
        <v>3939</v>
      </c>
      <c r="D1432" s="4" t="s">
        <v>1063</v>
      </c>
      <c r="E1432" s="4" t="s">
        <v>1064</v>
      </c>
      <c r="F1432" s="4"/>
      <c r="G1432" s="4" t="s">
        <v>190</v>
      </c>
      <c r="H1432" s="4"/>
      <c r="I1432" s="4" t="s">
        <v>427</v>
      </c>
    </row>
    <row r="1433" ht="15.75" customHeight="1">
      <c r="A1433" s="4" t="s">
        <v>3940</v>
      </c>
      <c r="B1433" s="13">
        <v>46131.6987615741</v>
      </c>
      <c r="C1433" s="4" t="s">
        <v>3941</v>
      </c>
      <c r="D1433" s="4" t="s">
        <v>1093</v>
      </c>
      <c r="E1433" s="4" t="s">
        <v>1064</v>
      </c>
      <c r="F1433" s="4"/>
      <c r="G1433" s="4"/>
      <c r="H1433" s="4"/>
      <c r="I1433" s="4" t="s">
        <v>1034</v>
      </c>
    </row>
    <row r="1434" ht="15.75" customHeight="1">
      <c r="A1434" s="4" t="s">
        <v>3942</v>
      </c>
      <c r="B1434" s="13">
        <v>46079.6700578704</v>
      </c>
      <c r="C1434" s="4" t="s">
        <v>3943</v>
      </c>
      <c r="D1434" s="4" t="s">
        <v>1104</v>
      </c>
      <c r="E1434" s="4" t="s">
        <v>1090</v>
      </c>
      <c r="F1434" s="4" t="s">
        <v>827</v>
      </c>
      <c r="G1434" s="4"/>
      <c r="H1434" s="4"/>
      <c r="I1434" s="4" t="s">
        <v>587</v>
      </c>
    </row>
    <row r="1435" ht="15.75" customHeight="1">
      <c r="A1435" s="4" t="s">
        <v>3944</v>
      </c>
      <c r="B1435" s="13">
        <v>46129.9968287037</v>
      </c>
      <c r="C1435" s="4" t="s">
        <v>3945</v>
      </c>
      <c r="D1435" s="4" t="s">
        <v>1078</v>
      </c>
      <c r="E1435" s="4" t="s">
        <v>1064</v>
      </c>
      <c r="F1435" s="4"/>
      <c r="G1435" s="4" t="s">
        <v>112</v>
      </c>
      <c r="H1435" s="10">
        <v>86.12</v>
      </c>
      <c r="I1435" s="4" t="s">
        <v>1042</v>
      </c>
    </row>
    <row r="1436" ht="15.75" customHeight="1">
      <c r="A1436" s="4" t="s">
        <v>3946</v>
      </c>
      <c r="B1436" s="13">
        <v>46112.8434722222</v>
      </c>
      <c r="C1436" s="4" t="s">
        <v>3947</v>
      </c>
      <c r="D1436" s="4" t="s">
        <v>1104</v>
      </c>
      <c r="E1436" s="4" t="s">
        <v>1090</v>
      </c>
      <c r="F1436" s="4" t="s">
        <v>821</v>
      </c>
      <c r="G1436" s="4"/>
      <c r="H1436" s="4"/>
      <c r="I1436" s="4" t="s">
        <v>1035</v>
      </c>
    </row>
    <row r="1437" ht="15.75" customHeight="1">
      <c r="A1437" s="4" t="s">
        <v>3948</v>
      </c>
      <c r="B1437" s="13">
        <v>46055.7597916667</v>
      </c>
      <c r="C1437" s="4" t="s">
        <v>3949</v>
      </c>
      <c r="D1437" s="4" t="s">
        <v>1163</v>
      </c>
      <c r="E1437" s="4" t="s">
        <v>1072</v>
      </c>
      <c r="F1437" s="4"/>
      <c r="G1437" s="4"/>
      <c r="H1437" s="4"/>
      <c r="I1437" s="4" t="s">
        <v>1035</v>
      </c>
    </row>
    <row r="1438" ht="15.75" customHeight="1">
      <c r="A1438" s="4" t="s">
        <v>3950</v>
      </c>
      <c r="B1438" s="13">
        <v>46099.8567361111</v>
      </c>
      <c r="C1438" s="4" t="s">
        <v>3951</v>
      </c>
      <c r="D1438" s="4" t="s">
        <v>1093</v>
      </c>
      <c r="E1438" s="4" t="s">
        <v>1064</v>
      </c>
      <c r="F1438" s="4"/>
      <c r="G1438" s="4"/>
      <c r="H1438" s="4"/>
      <c r="I1438" s="4" t="s">
        <v>1031</v>
      </c>
    </row>
    <row r="1439" ht="15.75" customHeight="1">
      <c r="A1439" s="4" t="s">
        <v>3952</v>
      </c>
      <c r="B1439" s="13">
        <v>46107.7249537037</v>
      </c>
      <c r="C1439" s="4" t="s">
        <v>3953</v>
      </c>
      <c r="D1439" s="4" t="s">
        <v>1086</v>
      </c>
      <c r="E1439" s="4" t="s">
        <v>1064</v>
      </c>
      <c r="F1439" s="4"/>
      <c r="G1439" s="4"/>
      <c r="H1439" s="4"/>
      <c r="I1439" s="4" t="s">
        <v>1050</v>
      </c>
    </row>
    <row r="1440" ht="15.75" customHeight="1">
      <c r="A1440" s="4" t="s">
        <v>3954</v>
      </c>
      <c r="B1440" s="13">
        <v>46027.5722916667</v>
      </c>
      <c r="C1440" s="4" t="s">
        <v>3955</v>
      </c>
      <c r="D1440" s="4" t="s">
        <v>1086</v>
      </c>
      <c r="E1440" s="4" t="s">
        <v>1064</v>
      </c>
      <c r="F1440" s="4"/>
      <c r="G1440" s="4"/>
      <c r="H1440" s="4"/>
      <c r="I1440" s="4" t="s">
        <v>1028</v>
      </c>
    </row>
    <row r="1441" ht="15.75" customHeight="1">
      <c r="A1441" s="4" t="s">
        <v>3956</v>
      </c>
      <c r="B1441" s="13">
        <v>46076.8556018519</v>
      </c>
      <c r="C1441" s="4" t="s">
        <v>3957</v>
      </c>
      <c r="D1441" s="4" t="s">
        <v>1104</v>
      </c>
      <c r="E1441" s="4" t="s">
        <v>1105</v>
      </c>
      <c r="F1441" s="4" t="s">
        <v>214</v>
      </c>
      <c r="G1441" s="4"/>
      <c r="H1441" s="4"/>
      <c r="I1441" s="4" t="s">
        <v>1046</v>
      </c>
    </row>
    <row r="1442" ht="15.75" customHeight="1">
      <c r="A1442" s="4" t="s">
        <v>3958</v>
      </c>
      <c r="B1442" s="13">
        <v>46084.5052083333</v>
      </c>
      <c r="C1442" s="4" t="s">
        <v>3959</v>
      </c>
      <c r="D1442" s="4" t="s">
        <v>1089</v>
      </c>
      <c r="E1442" s="4" t="s">
        <v>1090</v>
      </c>
      <c r="F1442" s="4" t="s">
        <v>792</v>
      </c>
      <c r="G1442" s="4"/>
      <c r="H1442" s="4"/>
      <c r="I1442" s="4" t="s">
        <v>427</v>
      </c>
    </row>
    <row r="1443" ht="15.75" customHeight="1">
      <c r="A1443" s="4" t="s">
        <v>3960</v>
      </c>
      <c r="B1443" s="13">
        <v>46044.5749305556</v>
      </c>
      <c r="C1443" s="4" t="s">
        <v>3961</v>
      </c>
      <c r="D1443" s="4" t="s">
        <v>1081</v>
      </c>
      <c r="E1443" s="4" t="s">
        <v>1064</v>
      </c>
      <c r="F1443" s="4"/>
      <c r="G1443" s="4"/>
      <c r="H1443" s="4"/>
      <c r="I1443" s="4" t="s">
        <v>1035</v>
      </c>
    </row>
    <row r="1444" ht="15.75" customHeight="1">
      <c r="A1444" s="4" t="s">
        <v>3962</v>
      </c>
      <c r="B1444" s="13">
        <v>46052.3935532407</v>
      </c>
      <c r="C1444" s="4" t="s">
        <v>3963</v>
      </c>
      <c r="D1444" s="4" t="s">
        <v>1086</v>
      </c>
      <c r="E1444" s="4" t="s">
        <v>1064</v>
      </c>
      <c r="F1444" s="4"/>
      <c r="G1444" s="4"/>
      <c r="H1444" s="4"/>
      <c r="I1444" s="4" t="s">
        <v>1034</v>
      </c>
    </row>
    <row r="1445" ht="15.75" customHeight="1">
      <c r="A1445" s="4" t="s">
        <v>3964</v>
      </c>
      <c r="B1445" s="13">
        <v>46024.4983101852</v>
      </c>
      <c r="C1445" s="4" t="s">
        <v>3965</v>
      </c>
      <c r="D1445" s="4" t="s">
        <v>1078</v>
      </c>
      <c r="E1445" s="4" t="s">
        <v>1064</v>
      </c>
      <c r="F1445" s="4"/>
      <c r="G1445" s="4" t="s">
        <v>84</v>
      </c>
      <c r="H1445" s="10">
        <v>142.2</v>
      </c>
      <c r="I1445" s="4" t="s">
        <v>1048</v>
      </c>
    </row>
    <row r="1446" ht="15.75" customHeight="1">
      <c r="A1446" s="4" t="s">
        <v>3966</v>
      </c>
      <c r="B1446" s="13">
        <v>46042.340787037</v>
      </c>
      <c r="C1446" s="4" t="s">
        <v>3967</v>
      </c>
      <c r="D1446" s="4" t="s">
        <v>1078</v>
      </c>
      <c r="E1446" s="4" t="s">
        <v>1064</v>
      </c>
      <c r="F1446" s="4"/>
      <c r="G1446" s="4" t="s">
        <v>84</v>
      </c>
      <c r="H1446" s="10">
        <v>91.4</v>
      </c>
      <c r="I1446" s="4" t="s">
        <v>1034</v>
      </c>
    </row>
    <row r="1447" ht="15.75" customHeight="1">
      <c r="A1447" s="4" t="s">
        <v>3968</v>
      </c>
      <c r="B1447" s="13">
        <v>46034.4880439815</v>
      </c>
      <c r="C1447" s="4" t="s">
        <v>3969</v>
      </c>
      <c r="D1447" s="4" t="s">
        <v>1086</v>
      </c>
      <c r="E1447" s="4" t="s">
        <v>1064</v>
      </c>
      <c r="F1447" s="4"/>
      <c r="G1447" s="4"/>
      <c r="H1447" s="4"/>
      <c r="I1447" s="4" t="s">
        <v>1031</v>
      </c>
    </row>
    <row r="1448" ht="15.75" customHeight="1">
      <c r="A1448" s="4" t="s">
        <v>3970</v>
      </c>
      <c r="B1448" s="13">
        <v>46024.7127199074</v>
      </c>
      <c r="C1448" s="4" t="s">
        <v>3971</v>
      </c>
      <c r="D1448" s="4" t="s">
        <v>1078</v>
      </c>
      <c r="E1448" s="4" t="s">
        <v>1064</v>
      </c>
      <c r="F1448" s="4"/>
      <c r="G1448" s="4" t="s">
        <v>227</v>
      </c>
      <c r="H1448" s="10">
        <v>163.77</v>
      </c>
      <c r="I1448" s="4" t="s">
        <v>1046</v>
      </c>
    </row>
    <row r="1449" ht="15.75" customHeight="1">
      <c r="A1449" s="4" t="s">
        <v>3972</v>
      </c>
      <c r="B1449" s="13">
        <v>46063.7456018519</v>
      </c>
      <c r="C1449" s="4" t="s">
        <v>3973</v>
      </c>
      <c r="D1449" s="4" t="s">
        <v>1089</v>
      </c>
      <c r="E1449" s="4" t="s">
        <v>1090</v>
      </c>
      <c r="F1449" s="4" t="s">
        <v>813</v>
      </c>
      <c r="G1449" s="4"/>
      <c r="H1449" s="4"/>
      <c r="I1449" s="4" t="s">
        <v>1042</v>
      </c>
    </row>
    <row r="1450" ht="15.75" customHeight="1">
      <c r="A1450" s="4" t="s">
        <v>3974</v>
      </c>
      <c r="B1450" s="13">
        <v>46128.5589699074</v>
      </c>
      <c r="C1450" s="4" t="s">
        <v>3975</v>
      </c>
      <c r="D1450" s="4" t="s">
        <v>1163</v>
      </c>
      <c r="E1450" s="4" t="s">
        <v>1072</v>
      </c>
      <c r="F1450" s="4"/>
      <c r="G1450" s="4"/>
      <c r="H1450" s="4"/>
      <c r="I1450" s="4" t="s">
        <v>1034</v>
      </c>
    </row>
    <row r="1451" ht="15.75" customHeight="1">
      <c r="A1451" s="4" t="s">
        <v>3976</v>
      </c>
      <c r="B1451" s="13">
        <v>46057.5747222222</v>
      </c>
      <c r="C1451" s="4" t="s">
        <v>3977</v>
      </c>
      <c r="D1451" s="4" t="s">
        <v>1071</v>
      </c>
      <c r="E1451" s="4" t="s">
        <v>1072</v>
      </c>
      <c r="F1451" s="4"/>
      <c r="G1451" s="4"/>
      <c r="H1451" s="4"/>
      <c r="I1451" s="4" t="s">
        <v>1031</v>
      </c>
    </row>
    <row r="1452" ht="15.75" customHeight="1">
      <c r="A1452" s="4" t="s">
        <v>3978</v>
      </c>
      <c r="B1452" s="13">
        <v>46071.9011805556</v>
      </c>
      <c r="C1452" s="4" t="s">
        <v>3979</v>
      </c>
      <c r="D1452" s="4" t="s">
        <v>1086</v>
      </c>
      <c r="E1452" s="4" t="s">
        <v>1064</v>
      </c>
      <c r="F1452" s="4"/>
      <c r="G1452" s="4"/>
      <c r="H1452" s="4"/>
      <c r="I1452" s="4" t="s">
        <v>1034</v>
      </c>
    </row>
    <row r="1453" ht="15.75" customHeight="1">
      <c r="A1453" s="4" t="s">
        <v>3980</v>
      </c>
      <c r="B1453" s="13">
        <v>46052.8372222222</v>
      </c>
      <c r="C1453" s="4" t="s">
        <v>3981</v>
      </c>
      <c r="D1453" s="4" t="s">
        <v>1110</v>
      </c>
      <c r="E1453" s="4" t="s">
        <v>1064</v>
      </c>
      <c r="F1453" s="4"/>
      <c r="G1453" s="4" t="s">
        <v>112</v>
      </c>
      <c r="H1453" s="10">
        <v>157.07</v>
      </c>
      <c r="I1453" s="4" t="s">
        <v>1042</v>
      </c>
    </row>
    <row r="1454" ht="15.75" customHeight="1">
      <c r="A1454" s="4" t="s">
        <v>3982</v>
      </c>
      <c r="B1454" s="13">
        <v>46124.6603009259</v>
      </c>
      <c r="C1454" s="4" t="s">
        <v>3983</v>
      </c>
      <c r="D1454" s="4" t="s">
        <v>1071</v>
      </c>
      <c r="E1454" s="4" t="s">
        <v>1119</v>
      </c>
      <c r="F1454" s="4"/>
      <c r="G1454" s="4"/>
      <c r="H1454" s="4"/>
      <c r="I1454" s="4" t="s">
        <v>1050</v>
      </c>
    </row>
    <row r="1455" ht="15.75" customHeight="1">
      <c r="A1455" s="4" t="s">
        <v>3984</v>
      </c>
      <c r="B1455" s="13">
        <v>46071.9049884259</v>
      </c>
      <c r="C1455" s="4" t="s">
        <v>3985</v>
      </c>
      <c r="D1455" s="4" t="s">
        <v>1089</v>
      </c>
      <c r="E1455" s="4" t="s">
        <v>1105</v>
      </c>
      <c r="F1455" s="4" t="s">
        <v>174</v>
      </c>
      <c r="G1455" s="4"/>
      <c r="H1455" s="4"/>
      <c r="I1455" s="4" t="s">
        <v>1028</v>
      </c>
    </row>
    <row r="1456" ht="15.75" customHeight="1">
      <c r="A1456" s="4" t="s">
        <v>3986</v>
      </c>
      <c r="B1456" s="13">
        <v>46091.6356018519</v>
      </c>
      <c r="C1456" s="4" t="s">
        <v>3987</v>
      </c>
      <c r="D1456" s="4" t="s">
        <v>1163</v>
      </c>
      <c r="E1456" s="4" t="s">
        <v>1119</v>
      </c>
      <c r="F1456" s="4"/>
      <c r="G1456" s="4"/>
      <c r="H1456" s="4"/>
      <c r="I1456" s="4" t="s">
        <v>1031</v>
      </c>
    </row>
    <row r="1457" ht="15.75" customHeight="1">
      <c r="A1457" s="4" t="s">
        <v>3988</v>
      </c>
      <c r="B1457" s="13">
        <v>46055.3975347222</v>
      </c>
      <c r="C1457" s="4" t="s">
        <v>3989</v>
      </c>
      <c r="D1457" s="4" t="s">
        <v>1071</v>
      </c>
      <c r="E1457" s="4" t="s">
        <v>1119</v>
      </c>
      <c r="F1457" s="4"/>
      <c r="G1457" s="4"/>
      <c r="H1457" s="4"/>
      <c r="I1457" s="4" t="s">
        <v>427</v>
      </c>
    </row>
    <row r="1458" ht="15.75" customHeight="1">
      <c r="A1458" s="4" t="s">
        <v>3990</v>
      </c>
      <c r="B1458" s="13">
        <v>46102.5245486111</v>
      </c>
      <c r="C1458" s="4" t="s">
        <v>3991</v>
      </c>
      <c r="D1458" s="4" t="s">
        <v>1075</v>
      </c>
      <c r="E1458" s="4" t="s">
        <v>1064</v>
      </c>
      <c r="F1458" s="4"/>
      <c r="G1458" s="4"/>
      <c r="H1458" s="4"/>
      <c r="I1458" s="4" t="s">
        <v>1034</v>
      </c>
    </row>
    <row r="1459" ht="15.75" customHeight="1">
      <c r="A1459" s="4" t="s">
        <v>3992</v>
      </c>
      <c r="B1459" s="13">
        <v>46096.7991666667</v>
      </c>
      <c r="C1459" s="4" t="s">
        <v>3993</v>
      </c>
      <c r="D1459" s="4" t="s">
        <v>1089</v>
      </c>
      <c r="E1459" s="4" t="s">
        <v>1090</v>
      </c>
      <c r="F1459" s="4" t="s">
        <v>831</v>
      </c>
      <c r="G1459" s="4"/>
      <c r="H1459" s="4"/>
      <c r="I1459" s="4" t="s">
        <v>1046</v>
      </c>
    </row>
    <row r="1460" ht="15.75" customHeight="1">
      <c r="A1460" s="4" t="s">
        <v>3994</v>
      </c>
      <c r="B1460" s="13">
        <v>46024.6503125</v>
      </c>
      <c r="C1460" s="4" t="s">
        <v>3995</v>
      </c>
      <c r="D1460" s="4" t="s">
        <v>1081</v>
      </c>
      <c r="E1460" s="4" t="s">
        <v>1064</v>
      </c>
      <c r="F1460" s="4"/>
      <c r="G1460" s="4"/>
      <c r="H1460" s="4"/>
      <c r="I1460" s="4" t="s">
        <v>1034</v>
      </c>
    </row>
    <row r="1461" ht="15.75" customHeight="1">
      <c r="A1461" s="4" t="s">
        <v>3996</v>
      </c>
      <c r="B1461" s="13">
        <v>46035.9759375</v>
      </c>
      <c r="C1461" s="4" t="s">
        <v>3997</v>
      </c>
      <c r="D1461" s="4" t="s">
        <v>1071</v>
      </c>
      <c r="E1461" s="4" t="s">
        <v>1119</v>
      </c>
      <c r="F1461" s="4"/>
      <c r="G1461" s="4"/>
      <c r="H1461" s="4"/>
      <c r="I1461" s="4" t="s">
        <v>1052</v>
      </c>
    </row>
    <row r="1462" ht="15.75" customHeight="1">
      <c r="A1462" s="4" t="s">
        <v>3998</v>
      </c>
      <c r="B1462" s="13">
        <v>46027.7618981482</v>
      </c>
      <c r="C1462" s="4" t="s">
        <v>3999</v>
      </c>
      <c r="D1462" s="4" t="s">
        <v>1089</v>
      </c>
      <c r="E1462" s="4" t="s">
        <v>1090</v>
      </c>
      <c r="F1462" s="4" t="s">
        <v>792</v>
      </c>
      <c r="G1462" s="4"/>
      <c r="H1462" s="4"/>
      <c r="I1462" s="4" t="s">
        <v>1039</v>
      </c>
    </row>
    <row r="1463" ht="15.75" customHeight="1">
      <c r="A1463" s="4" t="s">
        <v>4000</v>
      </c>
      <c r="B1463" s="13">
        <v>46101.8627777778</v>
      </c>
      <c r="C1463" s="4" t="s">
        <v>4001</v>
      </c>
      <c r="D1463" s="4" t="s">
        <v>1086</v>
      </c>
      <c r="E1463" s="4" t="s">
        <v>1064</v>
      </c>
      <c r="F1463" s="4"/>
      <c r="G1463" s="4"/>
      <c r="H1463" s="4"/>
      <c r="I1463" s="4" t="s">
        <v>1048</v>
      </c>
    </row>
    <row r="1464" ht="15.75" customHeight="1">
      <c r="A1464" s="4" t="s">
        <v>4002</v>
      </c>
      <c r="B1464" s="13">
        <v>46097.6868171296</v>
      </c>
      <c r="C1464" s="4" t="s">
        <v>4003</v>
      </c>
      <c r="D1464" s="4" t="s">
        <v>1071</v>
      </c>
      <c r="E1464" s="4" t="s">
        <v>1119</v>
      </c>
      <c r="F1464" s="4"/>
      <c r="G1464" s="4"/>
      <c r="H1464" s="4"/>
      <c r="I1464" s="4" t="s">
        <v>1042</v>
      </c>
    </row>
    <row r="1465" ht="15.75" customHeight="1">
      <c r="A1465" s="4" t="s">
        <v>4004</v>
      </c>
      <c r="B1465" s="13">
        <v>46097.3790972222</v>
      </c>
      <c r="C1465" s="4" t="s">
        <v>4005</v>
      </c>
      <c r="D1465" s="4" t="s">
        <v>1075</v>
      </c>
      <c r="E1465" s="4" t="s">
        <v>1064</v>
      </c>
      <c r="F1465" s="4"/>
      <c r="G1465" s="4"/>
      <c r="H1465" s="4"/>
      <c r="I1465" s="4" t="s">
        <v>1042</v>
      </c>
    </row>
    <row r="1466" ht="15.75" customHeight="1">
      <c r="A1466" s="4" t="s">
        <v>4006</v>
      </c>
      <c r="B1466" s="13">
        <v>46125.7019097222</v>
      </c>
      <c r="C1466" s="4" t="s">
        <v>4007</v>
      </c>
      <c r="D1466" s="4" t="s">
        <v>1110</v>
      </c>
      <c r="E1466" s="4" t="s">
        <v>1064</v>
      </c>
      <c r="F1466" s="4"/>
      <c r="G1466" s="4" t="s">
        <v>195</v>
      </c>
      <c r="H1466" s="10">
        <v>116.79</v>
      </c>
      <c r="I1466" s="4" t="s">
        <v>1039</v>
      </c>
    </row>
    <row r="1467" ht="15.75" customHeight="1">
      <c r="A1467" s="4" t="s">
        <v>4008</v>
      </c>
      <c r="B1467" s="13">
        <v>46023.7531712963</v>
      </c>
      <c r="C1467" s="4" t="s">
        <v>4009</v>
      </c>
      <c r="D1467" s="4" t="s">
        <v>1063</v>
      </c>
      <c r="E1467" s="4" t="s">
        <v>1064</v>
      </c>
      <c r="F1467" s="4"/>
      <c r="G1467" s="4" t="s">
        <v>190</v>
      </c>
      <c r="H1467" s="4"/>
      <c r="I1467" s="4" t="s">
        <v>1031</v>
      </c>
    </row>
    <row r="1468" ht="15.75" customHeight="1">
      <c r="A1468" s="4" t="s">
        <v>4010</v>
      </c>
      <c r="B1468" s="13">
        <v>46107.7198611111</v>
      </c>
      <c r="C1468" s="4" t="s">
        <v>4011</v>
      </c>
      <c r="D1468" s="4" t="s">
        <v>1093</v>
      </c>
      <c r="E1468" s="4" t="s">
        <v>1064</v>
      </c>
      <c r="F1468" s="4"/>
      <c r="G1468" s="4"/>
      <c r="H1468" s="4"/>
      <c r="I1468" s="4" t="s">
        <v>1034</v>
      </c>
    </row>
    <row r="1469" ht="15.75" customHeight="1">
      <c r="A1469" s="4" t="s">
        <v>4012</v>
      </c>
      <c r="B1469" s="13">
        <v>46104.9003819445</v>
      </c>
      <c r="C1469" s="4" t="s">
        <v>4013</v>
      </c>
      <c r="D1469" s="4" t="s">
        <v>1071</v>
      </c>
      <c r="E1469" s="4" t="s">
        <v>1119</v>
      </c>
      <c r="F1469" s="4"/>
      <c r="G1469" s="4"/>
      <c r="H1469" s="4"/>
      <c r="I1469" s="4" t="s">
        <v>1042</v>
      </c>
    </row>
    <row r="1470" ht="15.75" customHeight="1">
      <c r="A1470" s="4" t="s">
        <v>4014</v>
      </c>
      <c r="B1470" s="13">
        <v>46065.8936805556</v>
      </c>
      <c r="C1470" s="4" t="s">
        <v>4015</v>
      </c>
      <c r="D1470" s="4" t="s">
        <v>1081</v>
      </c>
      <c r="E1470" s="4" t="s">
        <v>1064</v>
      </c>
      <c r="F1470" s="4"/>
      <c r="G1470" s="4"/>
      <c r="H1470" s="4"/>
      <c r="I1470" s="4" t="s">
        <v>1042</v>
      </c>
    </row>
    <row r="1471" ht="15.75" customHeight="1">
      <c r="A1471" s="4" t="s">
        <v>4016</v>
      </c>
      <c r="B1471" s="13">
        <v>46128.7063773148</v>
      </c>
      <c r="C1471" s="4" t="s">
        <v>4017</v>
      </c>
      <c r="D1471" s="4" t="s">
        <v>1128</v>
      </c>
      <c r="E1471" s="4" t="s">
        <v>1090</v>
      </c>
      <c r="F1471" s="4" t="s">
        <v>811</v>
      </c>
      <c r="G1471" s="4"/>
      <c r="H1471" s="4"/>
      <c r="I1471" s="4" t="s">
        <v>427</v>
      </c>
    </row>
    <row r="1472" ht="15.75" customHeight="1">
      <c r="A1472" s="4" t="s">
        <v>4018</v>
      </c>
      <c r="B1472" s="13">
        <v>46125.9217476852</v>
      </c>
      <c r="C1472" s="4" t="s">
        <v>4019</v>
      </c>
      <c r="D1472" s="4" t="s">
        <v>1063</v>
      </c>
      <c r="E1472" s="4" t="s">
        <v>1064</v>
      </c>
      <c r="F1472" s="4"/>
      <c r="G1472" s="4" t="s">
        <v>126</v>
      </c>
      <c r="H1472" s="4"/>
      <c r="I1472" s="4" t="s">
        <v>1048</v>
      </c>
    </row>
    <row r="1473" ht="15.75" customHeight="1">
      <c r="A1473" s="4" t="s">
        <v>4020</v>
      </c>
      <c r="B1473" s="13">
        <v>46113.9776273148</v>
      </c>
      <c r="C1473" s="4" t="s">
        <v>4021</v>
      </c>
      <c r="D1473" s="4" t="s">
        <v>1063</v>
      </c>
      <c r="E1473" s="4" t="s">
        <v>1064</v>
      </c>
      <c r="F1473" s="4"/>
      <c r="G1473" s="4" t="s">
        <v>227</v>
      </c>
      <c r="H1473" s="4"/>
      <c r="I1473" s="4" t="s">
        <v>1028</v>
      </c>
    </row>
    <row r="1474" ht="15.75" customHeight="1">
      <c r="A1474" s="4" t="s">
        <v>4022</v>
      </c>
      <c r="B1474" s="13">
        <v>46120.6483912037</v>
      </c>
      <c r="C1474" s="4" t="s">
        <v>4023</v>
      </c>
      <c r="D1474" s="4" t="s">
        <v>1075</v>
      </c>
      <c r="E1474" s="4" t="s">
        <v>1064</v>
      </c>
      <c r="F1474" s="4"/>
      <c r="G1474" s="4"/>
      <c r="H1474" s="4"/>
      <c r="I1474" s="4" t="s">
        <v>587</v>
      </c>
    </row>
    <row r="1475" ht="15.75" customHeight="1">
      <c r="A1475" s="4" t="s">
        <v>4024</v>
      </c>
      <c r="B1475" s="13">
        <v>46029.8418981481</v>
      </c>
      <c r="C1475" s="4" t="s">
        <v>4025</v>
      </c>
      <c r="D1475" s="4" t="s">
        <v>1163</v>
      </c>
      <c r="E1475" s="4" t="s">
        <v>1119</v>
      </c>
      <c r="F1475" s="4"/>
      <c r="G1475" s="4"/>
      <c r="H1475" s="4"/>
      <c r="I1475" s="4" t="s">
        <v>1042</v>
      </c>
    </row>
    <row r="1476" ht="15.75" customHeight="1">
      <c r="A1476" s="4" t="s">
        <v>4026</v>
      </c>
      <c r="B1476" s="13">
        <v>46131.519849537</v>
      </c>
      <c r="C1476" s="4" t="s">
        <v>4027</v>
      </c>
      <c r="D1476" s="4" t="s">
        <v>1104</v>
      </c>
      <c r="E1476" s="4" t="s">
        <v>1090</v>
      </c>
      <c r="F1476" s="4" t="s">
        <v>813</v>
      </c>
      <c r="G1476" s="4"/>
      <c r="H1476" s="4"/>
      <c r="I1476" s="4" t="s">
        <v>1028</v>
      </c>
    </row>
    <row r="1477" ht="15.75" customHeight="1">
      <c r="A1477" s="4" t="s">
        <v>4028</v>
      </c>
      <c r="B1477" s="13">
        <v>46023.7374768519</v>
      </c>
      <c r="C1477" s="4" t="s">
        <v>4029</v>
      </c>
      <c r="D1477" s="4" t="s">
        <v>1110</v>
      </c>
      <c r="E1477" s="4" t="s">
        <v>1064</v>
      </c>
      <c r="F1477" s="4"/>
      <c r="G1477" s="4" t="s">
        <v>69</v>
      </c>
      <c r="H1477" s="10">
        <v>102.26</v>
      </c>
      <c r="I1477" s="4" t="s">
        <v>1031</v>
      </c>
    </row>
    <row r="1478" ht="15.75" customHeight="1">
      <c r="A1478" s="4" t="s">
        <v>4030</v>
      </c>
      <c r="B1478" s="13">
        <v>46029.6002314815</v>
      </c>
      <c r="C1478" s="4" t="s">
        <v>4031</v>
      </c>
      <c r="D1478" s="4" t="s">
        <v>1093</v>
      </c>
      <c r="E1478" s="4" t="s">
        <v>1064</v>
      </c>
      <c r="F1478" s="4"/>
      <c r="G1478" s="4"/>
      <c r="H1478" s="4"/>
      <c r="I1478" s="4" t="s">
        <v>1031</v>
      </c>
    </row>
    <row r="1479" ht="15.75" customHeight="1">
      <c r="A1479" s="4" t="s">
        <v>4032</v>
      </c>
      <c r="B1479" s="13">
        <v>46055.7384027778</v>
      </c>
      <c r="C1479" s="4" t="s">
        <v>4033</v>
      </c>
      <c r="D1479" s="4" t="s">
        <v>1110</v>
      </c>
      <c r="E1479" s="4" t="s">
        <v>1064</v>
      </c>
      <c r="F1479" s="4"/>
      <c r="G1479" s="4" t="s">
        <v>77</v>
      </c>
      <c r="H1479" s="10">
        <v>186.41</v>
      </c>
      <c r="I1479" s="4" t="s">
        <v>1039</v>
      </c>
    </row>
    <row r="1480" ht="15.75" customHeight="1">
      <c r="A1480" s="4" t="s">
        <v>4034</v>
      </c>
      <c r="B1480" s="13">
        <v>46052.4819907407</v>
      </c>
      <c r="C1480" s="4" t="s">
        <v>4035</v>
      </c>
      <c r="D1480" s="4" t="s">
        <v>1110</v>
      </c>
      <c r="E1480" s="4" t="s">
        <v>1064</v>
      </c>
      <c r="F1480" s="4"/>
      <c r="G1480" s="4" t="s">
        <v>61</v>
      </c>
      <c r="H1480" s="10">
        <v>46.82</v>
      </c>
      <c r="I1480" s="4" t="s">
        <v>1039</v>
      </c>
    </row>
    <row r="1481" ht="15.75" customHeight="1">
      <c r="A1481" s="4" t="s">
        <v>4036</v>
      </c>
      <c r="B1481" s="13">
        <v>46029.9557175926</v>
      </c>
      <c r="C1481" s="4" t="s">
        <v>4037</v>
      </c>
      <c r="D1481" s="4" t="s">
        <v>1086</v>
      </c>
      <c r="E1481" s="4" t="s">
        <v>1064</v>
      </c>
      <c r="F1481" s="4"/>
      <c r="G1481" s="4"/>
      <c r="H1481" s="4"/>
      <c r="I1481" s="4" t="s">
        <v>1046</v>
      </c>
    </row>
    <row r="1482" ht="15.75" customHeight="1">
      <c r="A1482" s="4" t="s">
        <v>4038</v>
      </c>
      <c r="B1482" s="13">
        <v>46077.5718287037</v>
      </c>
      <c r="C1482" s="4" t="s">
        <v>4039</v>
      </c>
      <c r="D1482" s="4" t="s">
        <v>1093</v>
      </c>
      <c r="E1482" s="4" t="s">
        <v>1064</v>
      </c>
      <c r="F1482" s="4"/>
      <c r="G1482" s="4"/>
      <c r="H1482" s="4"/>
      <c r="I1482" s="4" t="s">
        <v>1048</v>
      </c>
    </row>
    <row r="1483" ht="15.75" customHeight="1">
      <c r="A1483" s="4" t="s">
        <v>4040</v>
      </c>
      <c r="B1483" s="13">
        <v>46112.3976736111</v>
      </c>
      <c r="C1483" s="4" t="s">
        <v>4041</v>
      </c>
      <c r="D1483" s="4" t="s">
        <v>1063</v>
      </c>
      <c r="E1483" s="4" t="s">
        <v>1064</v>
      </c>
      <c r="F1483" s="4"/>
      <c r="G1483" s="4" t="s">
        <v>137</v>
      </c>
      <c r="H1483" s="4"/>
      <c r="I1483" s="4" t="s">
        <v>1035</v>
      </c>
    </row>
    <row r="1484" ht="15.75" customHeight="1">
      <c r="A1484" s="4" t="s">
        <v>4042</v>
      </c>
      <c r="B1484" s="13">
        <v>46101.6967361111</v>
      </c>
      <c r="C1484" s="4" t="s">
        <v>4043</v>
      </c>
      <c r="D1484" s="4" t="s">
        <v>1063</v>
      </c>
      <c r="E1484" s="4" t="s">
        <v>1064</v>
      </c>
      <c r="F1484" s="4"/>
      <c r="G1484" s="4" t="s">
        <v>93</v>
      </c>
      <c r="H1484" s="4"/>
      <c r="I1484" s="4" t="s">
        <v>427</v>
      </c>
    </row>
    <row r="1485" ht="15.75" customHeight="1">
      <c r="A1485" s="4" t="s">
        <v>4044</v>
      </c>
      <c r="B1485" s="13">
        <v>46068.6033217593</v>
      </c>
      <c r="C1485" s="4" t="s">
        <v>4045</v>
      </c>
      <c r="D1485" s="4" t="s">
        <v>1071</v>
      </c>
      <c r="E1485" s="4" t="s">
        <v>1119</v>
      </c>
      <c r="F1485" s="4"/>
      <c r="G1485" s="4"/>
      <c r="H1485" s="4"/>
      <c r="I1485" s="4" t="s">
        <v>1046</v>
      </c>
    </row>
    <row r="1486" ht="15.75" customHeight="1">
      <c r="A1486" s="4" t="s">
        <v>4046</v>
      </c>
      <c r="B1486" s="13">
        <v>46082.8996527778</v>
      </c>
      <c r="C1486" s="4" t="s">
        <v>4047</v>
      </c>
      <c r="D1486" s="4" t="s">
        <v>1075</v>
      </c>
      <c r="E1486" s="4" t="s">
        <v>1064</v>
      </c>
      <c r="F1486" s="4"/>
      <c r="G1486" s="4"/>
      <c r="H1486" s="4"/>
      <c r="I1486" s="4" t="s">
        <v>587</v>
      </c>
    </row>
    <row r="1487" ht="15.75" customHeight="1">
      <c r="A1487" s="4" t="s">
        <v>4048</v>
      </c>
      <c r="B1487" s="13">
        <v>46076.9320023148</v>
      </c>
      <c r="C1487" s="4" t="s">
        <v>4049</v>
      </c>
      <c r="D1487" s="4" t="s">
        <v>1093</v>
      </c>
      <c r="E1487" s="4" t="s">
        <v>1064</v>
      </c>
      <c r="F1487" s="4"/>
      <c r="G1487" s="4"/>
      <c r="H1487" s="4"/>
      <c r="I1487" s="4" t="s">
        <v>1050</v>
      </c>
    </row>
    <row r="1488" ht="15.75" customHeight="1">
      <c r="A1488" s="4" t="s">
        <v>4050</v>
      </c>
      <c r="B1488" s="13">
        <v>46032.7836805556</v>
      </c>
      <c r="C1488" s="4" t="s">
        <v>4051</v>
      </c>
      <c r="D1488" s="4" t="s">
        <v>1104</v>
      </c>
      <c r="E1488" s="4" t="s">
        <v>1105</v>
      </c>
      <c r="F1488" s="4" t="s">
        <v>71</v>
      </c>
      <c r="G1488" s="4"/>
      <c r="H1488" s="4"/>
      <c r="I1488" s="4" t="s">
        <v>1028</v>
      </c>
    </row>
    <row r="1489" ht="15.75" customHeight="1">
      <c r="A1489" s="4" t="s">
        <v>4052</v>
      </c>
      <c r="B1489" s="13">
        <v>46028.6993287037</v>
      </c>
      <c r="C1489" s="4" t="s">
        <v>4053</v>
      </c>
      <c r="D1489" s="4" t="s">
        <v>1086</v>
      </c>
      <c r="E1489" s="4" t="s">
        <v>1064</v>
      </c>
      <c r="F1489" s="4"/>
      <c r="G1489" s="4"/>
      <c r="H1489" s="4"/>
      <c r="I1489" s="4" t="s">
        <v>1048</v>
      </c>
    </row>
    <row r="1490" ht="15.75" customHeight="1">
      <c r="A1490" s="4" t="s">
        <v>4054</v>
      </c>
      <c r="B1490" s="13">
        <v>46053.740462963</v>
      </c>
      <c r="C1490" s="4" t="s">
        <v>4055</v>
      </c>
      <c r="D1490" s="4" t="s">
        <v>1128</v>
      </c>
      <c r="E1490" s="4" t="s">
        <v>1090</v>
      </c>
      <c r="F1490" s="4" t="s">
        <v>796</v>
      </c>
      <c r="G1490" s="4"/>
      <c r="H1490" s="4"/>
      <c r="I1490" s="4" t="s">
        <v>1052</v>
      </c>
    </row>
    <row r="1491" ht="15.75" customHeight="1">
      <c r="A1491" s="4" t="s">
        <v>4056</v>
      </c>
      <c r="B1491" s="13">
        <v>46046.622025463</v>
      </c>
      <c r="C1491" s="4" t="s">
        <v>4057</v>
      </c>
      <c r="D1491" s="4" t="s">
        <v>1063</v>
      </c>
      <c r="E1491" s="4" t="s">
        <v>1064</v>
      </c>
      <c r="F1491" s="4"/>
      <c r="G1491" s="4" t="s">
        <v>144</v>
      </c>
      <c r="H1491" s="4"/>
      <c r="I1491" s="4" t="s">
        <v>587</v>
      </c>
    </row>
    <row r="1492" ht="15.75" customHeight="1">
      <c r="A1492" s="4" t="s">
        <v>4058</v>
      </c>
      <c r="B1492" s="13">
        <v>46056.9179861111</v>
      </c>
      <c r="C1492" s="4" t="s">
        <v>4059</v>
      </c>
      <c r="D1492" s="4" t="s">
        <v>1089</v>
      </c>
      <c r="E1492" s="4" t="s">
        <v>1105</v>
      </c>
      <c r="F1492" s="4" t="s">
        <v>174</v>
      </c>
      <c r="G1492" s="4"/>
      <c r="H1492" s="4"/>
      <c r="I1492" s="4" t="s">
        <v>1036</v>
      </c>
    </row>
    <row r="1493" ht="15.75" customHeight="1">
      <c r="A1493" s="4" t="s">
        <v>4060</v>
      </c>
      <c r="B1493" s="13">
        <v>46069.8778356482</v>
      </c>
      <c r="C1493" s="4" t="s">
        <v>4061</v>
      </c>
      <c r="D1493" s="4" t="s">
        <v>1081</v>
      </c>
      <c r="E1493" s="4" t="s">
        <v>1064</v>
      </c>
      <c r="F1493" s="4"/>
      <c r="G1493" s="4"/>
      <c r="H1493" s="4"/>
      <c r="I1493" s="4" t="s">
        <v>1039</v>
      </c>
    </row>
    <row r="1494" ht="15.75" customHeight="1">
      <c r="A1494" s="4" t="s">
        <v>4062</v>
      </c>
      <c r="B1494" s="13">
        <v>46129.7535300926</v>
      </c>
      <c r="C1494" s="4" t="s">
        <v>4063</v>
      </c>
      <c r="D1494" s="4" t="s">
        <v>1075</v>
      </c>
      <c r="E1494" s="4" t="s">
        <v>1064</v>
      </c>
      <c r="F1494" s="4"/>
      <c r="G1494" s="4"/>
      <c r="H1494" s="4"/>
      <c r="I1494" s="4" t="s">
        <v>1052</v>
      </c>
    </row>
    <row r="1495" ht="15.75" customHeight="1">
      <c r="A1495" s="4" t="s">
        <v>4064</v>
      </c>
      <c r="B1495" s="13">
        <v>46080.6843402778</v>
      </c>
      <c r="C1495" s="4" t="s">
        <v>4065</v>
      </c>
      <c r="D1495" s="4" t="s">
        <v>1086</v>
      </c>
      <c r="E1495" s="4" t="s">
        <v>1064</v>
      </c>
      <c r="F1495" s="4"/>
      <c r="G1495" s="4"/>
      <c r="H1495" s="4"/>
      <c r="I1495" s="4" t="s">
        <v>1046</v>
      </c>
    </row>
    <row r="1496" ht="15.75" customHeight="1">
      <c r="A1496" s="4" t="s">
        <v>4066</v>
      </c>
      <c r="B1496" s="13">
        <v>46034.8975810185</v>
      </c>
      <c r="C1496" s="4" t="s">
        <v>4067</v>
      </c>
      <c r="D1496" s="4" t="s">
        <v>1075</v>
      </c>
      <c r="E1496" s="4" t="s">
        <v>1064</v>
      </c>
      <c r="F1496" s="4"/>
      <c r="G1496" s="4"/>
      <c r="H1496" s="4"/>
      <c r="I1496" s="4" t="s">
        <v>1036</v>
      </c>
    </row>
    <row r="1497" ht="15.75" customHeight="1">
      <c r="A1497" s="4" t="s">
        <v>4068</v>
      </c>
      <c r="B1497" s="13">
        <v>46074.858287037</v>
      </c>
      <c r="C1497" s="4" t="s">
        <v>4069</v>
      </c>
      <c r="D1497" s="4" t="s">
        <v>1075</v>
      </c>
      <c r="E1497" s="4" t="s">
        <v>1064</v>
      </c>
      <c r="F1497" s="4"/>
      <c r="G1497" s="4"/>
      <c r="H1497" s="4"/>
      <c r="I1497" s="4" t="s">
        <v>1039</v>
      </c>
    </row>
    <row r="1498" ht="15.75" customHeight="1">
      <c r="A1498" s="4" t="s">
        <v>4070</v>
      </c>
      <c r="B1498" s="13">
        <v>46070.8483564815</v>
      </c>
      <c r="C1498" s="4" t="s">
        <v>4071</v>
      </c>
      <c r="D1498" s="4" t="s">
        <v>1128</v>
      </c>
      <c r="E1498" s="4" t="s">
        <v>1090</v>
      </c>
      <c r="F1498" s="4" t="s">
        <v>790</v>
      </c>
      <c r="G1498" s="4"/>
      <c r="H1498" s="4"/>
      <c r="I1498" s="4" t="s">
        <v>1039</v>
      </c>
    </row>
    <row r="1499" ht="15.75" customHeight="1">
      <c r="A1499" s="4" t="s">
        <v>4072</v>
      </c>
      <c r="B1499" s="13">
        <v>46112.6557175926</v>
      </c>
      <c r="C1499" s="4" t="s">
        <v>4073</v>
      </c>
      <c r="D1499" s="4" t="s">
        <v>1128</v>
      </c>
      <c r="E1499" s="4" t="s">
        <v>1105</v>
      </c>
      <c r="F1499" s="4" t="s">
        <v>171</v>
      </c>
      <c r="G1499" s="4"/>
      <c r="H1499" s="4"/>
      <c r="I1499" s="4" t="s">
        <v>587</v>
      </c>
    </row>
    <row r="1500" ht="15.75" customHeight="1">
      <c r="A1500" s="4" t="s">
        <v>4074</v>
      </c>
      <c r="B1500" s="13">
        <v>46063.7038194445</v>
      </c>
      <c r="C1500" s="4" t="s">
        <v>4075</v>
      </c>
      <c r="D1500" s="4" t="s">
        <v>1089</v>
      </c>
      <c r="E1500" s="4" t="s">
        <v>1090</v>
      </c>
      <c r="F1500" s="4" t="s">
        <v>778</v>
      </c>
      <c r="G1500" s="4"/>
      <c r="H1500" s="4"/>
      <c r="I1500" s="4" t="s">
        <v>1050</v>
      </c>
    </row>
    <row r="1501" ht="15.75" customHeight="1">
      <c r="A1501" s="4" t="s">
        <v>4076</v>
      </c>
      <c r="B1501" s="13">
        <v>46068.4263425926</v>
      </c>
      <c r="C1501" s="4" t="s">
        <v>4077</v>
      </c>
      <c r="D1501" s="4" t="s">
        <v>1089</v>
      </c>
      <c r="E1501" s="4" t="s">
        <v>1105</v>
      </c>
      <c r="F1501" s="4" t="s">
        <v>174</v>
      </c>
      <c r="G1501" s="4"/>
      <c r="H1501" s="4"/>
      <c r="I1501" s="4" t="s">
        <v>1046</v>
      </c>
    </row>
    <row r="1502" ht="15.75" customHeight="1">
      <c r="A1502" s="4" t="s">
        <v>4078</v>
      </c>
      <c r="B1502" s="13">
        <v>46050.4281134259</v>
      </c>
      <c r="C1502" s="4" t="s">
        <v>4079</v>
      </c>
      <c r="D1502" s="4" t="s">
        <v>1110</v>
      </c>
      <c r="E1502" s="4" t="s">
        <v>1064</v>
      </c>
      <c r="F1502" s="4"/>
      <c r="G1502" s="4" t="s">
        <v>84</v>
      </c>
      <c r="H1502" s="10">
        <v>211.33</v>
      </c>
      <c r="I1502" s="4" t="s">
        <v>587</v>
      </c>
    </row>
    <row r="1503" ht="15.75" customHeight="1">
      <c r="A1503" s="4" t="s">
        <v>4080</v>
      </c>
      <c r="B1503" s="13">
        <v>46023.597662037</v>
      </c>
      <c r="C1503" s="4" t="s">
        <v>4081</v>
      </c>
      <c r="D1503" s="4" t="s">
        <v>1128</v>
      </c>
      <c r="E1503" s="4" t="s">
        <v>1090</v>
      </c>
      <c r="F1503" s="4" t="s">
        <v>784</v>
      </c>
      <c r="G1503" s="4"/>
      <c r="H1503" s="4"/>
      <c r="I1503" s="4" t="s">
        <v>1039</v>
      </c>
    </row>
    <row r="1504" ht="15.75" customHeight="1">
      <c r="A1504" s="4" t="s">
        <v>4082</v>
      </c>
      <c r="B1504" s="13">
        <v>46123.9869675926</v>
      </c>
      <c r="C1504" s="4" t="s">
        <v>4083</v>
      </c>
      <c r="D1504" s="4" t="s">
        <v>1110</v>
      </c>
      <c r="E1504" s="4" t="s">
        <v>1064</v>
      </c>
      <c r="F1504" s="4"/>
      <c r="G1504" s="4" t="s">
        <v>61</v>
      </c>
      <c r="H1504" s="10">
        <v>115.69</v>
      </c>
      <c r="I1504" s="4" t="s">
        <v>587</v>
      </c>
    </row>
    <row r="1505" ht="15.75" customHeight="1">
      <c r="A1505" s="4" t="s">
        <v>4084</v>
      </c>
      <c r="B1505" s="13">
        <v>46084.712650463</v>
      </c>
      <c r="C1505" s="4" t="s">
        <v>4085</v>
      </c>
      <c r="D1505" s="4" t="s">
        <v>1093</v>
      </c>
      <c r="E1505" s="4" t="s">
        <v>1064</v>
      </c>
      <c r="F1505" s="4"/>
      <c r="G1505" s="4"/>
      <c r="H1505" s="4"/>
      <c r="I1505" s="4" t="s">
        <v>1048</v>
      </c>
    </row>
    <row r="1506" ht="15.75" customHeight="1">
      <c r="A1506" s="4" t="s">
        <v>4086</v>
      </c>
      <c r="B1506" s="13">
        <v>46047.339837963</v>
      </c>
      <c r="C1506" s="4" t="s">
        <v>4087</v>
      </c>
      <c r="D1506" s="4" t="s">
        <v>1081</v>
      </c>
      <c r="E1506" s="4" t="s">
        <v>1064</v>
      </c>
      <c r="F1506" s="4"/>
      <c r="G1506" s="4"/>
      <c r="H1506" s="4"/>
      <c r="I1506" s="4" t="s">
        <v>1035</v>
      </c>
    </row>
    <row r="1507" ht="15.75" customHeight="1">
      <c r="A1507" s="4" t="s">
        <v>4088</v>
      </c>
      <c r="B1507" s="13">
        <v>46091.4320949074</v>
      </c>
      <c r="C1507" s="4" t="s">
        <v>4089</v>
      </c>
      <c r="D1507" s="4" t="s">
        <v>1063</v>
      </c>
      <c r="E1507" s="4" t="s">
        <v>1064</v>
      </c>
      <c r="F1507" s="4"/>
      <c r="G1507" s="4" t="s">
        <v>150</v>
      </c>
      <c r="H1507" s="4"/>
      <c r="I1507" s="4" t="s">
        <v>1039</v>
      </c>
    </row>
    <row r="1508" ht="15.75" customHeight="1">
      <c r="A1508" s="4" t="s">
        <v>4090</v>
      </c>
      <c r="B1508" s="13">
        <v>46085.7652314815</v>
      </c>
      <c r="C1508" s="4" t="s">
        <v>4091</v>
      </c>
      <c r="D1508" s="4" t="s">
        <v>1104</v>
      </c>
      <c r="E1508" s="4" t="s">
        <v>1105</v>
      </c>
      <c r="F1508" s="4" t="s">
        <v>277</v>
      </c>
      <c r="G1508" s="4"/>
      <c r="H1508" s="4"/>
      <c r="I1508" s="4" t="s">
        <v>1035</v>
      </c>
    </row>
    <row r="1509" ht="15.75" customHeight="1">
      <c r="A1509" s="4" t="s">
        <v>4092</v>
      </c>
      <c r="B1509" s="13">
        <v>46044.8481828704</v>
      </c>
      <c r="C1509" s="4" t="s">
        <v>4093</v>
      </c>
      <c r="D1509" s="4" t="s">
        <v>1104</v>
      </c>
      <c r="E1509" s="4" t="s">
        <v>1090</v>
      </c>
      <c r="F1509" s="4" t="s">
        <v>784</v>
      </c>
      <c r="G1509" s="4"/>
      <c r="H1509" s="4"/>
      <c r="I1509" s="4" t="s">
        <v>1052</v>
      </c>
    </row>
    <row r="1510" ht="15.75" customHeight="1">
      <c r="A1510" s="4" t="s">
        <v>4094</v>
      </c>
      <c r="B1510" s="13">
        <v>46049.4841898148</v>
      </c>
      <c r="C1510" s="4" t="s">
        <v>4095</v>
      </c>
      <c r="D1510" s="4" t="s">
        <v>1163</v>
      </c>
      <c r="E1510" s="4" t="s">
        <v>1119</v>
      </c>
      <c r="F1510" s="4"/>
      <c r="G1510" s="4"/>
      <c r="H1510" s="4"/>
      <c r="I1510" s="4" t="s">
        <v>1039</v>
      </c>
    </row>
    <row r="1511" ht="15.75" customHeight="1">
      <c r="A1511" s="4" t="s">
        <v>4096</v>
      </c>
      <c r="B1511" s="13">
        <v>46116.3837268519</v>
      </c>
      <c r="C1511" s="4" t="s">
        <v>4097</v>
      </c>
      <c r="D1511" s="4" t="s">
        <v>1089</v>
      </c>
      <c r="E1511" s="4" t="s">
        <v>1105</v>
      </c>
      <c r="F1511" s="4" t="s">
        <v>285</v>
      </c>
      <c r="G1511" s="4"/>
      <c r="H1511" s="4"/>
      <c r="I1511" s="4" t="s">
        <v>1036</v>
      </c>
    </row>
    <row r="1512" ht="15.75" customHeight="1">
      <c r="A1512" s="4" t="s">
        <v>4098</v>
      </c>
      <c r="B1512" s="13">
        <v>46062.5463425926</v>
      </c>
      <c r="C1512" s="4" t="s">
        <v>4099</v>
      </c>
      <c r="D1512" s="4" t="s">
        <v>1128</v>
      </c>
      <c r="E1512" s="4" t="s">
        <v>1090</v>
      </c>
      <c r="F1512" s="4" t="s">
        <v>823</v>
      </c>
      <c r="G1512" s="4"/>
      <c r="H1512" s="4"/>
      <c r="I1512" s="4" t="s">
        <v>587</v>
      </c>
    </row>
    <row r="1513" ht="15.75" customHeight="1">
      <c r="A1513" s="4" t="s">
        <v>4100</v>
      </c>
      <c r="B1513" s="13">
        <v>46130.4660185185</v>
      </c>
      <c r="C1513" s="4" t="s">
        <v>4101</v>
      </c>
      <c r="D1513" s="4" t="s">
        <v>1089</v>
      </c>
      <c r="E1513" s="4" t="s">
        <v>1105</v>
      </c>
      <c r="F1513" s="4" t="s">
        <v>95</v>
      </c>
      <c r="G1513" s="4"/>
      <c r="H1513" s="4"/>
      <c r="I1513" s="4" t="s">
        <v>1050</v>
      </c>
    </row>
    <row r="1514" ht="15.75" customHeight="1">
      <c r="A1514" s="4" t="s">
        <v>4102</v>
      </c>
      <c r="B1514" s="13">
        <v>46074.4251736111</v>
      </c>
      <c r="C1514" s="4" t="s">
        <v>4103</v>
      </c>
      <c r="D1514" s="4" t="s">
        <v>1086</v>
      </c>
      <c r="E1514" s="4" t="s">
        <v>1064</v>
      </c>
      <c r="F1514" s="4"/>
      <c r="G1514" s="4"/>
      <c r="H1514" s="4"/>
      <c r="I1514" s="4" t="s">
        <v>1034</v>
      </c>
    </row>
    <row r="1515" ht="15.75" customHeight="1">
      <c r="A1515" s="4" t="s">
        <v>4104</v>
      </c>
      <c r="B1515" s="13">
        <v>46131.3780092593</v>
      </c>
      <c r="C1515" s="4" t="s">
        <v>4105</v>
      </c>
      <c r="D1515" s="4" t="s">
        <v>1110</v>
      </c>
      <c r="E1515" s="4" t="s">
        <v>1064</v>
      </c>
      <c r="F1515" s="4"/>
      <c r="G1515" s="4" t="s">
        <v>84</v>
      </c>
      <c r="H1515" s="10">
        <v>90.93</v>
      </c>
      <c r="I1515" s="4" t="s">
        <v>1046</v>
      </c>
    </row>
    <row r="1516" ht="15.75" customHeight="1">
      <c r="A1516" s="4" t="s">
        <v>4106</v>
      </c>
      <c r="B1516" s="13">
        <v>46091.4463541667</v>
      </c>
      <c r="C1516" s="4" t="s">
        <v>4107</v>
      </c>
      <c r="D1516" s="4" t="s">
        <v>1093</v>
      </c>
      <c r="E1516" s="4" t="s">
        <v>1064</v>
      </c>
      <c r="F1516" s="4"/>
      <c r="G1516" s="4"/>
      <c r="H1516" s="4"/>
      <c r="I1516" s="4" t="s">
        <v>1034</v>
      </c>
    </row>
    <row r="1517" ht="15.75" customHeight="1">
      <c r="A1517" s="4" t="s">
        <v>4108</v>
      </c>
      <c r="B1517" s="13">
        <v>46093.7380671296</v>
      </c>
      <c r="C1517" s="4" t="s">
        <v>4109</v>
      </c>
      <c r="D1517" s="4" t="s">
        <v>1071</v>
      </c>
      <c r="E1517" s="4" t="s">
        <v>1119</v>
      </c>
      <c r="F1517" s="4"/>
      <c r="G1517" s="4"/>
      <c r="H1517" s="4"/>
      <c r="I1517" s="4" t="s">
        <v>1031</v>
      </c>
    </row>
    <row r="1518" ht="15.75" customHeight="1">
      <c r="A1518" s="4" t="s">
        <v>4110</v>
      </c>
      <c r="B1518" s="13">
        <v>46118.7228703704</v>
      </c>
      <c r="C1518" s="4" t="s">
        <v>4111</v>
      </c>
      <c r="D1518" s="4" t="s">
        <v>1110</v>
      </c>
      <c r="E1518" s="4" t="s">
        <v>1064</v>
      </c>
      <c r="F1518" s="4"/>
      <c r="G1518" s="4" t="s">
        <v>150</v>
      </c>
      <c r="H1518" s="10">
        <v>154.7</v>
      </c>
      <c r="I1518" s="4" t="s">
        <v>1030</v>
      </c>
    </row>
    <row r="1519" ht="15.75" customHeight="1">
      <c r="A1519" s="4" t="s">
        <v>4112</v>
      </c>
      <c r="B1519" s="13">
        <v>46075.6813541667</v>
      </c>
      <c r="C1519" s="4" t="s">
        <v>4113</v>
      </c>
      <c r="D1519" s="4" t="s">
        <v>1128</v>
      </c>
      <c r="E1519" s="4" t="s">
        <v>1090</v>
      </c>
      <c r="F1519" s="4" t="s">
        <v>833</v>
      </c>
      <c r="G1519" s="4"/>
      <c r="H1519" s="4"/>
      <c r="I1519" s="4" t="s">
        <v>1039</v>
      </c>
    </row>
    <row r="1520" ht="15.75" customHeight="1">
      <c r="A1520" s="4" t="s">
        <v>4114</v>
      </c>
      <c r="B1520" s="13">
        <v>46025.879837963</v>
      </c>
      <c r="C1520" s="4" t="s">
        <v>4115</v>
      </c>
      <c r="D1520" s="4" t="s">
        <v>1104</v>
      </c>
      <c r="E1520" s="4" t="s">
        <v>1105</v>
      </c>
      <c r="F1520" s="4" t="s">
        <v>297</v>
      </c>
      <c r="G1520" s="4"/>
      <c r="H1520" s="4"/>
      <c r="I1520" s="4" t="s">
        <v>587</v>
      </c>
    </row>
    <row r="1521" ht="15.75" customHeight="1">
      <c r="A1521" s="4" t="s">
        <v>4116</v>
      </c>
      <c r="B1521" s="13">
        <v>46116.5074305556</v>
      </c>
      <c r="C1521" s="4" t="s">
        <v>4117</v>
      </c>
      <c r="D1521" s="4" t="s">
        <v>1086</v>
      </c>
      <c r="E1521" s="4" t="s">
        <v>1064</v>
      </c>
      <c r="F1521" s="4"/>
      <c r="G1521" s="4"/>
      <c r="H1521" s="4"/>
      <c r="I1521" s="4" t="s">
        <v>1031</v>
      </c>
    </row>
    <row r="1522" ht="15.75" customHeight="1">
      <c r="A1522" s="4" t="s">
        <v>4118</v>
      </c>
      <c r="B1522" s="13">
        <v>46041.9114814815</v>
      </c>
      <c r="C1522" s="4" t="s">
        <v>4119</v>
      </c>
      <c r="D1522" s="4" t="s">
        <v>1163</v>
      </c>
      <c r="E1522" s="4" t="s">
        <v>1119</v>
      </c>
      <c r="F1522" s="4"/>
      <c r="G1522" s="4"/>
      <c r="H1522" s="4"/>
      <c r="I1522" s="4" t="s">
        <v>1034</v>
      </c>
    </row>
    <row r="1523" ht="15.75" customHeight="1">
      <c r="A1523" s="4" t="s">
        <v>4120</v>
      </c>
      <c r="B1523" s="13">
        <v>46074.5707175926</v>
      </c>
      <c r="C1523" s="4" t="s">
        <v>4121</v>
      </c>
      <c r="D1523" s="4" t="s">
        <v>1081</v>
      </c>
      <c r="E1523" s="4" t="s">
        <v>1064</v>
      </c>
      <c r="F1523" s="4"/>
      <c r="G1523" s="4"/>
      <c r="H1523" s="4"/>
      <c r="I1523" s="4" t="s">
        <v>1042</v>
      </c>
    </row>
    <row r="1524" ht="15.75" customHeight="1">
      <c r="A1524" s="4" t="s">
        <v>4122</v>
      </c>
      <c r="B1524" s="13">
        <v>46047.6886111111</v>
      </c>
      <c r="C1524" s="4" t="s">
        <v>4123</v>
      </c>
      <c r="D1524" s="4" t="s">
        <v>1163</v>
      </c>
      <c r="E1524" s="4" t="s">
        <v>1072</v>
      </c>
      <c r="F1524" s="4"/>
      <c r="G1524" s="4"/>
      <c r="H1524" s="4"/>
      <c r="I1524" s="4" t="s">
        <v>1028</v>
      </c>
    </row>
    <row r="1525" ht="15.75" customHeight="1">
      <c r="A1525" s="4" t="s">
        <v>4124</v>
      </c>
      <c r="B1525" s="13">
        <v>46104.813287037</v>
      </c>
      <c r="C1525" s="4" t="s">
        <v>4125</v>
      </c>
      <c r="D1525" s="4" t="s">
        <v>1081</v>
      </c>
      <c r="E1525" s="4" t="s">
        <v>1064</v>
      </c>
      <c r="F1525" s="4"/>
      <c r="G1525" s="4"/>
      <c r="H1525" s="4"/>
      <c r="I1525" s="4" t="s">
        <v>1039</v>
      </c>
    </row>
    <row r="1526" ht="15.75" customHeight="1">
      <c r="A1526" s="4" t="s">
        <v>4126</v>
      </c>
      <c r="B1526" s="13">
        <v>46043.5007175926</v>
      </c>
      <c r="C1526" s="4" t="s">
        <v>4127</v>
      </c>
      <c r="D1526" s="4" t="s">
        <v>1110</v>
      </c>
      <c r="E1526" s="4" t="s">
        <v>1064</v>
      </c>
      <c r="F1526" s="4"/>
      <c r="G1526" s="4" t="s">
        <v>137</v>
      </c>
      <c r="H1526" s="10">
        <v>183.82</v>
      </c>
      <c r="I1526" s="4" t="s">
        <v>1050</v>
      </c>
    </row>
    <row r="1527" ht="15.75" customHeight="1">
      <c r="A1527" s="4" t="s">
        <v>4128</v>
      </c>
      <c r="B1527" s="13">
        <v>46094.9216319445</v>
      </c>
      <c r="C1527" s="4" t="s">
        <v>4129</v>
      </c>
      <c r="D1527" s="4" t="s">
        <v>1110</v>
      </c>
      <c r="E1527" s="4" t="s">
        <v>1064</v>
      </c>
      <c r="F1527" s="4"/>
      <c r="G1527" s="4" t="s">
        <v>150</v>
      </c>
      <c r="H1527" s="10">
        <v>219.01</v>
      </c>
      <c r="I1527" s="4" t="s">
        <v>1035</v>
      </c>
    </row>
    <row r="1528" ht="15.75" customHeight="1">
      <c r="A1528" s="4" t="s">
        <v>4130</v>
      </c>
      <c r="B1528" s="13">
        <v>46065.3652662037</v>
      </c>
      <c r="C1528" s="4" t="s">
        <v>4131</v>
      </c>
      <c r="D1528" s="4" t="s">
        <v>1089</v>
      </c>
      <c r="E1528" s="4" t="s">
        <v>1105</v>
      </c>
      <c r="F1528" s="4" t="s">
        <v>171</v>
      </c>
      <c r="G1528" s="4"/>
      <c r="H1528" s="4"/>
      <c r="I1528" s="4" t="s">
        <v>1048</v>
      </c>
    </row>
    <row r="1529" ht="15.75" customHeight="1">
      <c r="A1529" s="4" t="s">
        <v>4132</v>
      </c>
      <c r="B1529" s="13">
        <v>46045.5527777778</v>
      </c>
      <c r="C1529" s="4" t="s">
        <v>4133</v>
      </c>
      <c r="D1529" s="4" t="s">
        <v>1089</v>
      </c>
      <c r="E1529" s="4" t="s">
        <v>1105</v>
      </c>
      <c r="F1529" s="4" t="s">
        <v>205</v>
      </c>
      <c r="G1529" s="4"/>
      <c r="H1529" s="4"/>
      <c r="I1529" s="4" t="s">
        <v>1039</v>
      </c>
    </row>
    <row r="1530" ht="15.75" customHeight="1">
      <c r="A1530" s="4" t="s">
        <v>4134</v>
      </c>
      <c r="B1530" s="13">
        <v>46066.4066782407</v>
      </c>
      <c r="C1530" s="4" t="s">
        <v>4135</v>
      </c>
      <c r="D1530" s="4" t="s">
        <v>1071</v>
      </c>
      <c r="E1530" s="4" t="s">
        <v>1119</v>
      </c>
      <c r="F1530" s="4"/>
      <c r="G1530" s="4"/>
      <c r="H1530" s="4"/>
      <c r="I1530" s="4" t="s">
        <v>1039</v>
      </c>
    </row>
    <row r="1531" ht="15.75" customHeight="1">
      <c r="A1531" s="4" t="s">
        <v>4136</v>
      </c>
      <c r="B1531" s="13">
        <v>46087.7690393519</v>
      </c>
      <c r="C1531" s="4" t="s">
        <v>4137</v>
      </c>
      <c r="D1531" s="4" t="s">
        <v>1071</v>
      </c>
      <c r="E1531" s="4" t="s">
        <v>1072</v>
      </c>
      <c r="F1531" s="4"/>
      <c r="G1531" s="4"/>
      <c r="H1531" s="4"/>
      <c r="I1531" s="4" t="s">
        <v>587</v>
      </c>
    </row>
    <row r="1532" ht="15.75" customHeight="1">
      <c r="A1532" s="4" t="s">
        <v>4138</v>
      </c>
      <c r="B1532" s="13">
        <v>46078.5100925926</v>
      </c>
      <c r="C1532" s="4" t="s">
        <v>4139</v>
      </c>
      <c r="D1532" s="4" t="s">
        <v>1063</v>
      </c>
      <c r="E1532" s="4" t="s">
        <v>1064</v>
      </c>
      <c r="F1532" s="4"/>
      <c r="G1532" s="4" t="s">
        <v>69</v>
      </c>
      <c r="H1532" s="4"/>
      <c r="I1532" s="4" t="s">
        <v>1039</v>
      </c>
    </row>
    <row r="1533" ht="15.75" customHeight="1">
      <c r="A1533" s="4" t="s">
        <v>4140</v>
      </c>
      <c r="B1533" s="13">
        <v>46067.9062268519</v>
      </c>
      <c r="C1533" s="4" t="s">
        <v>4141</v>
      </c>
      <c r="D1533" s="4" t="s">
        <v>1075</v>
      </c>
      <c r="E1533" s="4" t="s">
        <v>1064</v>
      </c>
      <c r="F1533" s="4"/>
      <c r="G1533" s="4"/>
      <c r="H1533" s="4"/>
      <c r="I1533" s="4" t="s">
        <v>1052</v>
      </c>
    </row>
    <row r="1534" ht="15.75" customHeight="1">
      <c r="A1534" s="4" t="s">
        <v>4142</v>
      </c>
      <c r="B1534" s="13">
        <v>46107.3935300926</v>
      </c>
      <c r="C1534" s="4" t="s">
        <v>4143</v>
      </c>
      <c r="D1534" s="4" t="s">
        <v>1075</v>
      </c>
      <c r="E1534" s="4" t="s">
        <v>1064</v>
      </c>
      <c r="F1534" s="4"/>
      <c r="G1534" s="4"/>
      <c r="H1534" s="4"/>
      <c r="I1534" s="4" t="s">
        <v>1030</v>
      </c>
    </row>
    <row r="1535" ht="15.75" customHeight="1">
      <c r="A1535" s="4" t="s">
        <v>4144</v>
      </c>
      <c r="B1535" s="13">
        <v>46125.6079166667</v>
      </c>
      <c r="C1535" s="4" t="s">
        <v>4145</v>
      </c>
      <c r="D1535" s="4" t="s">
        <v>1104</v>
      </c>
      <c r="E1535" s="4" t="s">
        <v>1090</v>
      </c>
      <c r="F1535" s="4" t="s">
        <v>803</v>
      </c>
      <c r="G1535" s="4"/>
      <c r="H1535" s="4"/>
      <c r="I1535" s="4" t="s">
        <v>1030</v>
      </c>
    </row>
    <row r="1536" ht="15.75" customHeight="1">
      <c r="A1536" s="4" t="s">
        <v>4146</v>
      </c>
      <c r="B1536" s="13">
        <v>46101.3427314815</v>
      </c>
      <c r="C1536" s="4" t="s">
        <v>4147</v>
      </c>
      <c r="D1536" s="4" t="s">
        <v>1071</v>
      </c>
      <c r="E1536" s="4" t="s">
        <v>1119</v>
      </c>
      <c r="F1536" s="4"/>
      <c r="G1536" s="4"/>
      <c r="H1536" s="4"/>
      <c r="I1536" s="4" t="s">
        <v>1050</v>
      </c>
    </row>
    <row r="1537" ht="15.75" customHeight="1">
      <c r="A1537" s="4" t="s">
        <v>4148</v>
      </c>
      <c r="B1537" s="13">
        <v>46098.7821180556</v>
      </c>
      <c r="C1537" s="4" t="s">
        <v>4149</v>
      </c>
      <c r="D1537" s="4" t="s">
        <v>1163</v>
      </c>
      <c r="E1537" s="4" t="s">
        <v>1072</v>
      </c>
      <c r="F1537" s="4"/>
      <c r="G1537" s="4"/>
      <c r="H1537" s="4"/>
      <c r="I1537" s="4" t="s">
        <v>1030</v>
      </c>
    </row>
    <row r="1538" ht="15.75" customHeight="1">
      <c r="A1538" s="4" t="s">
        <v>4150</v>
      </c>
      <c r="B1538" s="13">
        <v>46114.4697800926</v>
      </c>
      <c r="C1538" s="4" t="s">
        <v>4151</v>
      </c>
      <c r="D1538" s="4" t="s">
        <v>1071</v>
      </c>
      <c r="E1538" s="4" t="s">
        <v>1072</v>
      </c>
      <c r="F1538" s="4"/>
      <c r="G1538" s="4"/>
      <c r="H1538" s="4"/>
      <c r="I1538" s="4" t="s">
        <v>427</v>
      </c>
    </row>
    <row r="1539" ht="15.75" customHeight="1">
      <c r="A1539" s="4" t="s">
        <v>4152</v>
      </c>
      <c r="B1539" s="13">
        <v>46053.8306134259</v>
      </c>
      <c r="C1539" s="4" t="s">
        <v>4153</v>
      </c>
      <c r="D1539" s="4" t="s">
        <v>1163</v>
      </c>
      <c r="E1539" s="4" t="s">
        <v>1119</v>
      </c>
      <c r="F1539" s="4"/>
      <c r="G1539" s="4"/>
      <c r="H1539" s="4"/>
      <c r="I1539" s="4" t="s">
        <v>1034</v>
      </c>
    </row>
    <row r="1540" ht="15.75" customHeight="1">
      <c r="A1540" s="4" t="s">
        <v>4154</v>
      </c>
      <c r="B1540" s="13">
        <v>46051.5296990741</v>
      </c>
      <c r="C1540" s="4" t="s">
        <v>4155</v>
      </c>
      <c r="D1540" s="4" t="s">
        <v>1086</v>
      </c>
      <c r="E1540" s="4" t="s">
        <v>1064</v>
      </c>
      <c r="F1540" s="4"/>
      <c r="G1540" s="4"/>
      <c r="H1540" s="4"/>
      <c r="I1540" s="4" t="s">
        <v>587</v>
      </c>
    </row>
    <row r="1541" ht="15.75" customHeight="1">
      <c r="A1541" s="4" t="s">
        <v>4156</v>
      </c>
      <c r="B1541" s="13">
        <v>46120.8699074074</v>
      </c>
      <c r="C1541" s="4" t="s">
        <v>4157</v>
      </c>
      <c r="D1541" s="4" t="s">
        <v>1163</v>
      </c>
      <c r="E1541" s="4" t="s">
        <v>1119</v>
      </c>
      <c r="F1541" s="4"/>
      <c r="G1541" s="4"/>
      <c r="H1541" s="4"/>
      <c r="I1541" s="4" t="s">
        <v>427</v>
      </c>
    </row>
    <row r="1542" ht="15.75" customHeight="1">
      <c r="A1542" s="4" t="s">
        <v>4158</v>
      </c>
      <c r="B1542" s="13">
        <v>46044.8261805556</v>
      </c>
      <c r="C1542" s="4" t="s">
        <v>4159</v>
      </c>
      <c r="D1542" s="4" t="s">
        <v>1071</v>
      </c>
      <c r="E1542" s="4" t="s">
        <v>1119</v>
      </c>
      <c r="F1542" s="4"/>
      <c r="G1542" s="4"/>
      <c r="H1542" s="4"/>
      <c r="I1542" s="4" t="s">
        <v>1039</v>
      </c>
    </row>
    <row r="1543" ht="15.75" customHeight="1">
      <c r="A1543" s="4" t="s">
        <v>4160</v>
      </c>
      <c r="B1543" s="13">
        <v>46023.481400463</v>
      </c>
      <c r="C1543" s="4" t="s">
        <v>4161</v>
      </c>
      <c r="D1543" s="4" t="s">
        <v>1163</v>
      </c>
      <c r="E1543" s="4" t="s">
        <v>1072</v>
      </c>
      <c r="F1543" s="4"/>
      <c r="G1543" s="4"/>
      <c r="H1543" s="4"/>
      <c r="I1543" s="4" t="s">
        <v>1048</v>
      </c>
    </row>
    <row r="1544" ht="15.75" customHeight="1">
      <c r="A1544" s="4" t="s">
        <v>4162</v>
      </c>
      <c r="B1544" s="13">
        <v>46066.8991435185</v>
      </c>
      <c r="C1544" s="4" t="s">
        <v>4163</v>
      </c>
      <c r="D1544" s="4" t="s">
        <v>1163</v>
      </c>
      <c r="E1544" s="4" t="s">
        <v>1072</v>
      </c>
      <c r="F1544" s="4"/>
      <c r="G1544" s="4"/>
      <c r="H1544" s="4"/>
      <c r="I1544" s="4" t="s">
        <v>1042</v>
      </c>
    </row>
    <row r="1545" ht="15.75" customHeight="1">
      <c r="A1545" s="4" t="s">
        <v>4164</v>
      </c>
      <c r="B1545" s="13">
        <v>46074.6811458333</v>
      </c>
      <c r="C1545" s="4" t="s">
        <v>4165</v>
      </c>
      <c r="D1545" s="4" t="s">
        <v>1071</v>
      </c>
      <c r="E1545" s="4" t="s">
        <v>1072</v>
      </c>
      <c r="F1545" s="4"/>
      <c r="G1545" s="4"/>
      <c r="H1545" s="4"/>
      <c r="I1545" s="4" t="s">
        <v>1034</v>
      </c>
    </row>
    <row r="1546" ht="15.75" customHeight="1">
      <c r="A1546" s="4" t="s">
        <v>4166</v>
      </c>
      <c r="B1546" s="13">
        <v>46083.7563078704</v>
      </c>
      <c r="C1546" s="4" t="s">
        <v>4167</v>
      </c>
      <c r="D1546" s="4" t="s">
        <v>1071</v>
      </c>
      <c r="E1546" s="4" t="s">
        <v>1119</v>
      </c>
      <c r="F1546" s="4"/>
      <c r="G1546" s="4"/>
      <c r="H1546" s="4"/>
      <c r="I1546" s="4" t="s">
        <v>1034</v>
      </c>
    </row>
    <row r="1547" ht="15.75" customHeight="1">
      <c r="A1547" s="4" t="s">
        <v>4168</v>
      </c>
      <c r="B1547" s="13">
        <v>46110.7768518519</v>
      </c>
      <c r="C1547" s="4" t="s">
        <v>4169</v>
      </c>
      <c r="D1547" s="4" t="s">
        <v>1063</v>
      </c>
      <c r="E1547" s="4" t="s">
        <v>1064</v>
      </c>
      <c r="F1547" s="4"/>
      <c r="G1547" s="4" t="s">
        <v>107</v>
      </c>
      <c r="H1547" s="4"/>
      <c r="I1547" s="4" t="s">
        <v>1048</v>
      </c>
    </row>
    <row r="1548" ht="15.75" customHeight="1">
      <c r="A1548" s="4" t="s">
        <v>4170</v>
      </c>
      <c r="B1548" s="13">
        <v>46081.6706365741</v>
      </c>
      <c r="C1548" s="4" t="s">
        <v>4171</v>
      </c>
      <c r="D1548" s="4" t="s">
        <v>1086</v>
      </c>
      <c r="E1548" s="4" t="s">
        <v>1064</v>
      </c>
      <c r="F1548" s="4"/>
      <c r="G1548" s="4"/>
      <c r="H1548" s="4"/>
      <c r="I1548" s="4" t="s">
        <v>1028</v>
      </c>
    </row>
    <row r="1549" ht="15.75" customHeight="1">
      <c r="A1549" s="4" t="s">
        <v>4172</v>
      </c>
      <c r="B1549" s="13">
        <v>46077.9311111111</v>
      </c>
      <c r="C1549" s="4" t="s">
        <v>4173</v>
      </c>
      <c r="D1549" s="4" t="s">
        <v>1128</v>
      </c>
      <c r="E1549" s="4" t="s">
        <v>1105</v>
      </c>
      <c r="F1549" s="4" t="s">
        <v>162</v>
      </c>
      <c r="G1549" s="4"/>
      <c r="H1549" s="4"/>
      <c r="I1549" s="4" t="s">
        <v>1034</v>
      </c>
    </row>
    <row r="1550" ht="15.75" customHeight="1">
      <c r="A1550" s="4" t="s">
        <v>4174</v>
      </c>
      <c r="B1550" s="13">
        <v>46057.8908564815</v>
      </c>
      <c r="C1550" s="4" t="s">
        <v>4175</v>
      </c>
      <c r="D1550" s="4" t="s">
        <v>1110</v>
      </c>
      <c r="E1550" s="4" t="s">
        <v>1064</v>
      </c>
      <c r="F1550" s="4"/>
      <c r="G1550" s="4" t="s">
        <v>61</v>
      </c>
      <c r="H1550" s="10">
        <v>93.86</v>
      </c>
      <c r="I1550" s="4" t="s">
        <v>1030</v>
      </c>
    </row>
    <row r="1551" ht="15.75" customHeight="1">
      <c r="A1551" s="4" t="s">
        <v>4176</v>
      </c>
      <c r="B1551" s="13">
        <v>46074.9400231482</v>
      </c>
      <c r="C1551" s="4" t="s">
        <v>4177</v>
      </c>
      <c r="D1551" s="4" t="s">
        <v>1071</v>
      </c>
      <c r="E1551" s="4" t="s">
        <v>1119</v>
      </c>
      <c r="F1551" s="4"/>
      <c r="G1551" s="4"/>
      <c r="H1551" s="4"/>
      <c r="I1551" s="4" t="s">
        <v>1042</v>
      </c>
    </row>
    <row r="1552" ht="15.75" customHeight="1">
      <c r="A1552" s="4" t="s">
        <v>4178</v>
      </c>
      <c r="B1552" s="13">
        <v>46049.8246759259</v>
      </c>
      <c r="C1552" s="4" t="s">
        <v>4179</v>
      </c>
      <c r="D1552" s="4" t="s">
        <v>1071</v>
      </c>
      <c r="E1552" s="4" t="s">
        <v>1119</v>
      </c>
      <c r="F1552" s="4"/>
      <c r="G1552" s="4"/>
      <c r="H1552" s="4"/>
      <c r="I1552" s="4" t="s">
        <v>587</v>
      </c>
    </row>
    <row r="1553" ht="15.75" customHeight="1">
      <c r="A1553" s="4" t="s">
        <v>4180</v>
      </c>
      <c r="B1553" s="13">
        <v>46033.7753472222</v>
      </c>
      <c r="C1553" s="4" t="s">
        <v>4181</v>
      </c>
      <c r="D1553" s="4" t="s">
        <v>1089</v>
      </c>
      <c r="E1553" s="4" t="s">
        <v>1105</v>
      </c>
      <c r="F1553" s="4" t="s">
        <v>166</v>
      </c>
      <c r="G1553" s="4"/>
      <c r="H1553" s="4"/>
      <c r="I1553" s="4" t="s">
        <v>1035</v>
      </c>
    </row>
    <row r="1554" ht="15.75" customHeight="1">
      <c r="A1554" s="4" t="s">
        <v>4182</v>
      </c>
      <c r="B1554" s="13">
        <v>46124.5970949074</v>
      </c>
      <c r="C1554" s="4" t="s">
        <v>4183</v>
      </c>
      <c r="D1554" s="4" t="s">
        <v>1163</v>
      </c>
      <c r="E1554" s="4" t="s">
        <v>1119</v>
      </c>
      <c r="F1554" s="4"/>
      <c r="G1554" s="4"/>
      <c r="H1554" s="4"/>
      <c r="I1554" s="4" t="s">
        <v>1036</v>
      </c>
    </row>
    <row r="1555" ht="15.75" customHeight="1">
      <c r="A1555" s="4" t="s">
        <v>4184</v>
      </c>
      <c r="B1555" s="13">
        <v>46089.6858912037</v>
      </c>
      <c r="C1555" s="4" t="s">
        <v>4185</v>
      </c>
      <c r="D1555" s="4" t="s">
        <v>1081</v>
      </c>
      <c r="E1555" s="4" t="s">
        <v>1064</v>
      </c>
      <c r="F1555" s="4"/>
      <c r="G1555" s="4"/>
      <c r="H1555" s="4"/>
      <c r="I1555" s="4" t="s">
        <v>1042</v>
      </c>
    </row>
    <row r="1556" ht="15.75" customHeight="1">
      <c r="A1556" s="4" t="s">
        <v>4186</v>
      </c>
      <c r="B1556" s="13">
        <v>46024.592337963</v>
      </c>
      <c r="C1556" s="4" t="s">
        <v>4187</v>
      </c>
      <c r="D1556" s="4" t="s">
        <v>1078</v>
      </c>
      <c r="E1556" s="4" t="s">
        <v>1064</v>
      </c>
      <c r="F1556" s="4"/>
      <c r="G1556" s="4" t="s">
        <v>93</v>
      </c>
      <c r="H1556" s="10">
        <v>159.53</v>
      </c>
      <c r="I1556" s="4" t="s">
        <v>1046</v>
      </c>
    </row>
    <row r="1557" ht="15.75" customHeight="1">
      <c r="A1557" s="4" t="s">
        <v>4188</v>
      </c>
      <c r="B1557" s="13">
        <v>46053.827037037</v>
      </c>
      <c r="C1557" s="4" t="s">
        <v>4189</v>
      </c>
      <c r="D1557" s="4" t="s">
        <v>1086</v>
      </c>
      <c r="E1557" s="4" t="s">
        <v>1064</v>
      </c>
      <c r="F1557" s="4"/>
      <c r="G1557" s="4"/>
      <c r="H1557" s="4"/>
      <c r="I1557" s="4" t="s">
        <v>1030</v>
      </c>
    </row>
    <row r="1558" ht="15.75" customHeight="1">
      <c r="A1558" s="4" t="s">
        <v>4190</v>
      </c>
      <c r="B1558" s="13">
        <v>46064.6787731482</v>
      </c>
      <c r="C1558" s="4" t="s">
        <v>4191</v>
      </c>
      <c r="D1558" s="4" t="s">
        <v>1063</v>
      </c>
      <c r="E1558" s="4" t="s">
        <v>1064</v>
      </c>
      <c r="F1558" s="4"/>
      <c r="G1558" s="4" t="s">
        <v>77</v>
      </c>
      <c r="H1558" s="4"/>
      <c r="I1558" s="4" t="s">
        <v>1042</v>
      </c>
    </row>
    <row r="1559" ht="15.75" customHeight="1">
      <c r="A1559" s="4" t="s">
        <v>4192</v>
      </c>
      <c r="B1559" s="13">
        <v>46078.9960300926</v>
      </c>
      <c r="C1559" s="4" t="s">
        <v>4193</v>
      </c>
      <c r="D1559" s="4" t="s">
        <v>1071</v>
      </c>
      <c r="E1559" s="4" t="s">
        <v>1119</v>
      </c>
      <c r="F1559" s="4"/>
      <c r="G1559" s="4"/>
      <c r="H1559" s="4"/>
      <c r="I1559" s="4" t="s">
        <v>1039</v>
      </c>
    </row>
    <row r="1560" ht="15.75" customHeight="1">
      <c r="A1560" s="4" t="s">
        <v>4194</v>
      </c>
      <c r="B1560" s="13">
        <v>46073.7358333333</v>
      </c>
      <c r="C1560" s="4" t="s">
        <v>4195</v>
      </c>
      <c r="D1560" s="4" t="s">
        <v>1110</v>
      </c>
      <c r="E1560" s="4" t="s">
        <v>1064</v>
      </c>
      <c r="F1560" s="4"/>
      <c r="G1560" s="4" t="s">
        <v>244</v>
      </c>
      <c r="H1560" s="10">
        <v>202.05</v>
      </c>
      <c r="I1560" s="4" t="s">
        <v>1034</v>
      </c>
    </row>
    <row r="1561" ht="15.75" customHeight="1">
      <c r="A1561" s="4" t="s">
        <v>4196</v>
      </c>
      <c r="B1561" s="13">
        <v>46079.535787037</v>
      </c>
      <c r="C1561" s="4" t="s">
        <v>4197</v>
      </c>
      <c r="D1561" s="4" t="s">
        <v>1075</v>
      </c>
      <c r="E1561" s="4" t="s">
        <v>1064</v>
      </c>
      <c r="F1561" s="4"/>
      <c r="G1561" s="4"/>
      <c r="H1561" s="4"/>
      <c r="I1561" s="4" t="s">
        <v>1034</v>
      </c>
    </row>
    <row r="1562" ht="15.75" customHeight="1">
      <c r="A1562" s="4" t="s">
        <v>4198</v>
      </c>
      <c r="B1562" s="13">
        <v>46131.6078125</v>
      </c>
      <c r="C1562" s="4" t="s">
        <v>4199</v>
      </c>
      <c r="D1562" s="4" t="s">
        <v>1086</v>
      </c>
      <c r="E1562" s="4" t="s">
        <v>1064</v>
      </c>
      <c r="F1562" s="4"/>
      <c r="G1562" s="4"/>
      <c r="H1562" s="4"/>
      <c r="I1562" s="4" t="s">
        <v>1048</v>
      </c>
    </row>
    <row r="1563" ht="15.75" customHeight="1">
      <c r="A1563" s="4" t="s">
        <v>4200</v>
      </c>
      <c r="B1563" s="13">
        <v>46034.5584606482</v>
      </c>
      <c r="C1563" s="4" t="s">
        <v>4201</v>
      </c>
      <c r="D1563" s="4" t="s">
        <v>1128</v>
      </c>
      <c r="E1563" s="4" t="s">
        <v>1105</v>
      </c>
      <c r="F1563" s="4" t="s">
        <v>269</v>
      </c>
      <c r="G1563" s="4"/>
      <c r="H1563" s="4"/>
      <c r="I1563" s="4" t="s">
        <v>1048</v>
      </c>
    </row>
    <row r="1564" ht="15.75" customHeight="1">
      <c r="A1564" s="4" t="s">
        <v>4202</v>
      </c>
      <c r="B1564" s="13">
        <v>46059.8336574074</v>
      </c>
      <c r="C1564" s="4" t="s">
        <v>4203</v>
      </c>
      <c r="D1564" s="4" t="s">
        <v>1078</v>
      </c>
      <c r="E1564" s="4" t="s">
        <v>1064</v>
      </c>
      <c r="F1564" s="4"/>
      <c r="G1564" s="4" t="s">
        <v>137</v>
      </c>
      <c r="H1564" s="10">
        <v>153.16</v>
      </c>
      <c r="I1564" s="4" t="s">
        <v>1030</v>
      </c>
    </row>
    <row r="1565" ht="15.75" customHeight="1">
      <c r="A1565" s="4" t="s">
        <v>4204</v>
      </c>
      <c r="B1565" s="13">
        <v>46123.4850925926</v>
      </c>
      <c r="C1565" s="4" t="s">
        <v>4205</v>
      </c>
      <c r="D1565" s="4" t="s">
        <v>1081</v>
      </c>
      <c r="E1565" s="4" t="s">
        <v>1064</v>
      </c>
      <c r="F1565" s="4"/>
      <c r="G1565" s="4"/>
      <c r="H1565" s="4"/>
      <c r="I1565" s="4" t="s">
        <v>1030</v>
      </c>
    </row>
    <row r="1566" ht="15.75" customHeight="1">
      <c r="A1566" s="4" t="s">
        <v>4206</v>
      </c>
      <c r="B1566" s="13">
        <v>46096.6799305556</v>
      </c>
      <c r="C1566" s="4" t="s">
        <v>4207</v>
      </c>
      <c r="D1566" s="4" t="s">
        <v>1128</v>
      </c>
      <c r="E1566" s="4" t="s">
        <v>1105</v>
      </c>
      <c r="F1566" s="4" t="s">
        <v>102</v>
      </c>
      <c r="G1566" s="4"/>
      <c r="H1566" s="4"/>
      <c r="I1566" s="4" t="s">
        <v>1031</v>
      </c>
    </row>
    <row r="1567" ht="15.75" customHeight="1">
      <c r="A1567" s="4" t="s">
        <v>4208</v>
      </c>
      <c r="B1567" s="13">
        <v>46102.5651388889</v>
      </c>
      <c r="C1567" s="4" t="s">
        <v>4209</v>
      </c>
      <c r="D1567" s="4" t="s">
        <v>1078</v>
      </c>
      <c r="E1567" s="4" t="s">
        <v>1064</v>
      </c>
      <c r="F1567" s="4"/>
      <c r="G1567" s="4" t="s">
        <v>137</v>
      </c>
      <c r="H1567" s="10">
        <v>64.99</v>
      </c>
      <c r="I1567" s="4" t="s">
        <v>1046</v>
      </c>
    </row>
    <row r="1568" ht="15.75" customHeight="1">
      <c r="A1568" s="4" t="s">
        <v>4210</v>
      </c>
      <c r="B1568" s="13">
        <v>46067.8675925926</v>
      </c>
      <c r="C1568" s="4" t="s">
        <v>4211</v>
      </c>
      <c r="D1568" s="4" t="s">
        <v>1075</v>
      </c>
      <c r="E1568" s="4" t="s">
        <v>1064</v>
      </c>
      <c r="F1568" s="4"/>
      <c r="G1568" s="4"/>
      <c r="H1568" s="4"/>
      <c r="I1568" s="4" t="s">
        <v>1034</v>
      </c>
    </row>
    <row r="1569" ht="15.75" customHeight="1">
      <c r="A1569" s="4" t="s">
        <v>4212</v>
      </c>
      <c r="B1569" s="13">
        <v>46115.6957175926</v>
      </c>
      <c r="C1569" s="4" t="s">
        <v>4213</v>
      </c>
      <c r="D1569" s="4" t="s">
        <v>1078</v>
      </c>
      <c r="E1569" s="4" t="s">
        <v>1064</v>
      </c>
      <c r="F1569" s="4"/>
      <c r="G1569" s="4" t="s">
        <v>137</v>
      </c>
      <c r="H1569" s="10">
        <v>125.84</v>
      </c>
      <c r="I1569" s="4" t="s">
        <v>1030</v>
      </c>
    </row>
    <row r="1570" ht="15.75" customHeight="1">
      <c r="A1570" s="4" t="s">
        <v>4214</v>
      </c>
      <c r="B1570" s="13">
        <v>46075.5484490741</v>
      </c>
      <c r="C1570" s="4" t="s">
        <v>4215</v>
      </c>
      <c r="D1570" s="4" t="s">
        <v>1063</v>
      </c>
      <c r="E1570" s="4" t="s">
        <v>1064</v>
      </c>
      <c r="F1570" s="4"/>
      <c r="G1570" s="4" t="s">
        <v>137</v>
      </c>
      <c r="H1570" s="4"/>
      <c r="I1570" s="4" t="s">
        <v>1031</v>
      </c>
    </row>
    <row r="1571" ht="15.75" customHeight="1">
      <c r="A1571" s="4" t="s">
        <v>4216</v>
      </c>
      <c r="B1571" s="13">
        <v>46053.7466087963</v>
      </c>
      <c r="C1571" s="4" t="s">
        <v>4217</v>
      </c>
      <c r="D1571" s="4" t="s">
        <v>1086</v>
      </c>
      <c r="E1571" s="4" t="s">
        <v>1064</v>
      </c>
      <c r="F1571" s="4"/>
      <c r="G1571" s="4"/>
      <c r="H1571" s="4"/>
      <c r="I1571" s="4" t="s">
        <v>1046</v>
      </c>
    </row>
    <row r="1572" ht="15.75" customHeight="1">
      <c r="A1572" s="4" t="s">
        <v>4218</v>
      </c>
      <c r="B1572" s="13">
        <v>46029.3799421296</v>
      </c>
      <c r="C1572" s="4" t="s">
        <v>4219</v>
      </c>
      <c r="D1572" s="4" t="s">
        <v>1104</v>
      </c>
      <c r="E1572" s="4" t="s">
        <v>1090</v>
      </c>
      <c r="F1572" s="4" t="s">
        <v>813</v>
      </c>
      <c r="G1572" s="4"/>
      <c r="H1572" s="4"/>
      <c r="I1572" s="4" t="s">
        <v>1050</v>
      </c>
    </row>
    <row r="1573" ht="15.75" customHeight="1">
      <c r="A1573" s="4" t="s">
        <v>4220</v>
      </c>
      <c r="B1573" s="13">
        <v>46107.4534375</v>
      </c>
      <c r="C1573" s="4" t="s">
        <v>4221</v>
      </c>
      <c r="D1573" s="4" t="s">
        <v>1110</v>
      </c>
      <c r="E1573" s="4" t="s">
        <v>1064</v>
      </c>
      <c r="F1573" s="4"/>
      <c r="G1573" s="4" t="s">
        <v>195</v>
      </c>
      <c r="H1573" s="10">
        <v>227.83</v>
      </c>
      <c r="I1573" s="4" t="s">
        <v>1046</v>
      </c>
    </row>
    <row r="1574" ht="15.75" customHeight="1">
      <c r="A1574" s="4" t="s">
        <v>4222</v>
      </c>
      <c r="B1574" s="13">
        <v>46066.8445138889</v>
      </c>
      <c r="C1574" s="4" t="s">
        <v>4223</v>
      </c>
      <c r="D1574" s="4" t="s">
        <v>1163</v>
      </c>
      <c r="E1574" s="4" t="s">
        <v>1119</v>
      </c>
      <c r="F1574" s="4"/>
      <c r="G1574" s="4"/>
      <c r="H1574" s="4"/>
      <c r="I1574" s="4" t="s">
        <v>1050</v>
      </c>
    </row>
    <row r="1575" ht="15.75" customHeight="1">
      <c r="A1575" s="4" t="s">
        <v>4224</v>
      </c>
      <c r="B1575" s="13">
        <v>46073.7893634259</v>
      </c>
      <c r="C1575" s="4" t="s">
        <v>4225</v>
      </c>
      <c r="D1575" s="4" t="s">
        <v>1104</v>
      </c>
      <c r="E1575" s="4" t="s">
        <v>1105</v>
      </c>
      <c r="F1575" s="4" t="s">
        <v>158</v>
      </c>
      <c r="G1575" s="4"/>
      <c r="H1575" s="4"/>
      <c r="I1575" s="4" t="s">
        <v>587</v>
      </c>
    </row>
    <row r="1576" ht="15.75" customHeight="1">
      <c r="A1576" s="4" t="s">
        <v>4226</v>
      </c>
      <c r="B1576" s="13">
        <v>46091.8078935185</v>
      </c>
      <c r="C1576" s="4" t="s">
        <v>4227</v>
      </c>
      <c r="D1576" s="4" t="s">
        <v>1128</v>
      </c>
      <c r="E1576" s="4" t="s">
        <v>1105</v>
      </c>
      <c r="F1576" s="4" t="s">
        <v>192</v>
      </c>
      <c r="G1576" s="4"/>
      <c r="H1576" s="4"/>
      <c r="I1576" s="4" t="s">
        <v>1046</v>
      </c>
    </row>
    <row r="1577" ht="15.75" customHeight="1">
      <c r="A1577" s="4" t="s">
        <v>4228</v>
      </c>
      <c r="B1577" s="13">
        <v>46099.7454976852</v>
      </c>
      <c r="C1577" s="4" t="s">
        <v>4229</v>
      </c>
      <c r="D1577" s="4" t="s">
        <v>1086</v>
      </c>
      <c r="E1577" s="4" t="s">
        <v>1064</v>
      </c>
      <c r="F1577" s="4"/>
      <c r="G1577" s="4"/>
      <c r="H1577" s="4"/>
      <c r="I1577" s="4" t="s">
        <v>1031</v>
      </c>
    </row>
    <row r="1578" ht="15.75" customHeight="1">
      <c r="A1578" s="4" t="s">
        <v>4230</v>
      </c>
      <c r="B1578" s="13">
        <v>46042.6949074074</v>
      </c>
      <c r="C1578" s="4" t="s">
        <v>4231</v>
      </c>
      <c r="D1578" s="4" t="s">
        <v>1089</v>
      </c>
      <c r="E1578" s="4" t="s">
        <v>1105</v>
      </c>
      <c r="F1578" s="4" t="s">
        <v>294</v>
      </c>
      <c r="G1578" s="4"/>
      <c r="H1578" s="4"/>
      <c r="I1578" s="4" t="s">
        <v>1028</v>
      </c>
    </row>
    <row r="1579" ht="15.75" customHeight="1">
      <c r="A1579" s="4" t="s">
        <v>4232</v>
      </c>
      <c r="B1579" s="13">
        <v>46061.9168865741</v>
      </c>
      <c r="C1579" s="4" t="s">
        <v>4233</v>
      </c>
      <c r="D1579" s="4" t="s">
        <v>1081</v>
      </c>
      <c r="E1579" s="4" t="s">
        <v>1064</v>
      </c>
      <c r="F1579" s="4"/>
      <c r="G1579" s="4"/>
      <c r="H1579" s="4"/>
      <c r="I1579" s="4" t="s">
        <v>1035</v>
      </c>
    </row>
    <row r="1580" ht="15.75" customHeight="1">
      <c r="A1580" s="4" t="s">
        <v>4234</v>
      </c>
      <c r="B1580" s="13">
        <v>46079.4699768519</v>
      </c>
      <c r="C1580" s="4" t="s">
        <v>4235</v>
      </c>
      <c r="D1580" s="4" t="s">
        <v>1071</v>
      </c>
      <c r="E1580" s="4" t="s">
        <v>1119</v>
      </c>
      <c r="F1580" s="4"/>
      <c r="G1580" s="4"/>
      <c r="H1580" s="4"/>
      <c r="I1580" s="4" t="s">
        <v>1039</v>
      </c>
    </row>
    <row r="1581" ht="15.75" customHeight="1">
      <c r="A1581" s="4" t="s">
        <v>4236</v>
      </c>
      <c r="B1581" s="13">
        <v>46060.4828935185</v>
      </c>
      <c r="C1581" s="4" t="s">
        <v>4237</v>
      </c>
      <c r="D1581" s="4" t="s">
        <v>1110</v>
      </c>
      <c r="E1581" s="4" t="s">
        <v>1064</v>
      </c>
      <c r="F1581" s="4"/>
      <c r="G1581" s="4" t="s">
        <v>112</v>
      </c>
      <c r="H1581" s="10">
        <v>133.85</v>
      </c>
      <c r="I1581" s="4" t="s">
        <v>1050</v>
      </c>
    </row>
    <row r="1582" ht="15.75" customHeight="1">
      <c r="A1582" s="4" t="s">
        <v>4238</v>
      </c>
      <c r="B1582" s="13">
        <v>46114.8348032407</v>
      </c>
      <c r="C1582" s="4" t="s">
        <v>4239</v>
      </c>
      <c r="D1582" s="4" t="s">
        <v>1063</v>
      </c>
      <c r="E1582" s="4" t="s">
        <v>1064</v>
      </c>
      <c r="F1582" s="4"/>
      <c r="G1582" s="4" t="s">
        <v>77</v>
      </c>
      <c r="H1582" s="4"/>
      <c r="I1582" s="4" t="s">
        <v>1030</v>
      </c>
    </row>
    <row r="1583" ht="15.75" customHeight="1">
      <c r="A1583" s="4" t="s">
        <v>4240</v>
      </c>
      <c r="B1583" s="13">
        <v>46032.9323958333</v>
      </c>
      <c r="C1583" s="4" t="s">
        <v>4241</v>
      </c>
      <c r="D1583" s="4" t="s">
        <v>1089</v>
      </c>
      <c r="E1583" s="4" t="s">
        <v>1090</v>
      </c>
      <c r="F1583" s="4" t="s">
        <v>798</v>
      </c>
      <c r="G1583" s="4"/>
      <c r="H1583" s="4"/>
      <c r="I1583" s="4" t="s">
        <v>1046</v>
      </c>
    </row>
    <row r="1584" ht="15.75" customHeight="1">
      <c r="A1584" s="4" t="s">
        <v>4242</v>
      </c>
      <c r="B1584" s="13">
        <v>46124.6916898148</v>
      </c>
      <c r="C1584" s="4" t="s">
        <v>4243</v>
      </c>
      <c r="D1584" s="4" t="s">
        <v>1071</v>
      </c>
      <c r="E1584" s="4" t="s">
        <v>1072</v>
      </c>
      <c r="F1584" s="4"/>
      <c r="G1584" s="4"/>
      <c r="H1584" s="4"/>
      <c r="I1584" s="4" t="s">
        <v>1048</v>
      </c>
    </row>
    <row r="1585" ht="15.75" customHeight="1">
      <c r="A1585" s="4" t="s">
        <v>4244</v>
      </c>
      <c r="B1585" s="13">
        <v>46063.4763541667</v>
      </c>
      <c r="C1585" s="4" t="s">
        <v>4245</v>
      </c>
      <c r="D1585" s="4" t="s">
        <v>1063</v>
      </c>
      <c r="E1585" s="4" t="s">
        <v>1064</v>
      </c>
      <c r="F1585" s="4"/>
      <c r="G1585" s="4" t="s">
        <v>126</v>
      </c>
      <c r="H1585" s="4"/>
      <c r="I1585" s="4" t="s">
        <v>1028</v>
      </c>
    </row>
    <row r="1586" ht="15.75" customHeight="1">
      <c r="A1586" s="4" t="s">
        <v>4246</v>
      </c>
      <c r="B1586" s="13">
        <v>46121.8947337963</v>
      </c>
      <c r="C1586" s="4" t="s">
        <v>4247</v>
      </c>
      <c r="D1586" s="4" t="s">
        <v>1163</v>
      </c>
      <c r="E1586" s="4" t="s">
        <v>1119</v>
      </c>
      <c r="F1586" s="4"/>
      <c r="G1586" s="4"/>
      <c r="H1586" s="4"/>
      <c r="I1586" s="4" t="s">
        <v>1034</v>
      </c>
    </row>
    <row r="1587" ht="15.75" customHeight="1">
      <c r="A1587" s="4" t="s">
        <v>4248</v>
      </c>
      <c r="B1587" s="13">
        <v>46124.8232986111</v>
      </c>
      <c r="C1587" s="4" t="s">
        <v>4249</v>
      </c>
      <c r="D1587" s="4" t="s">
        <v>1081</v>
      </c>
      <c r="E1587" s="4" t="s">
        <v>1064</v>
      </c>
      <c r="F1587" s="4"/>
      <c r="G1587" s="4"/>
      <c r="H1587" s="4"/>
      <c r="I1587" s="4" t="s">
        <v>1046</v>
      </c>
    </row>
    <row r="1588" ht="15.75" customHeight="1">
      <c r="A1588" s="4" t="s">
        <v>4250</v>
      </c>
      <c r="B1588" s="13">
        <v>46040.5957060185</v>
      </c>
      <c r="C1588" s="4" t="s">
        <v>4251</v>
      </c>
      <c r="D1588" s="4" t="s">
        <v>1128</v>
      </c>
      <c r="E1588" s="4" t="s">
        <v>1105</v>
      </c>
      <c r="F1588" s="4" t="s">
        <v>140</v>
      </c>
      <c r="G1588" s="4"/>
      <c r="H1588" s="4"/>
      <c r="I1588" s="4" t="s">
        <v>1036</v>
      </c>
    </row>
    <row r="1589" ht="15.75" customHeight="1">
      <c r="A1589" s="4" t="s">
        <v>4252</v>
      </c>
      <c r="B1589" s="13">
        <v>46032.6750347222</v>
      </c>
      <c r="C1589" s="4" t="s">
        <v>4253</v>
      </c>
      <c r="D1589" s="4" t="s">
        <v>1089</v>
      </c>
      <c r="E1589" s="4" t="s">
        <v>1105</v>
      </c>
      <c r="F1589" s="4" t="s">
        <v>174</v>
      </c>
      <c r="G1589" s="4"/>
      <c r="H1589" s="4"/>
      <c r="I1589" s="4" t="s">
        <v>1036</v>
      </c>
    </row>
    <row r="1590" ht="15.75" customHeight="1">
      <c r="A1590" s="4" t="s">
        <v>4254</v>
      </c>
      <c r="B1590" s="13">
        <v>46078.8713310185</v>
      </c>
      <c r="C1590" s="4" t="s">
        <v>4255</v>
      </c>
      <c r="D1590" s="4" t="s">
        <v>1110</v>
      </c>
      <c r="E1590" s="4" t="s">
        <v>1064</v>
      </c>
      <c r="F1590" s="4"/>
      <c r="G1590" s="4" t="s">
        <v>61</v>
      </c>
      <c r="H1590" s="10">
        <v>121.63</v>
      </c>
      <c r="I1590" s="4" t="s">
        <v>587</v>
      </c>
    </row>
    <row r="1591" ht="15.75" customHeight="1">
      <c r="A1591" s="4" t="s">
        <v>4256</v>
      </c>
      <c r="B1591" s="13">
        <v>46111.6895949074</v>
      </c>
      <c r="C1591" s="4" t="s">
        <v>4257</v>
      </c>
      <c r="D1591" s="4" t="s">
        <v>1104</v>
      </c>
      <c r="E1591" s="4" t="s">
        <v>1090</v>
      </c>
      <c r="F1591" s="4" t="s">
        <v>788</v>
      </c>
      <c r="G1591" s="4"/>
      <c r="H1591" s="4"/>
      <c r="I1591" s="4" t="s">
        <v>1035</v>
      </c>
    </row>
    <row r="1592" ht="15.75" customHeight="1">
      <c r="A1592" s="4" t="s">
        <v>4258</v>
      </c>
      <c r="B1592" s="13">
        <v>46122.9120717593</v>
      </c>
      <c r="C1592" s="4" t="s">
        <v>4259</v>
      </c>
      <c r="D1592" s="4" t="s">
        <v>1063</v>
      </c>
      <c r="E1592" s="4" t="s">
        <v>1064</v>
      </c>
      <c r="F1592" s="4"/>
      <c r="G1592" s="4" t="s">
        <v>150</v>
      </c>
      <c r="H1592" s="4"/>
      <c r="I1592" s="4" t="s">
        <v>587</v>
      </c>
    </row>
    <row r="1593" ht="15.75" customHeight="1">
      <c r="A1593" s="4" t="s">
        <v>4260</v>
      </c>
      <c r="B1593" s="13">
        <v>46046.8860763889</v>
      </c>
      <c r="C1593" s="4" t="s">
        <v>4261</v>
      </c>
      <c r="D1593" s="4" t="s">
        <v>1063</v>
      </c>
      <c r="E1593" s="4" t="s">
        <v>1064</v>
      </c>
      <c r="F1593" s="4"/>
      <c r="G1593" s="4" t="s">
        <v>227</v>
      </c>
      <c r="H1593" s="4"/>
      <c r="I1593" s="4" t="s">
        <v>427</v>
      </c>
    </row>
    <row r="1594" ht="15.75" customHeight="1">
      <c r="A1594" s="4" t="s">
        <v>4262</v>
      </c>
      <c r="B1594" s="13">
        <v>46120.8525115741</v>
      </c>
      <c r="C1594" s="4" t="s">
        <v>4263</v>
      </c>
      <c r="D1594" s="4" t="s">
        <v>1163</v>
      </c>
      <c r="E1594" s="4" t="s">
        <v>1072</v>
      </c>
      <c r="F1594" s="4"/>
      <c r="G1594" s="4"/>
      <c r="H1594" s="4"/>
      <c r="I1594" s="4" t="s">
        <v>1052</v>
      </c>
    </row>
    <row r="1595" ht="15.75" customHeight="1">
      <c r="A1595" s="4" t="s">
        <v>4264</v>
      </c>
      <c r="B1595" s="13">
        <v>46032.6949305556</v>
      </c>
      <c r="C1595" s="4" t="s">
        <v>4265</v>
      </c>
      <c r="D1595" s="4" t="s">
        <v>1128</v>
      </c>
      <c r="E1595" s="4" t="s">
        <v>1105</v>
      </c>
      <c r="F1595" s="4" t="s">
        <v>102</v>
      </c>
      <c r="G1595" s="4"/>
      <c r="H1595" s="4"/>
      <c r="I1595" s="4" t="s">
        <v>1036</v>
      </c>
    </row>
    <row r="1596" ht="15.75" customHeight="1">
      <c r="A1596" s="4" t="s">
        <v>4266</v>
      </c>
      <c r="B1596" s="13">
        <v>46124.5370486111</v>
      </c>
      <c r="C1596" s="4" t="s">
        <v>4267</v>
      </c>
      <c r="D1596" s="4" t="s">
        <v>1093</v>
      </c>
      <c r="E1596" s="4" t="s">
        <v>1064</v>
      </c>
      <c r="F1596" s="4"/>
      <c r="G1596" s="4"/>
      <c r="H1596" s="4"/>
      <c r="I1596" s="4" t="s">
        <v>1050</v>
      </c>
    </row>
    <row r="1597" ht="15.75" customHeight="1">
      <c r="A1597" s="4" t="s">
        <v>4268</v>
      </c>
      <c r="B1597" s="13">
        <v>46103.6840046296</v>
      </c>
      <c r="C1597" s="4" t="s">
        <v>4269</v>
      </c>
      <c r="D1597" s="4" t="s">
        <v>1081</v>
      </c>
      <c r="E1597" s="4" t="s">
        <v>1064</v>
      </c>
      <c r="F1597" s="4"/>
      <c r="G1597" s="4"/>
      <c r="H1597" s="4"/>
      <c r="I1597" s="4" t="s">
        <v>587</v>
      </c>
    </row>
    <row r="1598" ht="15.75" customHeight="1">
      <c r="A1598" s="4" t="s">
        <v>4270</v>
      </c>
      <c r="B1598" s="13">
        <v>46058.7493518519</v>
      </c>
      <c r="C1598" s="4" t="s">
        <v>4271</v>
      </c>
      <c r="D1598" s="4" t="s">
        <v>1063</v>
      </c>
      <c r="E1598" s="4" t="s">
        <v>1064</v>
      </c>
      <c r="F1598" s="4"/>
      <c r="G1598" s="4" t="s">
        <v>93</v>
      </c>
      <c r="H1598" s="4"/>
      <c r="I1598" s="4" t="s">
        <v>1030</v>
      </c>
    </row>
    <row r="1599" ht="15.75" customHeight="1">
      <c r="A1599" s="4" t="s">
        <v>4272</v>
      </c>
      <c r="B1599" s="13">
        <v>46071.9253703704</v>
      </c>
      <c r="C1599" s="4" t="s">
        <v>4273</v>
      </c>
      <c r="D1599" s="4" t="s">
        <v>1110</v>
      </c>
      <c r="E1599" s="4" t="s">
        <v>1064</v>
      </c>
      <c r="F1599" s="4"/>
      <c r="G1599" s="4" t="s">
        <v>190</v>
      </c>
      <c r="H1599" s="10">
        <v>174.28</v>
      </c>
      <c r="I1599" s="4" t="s">
        <v>1052</v>
      </c>
    </row>
    <row r="1600" ht="15.75" customHeight="1">
      <c r="A1600" s="4" t="s">
        <v>4274</v>
      </c>
      <c r="B1600" s="13">
        <v>46130.8974421296</v>
      </c>
      <c r="C1600" s="4" t="s">
        <v>4275</v>
      </c>
      <c r="D1600" s="4" t="s">
        <v>1093</v>
      </c>
      <c r="E1600" s="4" t="s">
        <v>1064</v>
      </c>
      <c r="F1600" s="4"/>
      <c r="G1600" s="4"/>
      <c r="H1600" s="4"/>
      <c r="I1600" s="4" t="s">
        <v>1030</v>
      </c>
    </row>
    <row r="1601" ht="15.75" customHeight="1">
      <c r="A1601" s="4" t="s">
        <v>4276</v>
      </c>
      <c r="B1601" s="13">
        <v>46071.5069560185</v>
      </c>
      <c r="C1601" s="4" t="s">
        <v>4277</v>
      </c>
      <c r="D1601" s="4" t="s">
        <v>1078</v>
      </c>
      <c r="E1601" s="4" t="s">
        <v>1064</v>
      </c>
      <c r="F1601" s="4"/>
      <c r="G1601" s="4" t="s">
        <v>112</v>
      </c>
      <c r="H1601" s="10">
        <v>60.38</v>
      </c>
      <c r="I1601" s="4" t="s">
        <v>1050</v>
      </c>
    </row>
    <row r="1602" ht="15.75" customHeight="1">
      <c r="A1602" s="4" t="s">
        <v>4278</v>
      </c>
      <c r="B1602" s="13">
        <v>46035.4662962963</v>
      </c>
      <c r="C1602" s="4" t="s">
        <v>4279</v>
      </c>
      <c r="D1602" s="4" t="s">
        <v>1089</v>
      </c>
      <c r="E1602" s="4" t="s">
        <v>1105</v>
      </c>
      <c r="F1602" s="4" t="s">
        <v>234</v>
      </c>
      <c r="G1602" s="4"/>
      <c r="H1602" s="4"/>
      <c r="I1602" s="4" t="s">
        <v>1046</v>
      </c>
    </row>
    <row r="1603" ht="15.75" customHeight="1">
      <c r="A1603" s="4" t="s">
        <v>4280</v>
      </c>
      <c r="B1603" s="13">
        <v>46060.9572916667</v>
      </c>
      <c r="C1603" s="4" t="s">
        <v>4281</v>
      </c>
      <c r="D1603" s="4" t="s">
        <v>1075</v>
      </c>
      <c r="E1603" s="4" t="s">
        <v>1064</v>
      </c>
      <c r="F1603" s="4"/>
      <c r="G1603" s="4"/>
      <c r="H1603" s="4"/>
      <c r="I1603" s="4" t="s">
        <v>1028</v>
      </c>
    </row>
    <row r="1604" ht="15.75" customHeight="1">
      <c r="A1604" s="4" t="s">
        <v>4282</v>
      </c>
      <c r="B1604" s="13">
        <v>46078.4821180556</v>
      </c>
      <c r="C1604" s="4" t="s">
        <v>4283</v>
      </c>
      <c r="D1604" s="4" t="s">
        <v>1093</v>
      </c>
      <c r="E1604" s="4" t="s">
        <v>1064</v>
      </c>
      <c r="F1604" s="4"/>
      <c r="G1604" s="4"/>
      <c r="H1604" s="4"/>
      <c r="I1604" s="4" t="s">
        <v>1034</v>
      </c>
    </row>
    <row r="1605" ht="15.75" customHeight="1">
      <c r="A1605" s="4" t="s">
        <v>4284</v>
      </c>
      <c r="B1605" s="13">
        <v>46084.9038194444</v>
      </c>
      <c r="C1605" s="4" t="s">
        <v>4285</v>
      </c>
      <c r="D1605" s="4" t="s">
        <v>1089</v>
      </c>
      <c r="E1605" s="4" t="s">
        <v>1105</v>
      </c>
      <c r="F1605" s="4" t="s">
        <v>171</v>
      </c>
      <c r="G1605" s="4"/>
      <c r="H1605" s="4"/>
      <c r="I1605" s="4" t="s">
        <v>1048</v>
      </c>
    </row>
    <row r="1606" ht="15.75" customHeight="1">
      <c r="A1606" s="4" t="s">
        <v>4286</v>
      </c>
      <c r="B1606" s="13">
        <v>46131.8576736111</v>
      </c>
      <c r="C1606" s="4" t="s">
        <v>4287</v>
      </c>
      <c r="D1606" s="4" t="s">
        <v>1163</v>
      </c>
      <c r="E1606" s="4" t="s">
        <v>1119</v>
      </c>
      <c r="F1606" s="4"/>
      <c r="G1606" s="4"/>
      <c r="H1606" s="4"/>
      <c r="I1606" s="4" t="s">
        <v>1042</v>
      </c>
    </row>
    <row r="1607" ht="15.75" customHeight="1">
      <c r="A1607" s="4" t="s">
        <v>4288</v>
      </c>
      <c r="B1607" s="13">
        <v>46128.5589583333</v>
      </c>
      <c r="C1607" s="4" t="s">
        <v>4289</v>
      </c>
      <c r="D1607" s="4" t="s">
        <v>1110</v>
      </c>
      <c r="E1607" s="4" t="s">
        <v>1064</v>
      </c>
      <c r="F1607" s="4"/>
      <c r="G1607" s="4" t="s">
        <v>61</v>
      </c>
      <c r="H1607" s="10">
        <v>127.06</v>
      </c>
      <c r="I1607" s="4" t="s">
        <v>1030</v>
      </c>
    </row>
    <row r="1608" ht="15.75" customHeight="1">
      <c r="A1608" s="4" t="s">
        <v>4290</v>
      </c>
      <c r="B1608" s="13">
        <v>46101.4340509259</v>
      </c>
      <c r="C1608" s="4" t="s">
        <v>4291</v>
      </c>
      <c r="D1608" s="4" t="s">
        <v>1071</v>
      </c>
      <c r="E1608" s="4" t="s">
        <v>1072</v>
      </c>
      <c r="F1608" s="4"/>
      <c r="G1608" s="4"/>
      <c r="H1608" s="4"/>
      <c r="I1608" s="4" t="s">
        <v>1050</v>
      </c>
    </row>
    <row r="1609" ht="15.75" customHeight="1">
      <c r="A1609" s="4" t="s">
        <v>4292</v>
      </c>
      <c r="B1609" s="13">
        <v>46027.9868055556</v>
      </c>
      <c r="C1609" s="4" t="s">
        <v>4293</v>
      </c>
      <c r="D1609" s="4" t="s">
        <v>1071</v>
      </c>
      <c r="E1609" s="4" t="s">
        <v>1119</v>
      </c>
      <c r="F1609" s="4"/>
      <c r="G1609" s="4"/>
      <c r="H1609" s="4"/>
      <c r="I1609" s="4" t="s">
        <v>1030</v>
      </c>
    </row>
    <row r="1610" ht="15.75" customHeight="1">
      <c r="A1610" s="4" t="s">
        <v>4294</v>
      </c>
      <c r="B1610" s="13">
        <v>46099.9465625</v>
      </c>
      <c r="C1610" s="4" t="s">
        <v>4295</v>
      </c>
      <c r="D1610" s="4" t="s">
        <v>1086</v>
      </c>
      <c r="E1610" s="4" t="s">
        <v>1064</v>
      </c>
      <c r="F1610" s="4"/>
      <c r="G1610" s="4"/>
      <c r="H1610" s="4"/>
      <c r="I1610" s="4" t="s">
        <v>1048</v>
      </c>
    </row>
    <row r="1611" ht="15.75" customHeight="1">
      <c r="A1611" s="4" t="s">
        <v>4296</v>
      </c>
      <c r="B1611" s="13">
        <v>46035.601087963</v>
      </c>
      <c r="C1611" s="4" t="s">
        <v>4297</v>
      </c>
      <c r="D1611" s="4" t="s">
        <v>1071</v>
      </c>
      <c r="E1611" s="4" t="s">
        <v>1072</v>
      </c>
      <c r="F1611" s="4"/>
      <c r="G1611" s="4"/>
      <c r="H1611" s="4"/>
      <c r="I1611" s="4" t="s">
        <v>427</v>
      </c>
    </row>
    <row r="1612" ht="15.75" customHeight="1">
      <c r="A1612" s="4" t="s">
        <v>4298</v>
      </c>
      <c r="B1612" s="13">
        <v>46065.6282175926</v>
      </c>
      <c r="C1612" s="4" t="s">
        <v>4299</v>
      </c>
      <c r="D1612" s="4" t="s">
        <v>1104</v>
      </c>
      <c r="E1612" s="4" t="s">
        <v>1090</v>
      </c>
      <c r="F1612" s="4" t="s">
        <v>784</v>
      </c>
      <c r="G1612" s="4"/>
      <c r="H1612" s="4"/>
      <c r="I1612" s="4" t="s">
        <v>1031</v>
      </c>
    </row>
    <row r="1613" ht="15.75" customHeight="1">
      <c r="A1613" s="4" t="s">
        <v>4300</v>
      </c>
      <c r="B1613" s="13">
        <v>46040.5468402778</v>
      </c>
      <c r="C1613" s="4" t="s">
        <v>4301</v>
      </c>
      <c r="D1613" s="4" t="s">
        <v>1089</v>
      </c>
      <c r="E1613" s="4" t="s">
        <v>1105</v>
      </c>
      <c r="F1613" s="4" t="s">
        <v>166</v>
      </c>
      <c r="G1613" s="4"/>
      <c r="H1613" s="4"/>
      <c r="I1613" s="4" t="s">
        <v>1048</v>
      </c>
    </row>
    <row r="1614" ht="15.75" customHeight="1">
      <c r="A1614" s="4" t="s">
        <v>4302</v>
      </c>
      <c r="B1614" s="13">
        <v>46041.633900463</v>
      </c>
      <c r="C1614" s="4" t="s">
        <v>4303</v>
      </c>
      <c r="D1614" s="4" t="s">
        <v>1089</v>
      </c>
      <c r="E1614" s="4" t="s">
        <v>1105</v>
      </c>
      <c r="F1614" s="4" t="s">
        <v>277</v>
      </c>
      <c r="G1614" s="4"/>
      <c r="H1614" s="4"/>
      <c r="I1614" s="4" t="s">
        <v>587</v>
      </c>
    </row>
    <row r="1615" ht="15.75" customHeight="1">
      <c r="A1615" s="4" t="s">
        <v>4304</v>
      </c>
      <c r="B1615" s="13">
        <v>46104.4169675926</v>
      </c>
      <c r="C1615" s="4" t="s">
        <v>4305</v>
      </c>
      <c r="D1615" s="4" t="s">
        <v>1071</v>
      </c>
      <c r="E1615" s="4" t="s">
        <v>1072</v>
      </c>
      <c r="F1615" s="4"/>
      <c r="G1615" s="4"/>
      <c r="H1615" s="4"/>
      <c r="I1615" s="4" t="s">
        <v>1050</v>
      </c>
    </row>
    <row r="1616" ht="15.75" customHeight="1">
      <c r="A1616" s="4" t="s">
        <v>4306</v>
      </c>
      <c r="B1616" s="13">
        <v>46055.8584837963</v>
      </c>
      <c r="C1616" s="4" t="s">
        <v>4307</v>
      </c>
      <c r="D1616" s="4" t="s">
        <v>1063</v>
      </c>
      <c r="E1616" s="4" t="s">
        <v>1064</v>
      </c>
      <c r="F1616" s="4"/>
      <c r="G1616" s="4" t="s">
        <v>227</v>
      </c>
      <c r="H1616" s="4"/>
      <c r="I1616" s="4" t="s">
        <v>1050</v>
      </c>
    </row>
    <row r="1617" ht="15.75" customHeight="1">
      <c r="A1617" s="4" t="s">
        <v>4308</v>
      </c>
      <c r="B1617" s="13">
        <v>46126.423587963</v>
      </c>
      <c r="C1617" s="4" t="s">
        <v>4309</v>
      </c>
      <c r="D1617" s="4" t="s">
        <v>1089</v>
      </c>
      <c r="E1617" s="4" t="s">
        <v>1105</v>
      </c>
      <c r="F1617" s="4" t="s">
        <v>234</v>
      </c>
      <c r="G1617" s="4"/>
      <c r="H1617" s="4"/>
      <c r="I1617" s="4" t="s">
        <v>1028</v>
      </c>
    </row>
    <row r="1618" ht="15.75" customHeight="1">
      <c r="A1618" s="4" t="s">
        <v>4310</v>
      </c>
      <c r="B1618" s="13">
        <v>46113.9837615741</v>
      </c>
      <c r="C1618" s="4" t="s">
        <v>4311</v>
      </c>
      <c r="D1618" s="4" t="s">
        <v>1071</v>
      </c>
      <c r="E1618" s="4" t="s">
        <v>1072</v>
      </c>
      <c r="F1618" s="4"/>
      <c r="G1618" s="4"/>
      <c r="H1618" s="4"/>
      <c r="I1618" s="4" t="s">
        <v>1046</v>
      </c>
    </row>
    <row r="1619" ht="15.75" customHeight="1">
      <c r="A1619" s="4" t="s">
        <v>4312</v>
      </c>
      <c r="B1619" s="13">
        <v>46132.988900463</v>
      </c>
      <c r="C1619" s="4" t="s">
        <v>4313</v>
      </c>
      <c r="D1619" s="4" t="s">
        <v>1104</v>
      </c>
      <c r="E1619" s="4" t="s">
        <v>1105</v>
      </c>
      <c r="F1619" s="4" t="s">
        <v>79</v>
      </c>
      <c r="G1619" s="4"/>
      <c r="H1619" s="4"/>
      <c r="I1619" s="4" t="s">
        <v>1036</v>
      </c>
    </row>
    <row r="1620" ht="15.75" customHeight="1">
      <c r="A1620" s="4" t="s">
        <v>4314</v>
      </c>
      <c r="B1620" s="13">
        <v>46032.5117824074</v>
      </c>
      <c r="C1620" s="4" t="s">
        <v>4315</v>
      </c>
      <c r="D1620" s="4" t="s">
        <v>1078</v>
      </c>
      <c r="E1620" s="4" t="s">
        <v>1064</v>
      </c>
      <c r="F1620" s="4"/>
      <c r="G1620" s="4" t="s">
        <v>107</v>
      </c>
      <c r="H1620" s="10">
        <v>107.46</v>
      </c>
      <c r="I1620" s="4" t="s">
        <v>1052</v>
      </c>
    </row>
    <row r="1621" ht="15.75" customHeight="1">
      <c r="A1621" s="4" t="s">
        <v>4316</v>
      </c>
      <c r="B1621" s="13">
        <v>46103.7592013889</v>
      </c>
      <c r="C1621" s="4" t="s">
        <v>4317</v>
      </c>
      <c r="D1621" s="4" t="s">
        <v>1081</v>
      </c>
      <c r="E1621" s="4" t="s">
        <v>1064</v>
      </c>
      <c r="F1621" s="4"/>
      <c r="G1621" s="4"/>
      <c r="H1621" s="4"/>
      <c r="I1621" s="4" t="s">
        <v>1035</v>
      </c>
    </row>
    <row r="1622" ht="15.75" customHeight="1">
      <c r="A1622" s="4" t="s">
        <v>4318</v>
      </c>
      <c r="B1622" s="13">
        <v>46081.8538078704</v>
      </c>
      <c r="C1622" s="4" t="s">
        <v>4319</v>
      </c>
      <c r="D1622" s="4" t="s">
        <v>1163</v>
      </c>
      <c r="E1622" s="4" t="s">
        <v>1072</v>
      </c>
      <c r="F1622" s="4"/>
      <c r="G1622" s="4"/>
      <c r="H1622" s="4"/>
      <c r="I1622" s="4" t="s">
        <v>1034</v>
      </c>
    </row>
    <row r="1623" ht="15.75" customHeight="1">
      <c r="A1623" s="4" t="s">
        <v>4320</v>
      </c>
      <c r="B1623" s="13">
        <v>46130.9469907407</v>
      </c>
      <c r="C1623" s="4" t="s">
        <v>4321</v>
      </c>
      <c r="D1623" s="4" t="s">
        <v>1081</v>
      </c>
      <c r="E1623" s="4" t="s">
        <v>1064</v>
      </c>
      <c r="F1623" s="4"/>
      <c r="G1623" s="4"/>
      <c r="H1623" s="4"/>
      <c r="I1623" s="4" t="s">
        <v>1052</v>
      </c>
    </row>
    <row r="1624" ht="15.75" customHeight="1">
      <c r="A1624" s="4" t="s">
        <v>4322</v>
      </c>
      <c r="B1624" s="13">
        <v>46052.6328240741</v>
      </c>
      <c r="C1624" s="4" t="s">
        <v>4323</v>
      </c>
      <c r="D1624" s="4" t="s">
        <v>1089</v>
      </c>
      <c r="E1624" s="4" t="s">
        <v>1105</v>
      </c>
      <c r="F1624" s="4" t="s">
        <v>297</v>
      </c>
      <c r="G1624" s="4"/>
      <c r="H1624" s="4"/>
      <c r="I1624" s="4" t="s">
        <v>1046</v>
      </c>
    </row>
    <row r="1625" ht="15.75" customHeight="1">
      <c r="A1625" s="4" t="s">
        <v>4324</v>
      </c>
      <c r="B1625" s="13">
        <v>46066.4923611111</v>
      </c>
      <c r="C1625" s="4" t="s">
        <v>4325</v>
      </c>
      <c r="D1625" s="4" t="s">
        <v>1078</v>
      </c>
      <c r="E1625" s="4" t="s">
        <v>1064</v>
      </c>
      <c r="F1625" s="4"/>
      <c r="G1625" s="4" t="s">
        <v>84</v>
      </c>
      <c r="H1625" s="10">
        <v>132.74</v>
      </c>
      <c r="I1625" s="4" t="s">
        <v>1046</v>
      </c>
    </row>
    <row r="1626" ht="15.75" customHeight="1">
      <c r="A1626" s="4" t="s">
        <v>4326</v>
      </c>
      <c r="B1626" s="13">
        <v>46125.6202199074</v>
      </c>
      <c r="C1626" s="4" t="s">
        <v>4327</v>
      </c>
      <c r="D1626" s="4" t="s">
        <v>1086</v>
      </c>
      <c r="E1626" s="4" t="s">
        <v>1064</v>
      </c>
      <c r="F1626" s="4"/>
      <c r="G1626" s="4"/>
      <c r="H1626" s="4"/>
      <c r="I1626" s="4" t="s">
        <v>587</v>
      </c>
    </row>
    <row r="1627" ht="15.75" customHeight="1">
      <c r="A1627" s="4" t="s">
        <v>4328</v>
      </c>
      <c r="B1627" s="13">
        <v>46131.715625</v>
      </c>
      <c r="C1627" s="4" t="s">
        <v>4329</v>
      </c>
      <c r="D1627" s="4" t="s">
        <v>1063</v>
      </c>
      <c r="E1627" s="4" t="s">
        <v>1064</v>
      </c>
      <c r="F1627" s="4"/>
      <c r="G1627" s="4" t="s">
        <v>84</v>
      </c>
      <c r="H1627" s="4"/>
      <c r="I1627" s="4" t="s">
        <v>1035</v>
      </c>
    </row>
    <row r="1628" ht="15.75" customHeight="1">
      <c r="A1628" s="4" t="s">
        <v>4330</v>
      </c>
      <c r="B1628" s="13">
        <v>46075.4625694445</v>
      </c>
      <c r="C1628" s="4" t="s">
        <v>4331</v>
      </c>
      <c r="D1628" s="4" t="s">
        <v>1093</v>
      </c>
      <c r="E1628" s="4" t="s">
        <v>1064</v>
      </c>
      <c r="F1628" s="4"/>
      <c r="G1628" s="4"/>
      <c r="H1628" s="4"/>
      <c r="I1628" s="4" t="s">
        <v>1031</v>
      </c>
    </row>
    <row r="1629" ht="15.75" customHeight="1">
      <c r="A1629" s="4" t="s">
        <v>4332</v>
      </c>
      <c r="B1629" s="13">
        <v>46080.8046643519</v>
      </c>
      <c r="C1629" s="4" t="s">
        <v>4333</v>
      </c>
      <c r="D1629" s="4" t="s">
        <v>1078</v>
      </c>
      <c r="E1629" s="4" t="s">
        <v>1064</v>
      </c>
      <c r="F1629" s="4"/>
      <c r="G1629" s="4" t="s">
        <v>244</v>
      </c>
      <c r="H1629" s="10">
        <v>111.31</v>
      </c>
      <c r="I1629" s="4" t="s">
        <v>1046</v>
      </c>
    </row>
    <row r="1630" ht="15.75" customHeight="1">
      <c r="A1630" s="4" t="s">
        <v>4334</v>
      </c>
      <c r="B1630" s="13">
        <v>46044.8636111111</v>
      </c>
      <c r="C1630" s="4" t="s">
        <v>4335</v>
      </c>
      <c r="D1630" s="4" t="s">
        <v>1128</v>
      </c>
      <c r="E1630" s="4" t="s">
        <v>1090</v>
      </c>
      <c r="F1630" s="4" t="s">
        <v>817</v>
      </c>
      <c r="G1630" s="4"/>
      <c r="H1630" s="4"/>
      <c r="I1630" s="4" t="s">
        <v>1042</v>
      </c>
    </row>
    <row r="1631" ht="15.75" customHeight="1">
      <c r="A1631" s="4" t="s">
        <v>4336</v>
      </c>
      <c r="B1631" s="13">
        <v>46097.3600925926</v>
      </c>
      <c r="C1631" s="4" t="s">
        <v>4337</v>
      </c>
      <c r="D1631" s="4" t="s">
        <v>1110</v>
      </c>
      <c r="E1631" s="4" t="s">
        <v>1064</v>
      </c>
      <c r="F1631" s="4"/>
      <c r="G1631" s="4" t="s">
        <v>61</v>
      </c>
      <c r="H1631" s="10">
        <v>30.42</v>
      </c>
      <c r="I1631" s="4" t="s">
        <v>1031</v>
      </c>
    </row>
    <row r="1632" ht="15.75" customHeight="1">
      <c r="A1632" s="4" t="s">
        <v>4338</v>
      </c>
      <c r="B1632" s="13">
        <v>46115.583275463</v>
      </c>
      <c r="C1632" s="4" t="s">
        <v>4339</v>
      </c>
      <c r="D1632" s="4" t="s">
        <v>1075</v>
      </c>
      <c r="E1632" s="4" t="s">
        <v>1064</v>
      </c>
      <c r="F1632" s="4"/>
      <c r="G1632" s="4"/>
      <c r="H1632" s="4"/>
      <c r="I1632" s="4" t="s">
        <v>1031</v>
      </c>
    </row>
    <row r="1633" ht="15.75" customHeight="1">
      <c r="A1633" s="4" t="s">
        <v>4340</v>
      </c>
      <c r="B1633" s="13">
        <v>46083.402650463</v>
      </c>
      <c r="C1633" s="4" t="s">
        <v>4341</v>
      </c>
      <c r="D1633" s="4" t="s">
        <v>1163</v>
      </c>
      <c r="E1633" s="4" t="s">
        <v>1119</v>
      </c>
      <c r="F1633" s="4"/>
      <c r="G1633" s="4"/>
      <c r="H1633" s="4"/>
      <c r="I1633" s="4" t="s">
        <v>1046</v>
      </c>
    </row>
    <row r="1634" ht="15.75" customHeight="1">
      <c r="A1634" s="4" t="s">
        <v>4342</v>
      </c>
      <c r="B1634" s="13">
        <v>46119.60875</v>
      </c>
      <c r="C1634" s="4" t="s">
        <v>4343</v>
      </c>
      <c r="D1634" s="4" t="s">
        <v>1089</v>
      </c>
      <c r="E1634" s="4" t="s">
        <v>1105</v>
      </c>
      <c r="F1634" s="4" t="s">
        <v>132</v>
      </c>
      <c r="G1634" s="4"/>
      <c r="H1634" s="4"/>
      <c r="I1634" s="4" t="s">
        <v>1039</v>
      </c>
    </row>
    <row r="1635" ht="15.75" customHeight="1">
      <c r="A1635" s="4" t="s">
        <v>4344</v>
      </c>
      <c r="B1635" s="13">
        <v>46031.4190740741</v>
      </c>
      <c r="C1635" s="4" t="s">
        <v>4345</v>
      </c>
      <c r="D1635" s="4" t="s">
        <v>1093</v>
      </c>
      <c r="E1635" s="4" t="s">
        <v>1064</v>
      </c>
      <c r="F1635" s="4"/>
      <c r="G1635" s="4"/>
      <c r="H1635" s="4"/>
      <c r="I1635" s="4" t="s">
        <v>1036</v>
      </c>
    </row>
    <row r="1636" ht="15.75" customHeight="1">
      <c r="A1636" s="4" t="s">
        <v>4346</v>
      </c>
      <c r="B1636" s="13">
        <v>46045.571412037</v>
      </c>
      <c r="C1636" s="4" t="s">
        <v>4347</v>
      </c>
      <c r="D1636" s="4" t="s">
        <v>1075</v>
      </c>
      <c r="E1636" s="4" t="s">
        <v>1064</v>
      </c>
      <c r="F1636" s="4"/>
      <c r="G1636" s="4"/>
      <c r="H1636" s="4"/>
      <c r="I1636" s="4" t="s">
        <v>1050</v>
      </c>
    </row>
    <row r="1637" ht="15.75" customHeight="1">
      <c r="A1637" s="4" t="s">
        <v>4348</v>
      </c>
      <c r="B1637" s="13">
        <v>46043.6338310185</v>
      </c>
      <c r="C1637" s="4" t="s">
        <v>4349</v>
      </c>
      <c r="D1637" s="4" t="s">
        <v>1110</v>
      </c>
      <c r="E1637" s="4" t="s">
        <v>1064</v>
      </c>
      <c r="F1637" s="4"/>
      <c r="G1637" s="4" t="s">
        <v>126</v>
      </c>
      <c r="H1637" s="10">
        <v>81.47</v>
      </c>
      <c r="I1637" s="4" t="s">
        <v>1031</v>
      </c>
    </row>
    <row r="1638" ht="15.75" customHeight="1">
      <c r="A1638" s="4" t="s">
        <v>4350</v>
      </c>
      <c r="B1638" s="13">
        <v>46123.8699652778</v>
      </c>
      <c r="C1638" s="4" t="s">
        <v>4351</v>
      </c>
      <c r="D1638" s="4" t="s">
        <v>1089</v>
      </c>
      <c r="E1638" s="4" t="s">
        <v>1105</v>
      </c>
      <c r="F1638" s="4" t="s">
        <v>54</v>
      </c>
      <c r="G1638" s="4"/>
      <c r="H1638" s="4"/>
      <c r="I1638" s="4" t="s">
        <v>1031</v>
      </c>
    </row>
    <row r="1639" ht="15.75" customHeight="1">
      <c r="A1639" s="4" t="s">
        <v>4352</v>
      </c>
      <c r="B1639" s="13">
        <v>46067.5085763889</v>
      </c>
      <c r="C1639" s="4" t="s">
        <v>4353</v>
      </c>
      <c r="D1639" s="4" t="s">
        <v>1071</v>
      </c>
      <c r="E1639" s="4" t="s">
        <v>1119</v>
      </c>
      <c r="F1639" s="4"/>
      <c r="G1639" s="4"/>
      <c r="H1639" s="4"/>
      <c r="I1639" s="4" t="s">
        <v>1036</v>
      </c>
    </row>
    <row r="1640" ht="15.75" customHeight="1">
      <c r="A1640" s="4" t="s">
        <v>4354</v>
      </c>
      <c r="B1640" s="13">
        <v>46034.5224652778</v>
      </c>
      <c r="C1640" s="4" t="s">
        <v>4355</v>
      </c>
      <c r="D1640" s="4" t="s">
        <v>1078</v>
      </c>
      <c r="E1640" s="4" t="s">
        <v>1064</v>
      </c>
      <c r="F1640" s="4"/>
      <c r="G1640" s="4" t="s">
        <v>77</v>
      </c>
      <c r="H1640" s="10">
        <v>158.11</v>
      </c>
      <c r="I1640" s="4" t="s">
        <v>1050</v>
      </c>
    </row>
    <row r="1641" ht="15.75" customHeight="1">
      <c r="A1641" s="4" t="s">
        <v>4356</v>
      </c>
      <c r="B1641" s="13">
        <v>46090.7628935185</v>
      </c>
      <c r="C1641" s="4" t="s">
        <v>4357</v>
      </c>
      <c r="D1641" s="4" t="s">
        <v>1078</v>
      </c>
      <c r="E1641" s="4" t="s">
        <v>1064</v>
      </c>
      <c r="F1641" s="4"/>
      <c r="G1641" s="4" t="s">
        <v>244</v>
      </c>
      <c r="H1641" s="10">
        <v>145.76</v>
      </c>
      <c r="I1641" s="4" t="s">
        <v>1050</v>
      </c>
    </row>
    <row r="1642" ht="15.75" customHeight="1">
      <c r="A1642" s="4" t="s">
        <v>4358</v>
      </c>
      <c r="B1642" s="13">
        <v>46069.8055208333</v>
      </c>
      <c r="C1642" s="4" t="s">
        <v>4359</v>
      </c>
      <c r="D1642" s="4" t="s">
        <v>1128</v>
      </c>
      <c r="E1642" s="4" t="s">
        <v>1105</v>
      </c>
      <c r="F1642" s="4" t="s">
        <v>218</v>
      </c>
      <c r="G1642" s="4"/>
      <c r="H1642" s="4"/>
      <c r="I1642" s="4" t="s">
        <v>1031</v>
      </c>
    </row>
    <row r="1643" ht="15.75" customHeight="1">
      <c r="A1643" s="4" t="s">
        <v>4360</v>
      </c>
      <c r="B1643" s="13">
        <v>46039.8068402778</v>
      </c>
      <c r="C1643" s="4" t="s">
        <v>4361</v>
      </c>
      <c r="D1643" s="4" t="s">
        <v>1078</v>
      </c>
      <c r="E1643" s="4" t="s">
        <v>1064</v>
      </c>
      <c r="F1643" s="4"/>
      <c r="G1643" s="4" t="s">
        <v>244</v>
      </c>
      <c r="H1643" s="10">
        <v>122.73</v>
      </c>
      <c r="I1643" s="4" t="s">
        <v>1046</v>
      </c>
    </row>
    <row r="1644" ht="15.75" customHeight="1">
      <c r="A1644" s="4" t="s">
        <v>4362</v>
      </c>
      <c r="B1644" s="13">
        <v>46073.3633217593</v>
      </c>
      <c r="C1644" s="4" t="s">
        <v>4363</v>
      </c>
      <c r="D1644" s="4" t="s">
        <v>1163</v>
      </c>
      <c r="E1644" s="4" t="s">
        <v>1072</v>
      </c>
      <c r="F1644" s="4"/>
      <c r="G1644" s="4"/>
      <c r="H1644" s="4"/>
      <c r="I1644" s="4" t="s">
        <v>1052</v>
      </c>
    </row>
    <row r="1645" ht="15.75" customHeight="1">
      <c r="A1645" s="4" t="s">
        <v>4364</v>
      </c>
      <c r="B1645" s="13">
        <v>46084.4152430556</v>
      </c>
      <c r="C1645" s="4" t="s">
        <v>4365</v>
      </c>
      <c r="D1645" s="4" t="s">
        <v>1104</v>
      </c>
      <c r="E1645" s="4" t="s">
        <v>1105</v>
      </c>
      <c r="F1645" s="4" t="s">
        <v>209</v>
      </c>
      <c r="G1645" s="4"/>
      <c r="H1645" s="4"/>
      <c r="I1645" s="4" t="s">
        <v>1052</v>
      </c>
    </row>
    <row r="1646" ht="15.75" customHeight="1">
      <c r="A1646" s="4" t="s">
        <v>4366</v>
      </c>
      <c r="B1646" s="13">
        <v>46122.5242013889</v>
      </c>
      <c r="C1646" s="4" t="s">
        <v>4367</v>
      </c>
      <c r="D1646" s="4" t="s">
        <v>1071</v>
      </c>
      <c r="E1646" s="4" t="s">
        <v>1119</v>
      </c>
      <c r="F1646" s="4"/>
      <c r="G1646" s="4"/>
      <c r="H1646" s="4"/>
      <c r="I1646" s="4" t="s">
        <v>1048</v>
      </c>
    </row>
    <row r="1647" ht="15.75" customHeight="1">
      <c r="A1647" s="4" t="s">
        <v>4368</v>
      </c>
      <c r="B1647" s="13">
        <v>46048.4283680556</v>
      </c>
      <c r="C1647" s="4" t="s">
        <v>4369</v>
      </c>
      <c r="D1647" s="4" t="s">
        <v>1093</v>
      </c>
      <c r="E1647" s="4" t="s">
        <v>1064</v>
      </c>
      <c r="F1647" s="4"/>
      <c r="G1647" s="4"/>
      <c r="H1647" s="4"/>
      <c r="I1647" s="4" t="s">
        <v>1031</v>
      </c>
    </row>
    <row r="1648" ht="15.75" customHeight="1">
      <c r="A1648" s="4" t="s">
        <v>4370</v>
      </c>
      <c r="B1648" s="13">
        <v>46096.479837963</v>
      </c>
      <c r="C1648" s="4" t="s">
        <v>4371</v>
      </c>
      <c r="D1648" s="4" t="s">
        <v>1128</v>
      </c>
      <c r="E1648" s="4" t="s">
        <v>1105</v>
      </c>
      <c r="F1648" s="4" t="s">
        <v>158</v>
      </c>
      <c r="G1648" s="4"/>
      <c r="H1648" s="4"/>
      <c r="I1648" s="4" t="s">
        <v>1052</v>
      </c>
    </row>
    <row r="1649" ht="15.75" customHeight="1">
      <c r="A1649" s="4" t="s">
        <v>4372</v>
      </c>
      <c r="B1649" s="13">
        <v>46092.3541666667</v>
      </c>
      <c r="C1649" s="4" t="s">
        <v>4373</v>
      </c>
      <c r="D1649" s="4" t="s">
        <v>1128</v>
      </c>
      <c r="E1649" s="4" t="s">
        <v>1105</v>
      </c>
      <c r="F1649" s="4" t="s">
        <v>229</v>
      </c>
      <c r="G1649" s="4"/>
      <c r="H1649" s="4"/>
      <c r="I1649" s="4" t="s">
        <v>1050</v>
      </c>
    </row>
    <row r="1650" ht="15.75" customHeight="1">
      <c r="A1650" s="4" t="s">
        <v>4374</v>
      </c>
      <c r="B1650" s="13">
        <v>46110.4229282407</v>
      </c>
      <c r="C1650" s="4" t="s">
        <v>4375</v>
      </c>
      <c r="D1650" s="4" t="s">
        <v>1063</v>
      </c>
      <c r="E1650" s="4" t="s">
        <v>1064</v>
      </c>
      <c r="F1650" s="4"/>
      <c r="G1650" s="4" t="s">
        <v>144</v>
      </c>
      <c r="H1650" s="4"/>
      <c r="I1650" s="4" t="s">
        <v>1030</v>
      </c>
    </row>
    <row r="1651" ht="15.75" customHeight="1">
      <c r="A1651" s="4" t="s">
        <v>4376</v>
      </c>
      <c r="B1651" s="13">
        <v>46085.8051273148</v>
      </c>
      <c r="C1651" s="4" t="s">
        <v>4377</v>
      </c>
      <c r="D1651" s="4" t="s">
        <v>1086</v>
      </c>
      <c r="E1651" s="4" t="s">
        <v>1064</v>
      </c>
      <c r="F1651" s="4"/>
      <c r="G1651" s="4"/>
      <c r="H1651" s="4"/>
      <c r="I1651" s="4" t="s">
        <v>1046</v>
      </c>
    </row>
    <row r="1652" ht="15.75" customHeight="1">
      <c r="A1652" s="4" t="s">
        <v>4378</v>
      </c>
      <c r="B1652" s="13">
        <v>46040.4193865741</v>
      </c>
      <c r="C1652" s="4" t="s">
        <v>4379</v>
      </c>
      <c r="D1652" s="4" t="s">
        <v>1071</v>
      </c>
      <c r="E1652" s="4" t="s">
        <v>1072</v>
      </c>
      <c r="F1652" s="4"/>
      <c r="G1652" s="4"/>
      <c r="H1652" s="4"/>
      <c r="I1652" s="4" t="s">
        <v>1039</v>
      </c>
    </row>
    <row r="1653" ht="15.75" customHeight="1">
      <c r="A1653" s="4" t="s">
        <v>4380</v>
      </c>
      <c r="B1653" s="13">
        <v>46122.4737268519</v>
      </c>
      <c r="C1653" s="4" t="s">
        <v>4381</v>
      </c>
      <c r="D1653" s="4" t="s">
        <v>1089</v>
      </c>
      <c r="E1653" s="4" t="s">
        <v>1105</v>
      </c>
      <c r="F1653" s="4" t="s">
        <v>79</v>
      </c>
      <c r="G1653" s="4"/>
      <c r="H1653" s="4"/>
      <c r="I1653" s="4" t="s">
        <v>1052</v>
      </c>
    </row>
    <row r="1654" ht="15.75" customHeight="1">
      <c r="A1654" s="4" t="s">
        <v>4382</v>
      </c>
      <c r="B1654" s="13">
        <v>46073.3962268519</v>
      </c>
      <c r="C1654" s="4" t="s">
        <v>4383</v>
      </c>
      <c r="D1654" s="4" t="s">
        <v>1086</v>
      </c>
      <c r="E1654" s="4" t="s">
        <v>1064</v>
      </c>
      <c r="F1654" s="4"/>
      <c r="G1654" s="4"/>
      <c r="H1654" s="4"/>
      <c r="I1654" s="4" t="s">
        <v>1052</v>
      </c>
    </row>
    <row r="1655" ht="15.75" customHeight="1">
      <c r="A1655" s="4" t="s">
        <v>4384</v>
      </c>
      <c r="B1655" s="13">
        <v>46024.8142476852</v>
      </c>
      <c r="C1655" s="4" t="s">
        <v>4385</v>
      </c>
      <c r="D1655" s="4" t="s">
        <v>1110</v>
      </c>
      <c r="E1655" s="4" t="s">
        <v>1064</v>
      </c>
      <c r="F1655" s="4"/>
      <c r="G1655" s="4" t="s">
        <v>77</v>
      </c>
      <c r="H1655" s="10">
        <v>141.4</v>
      </c>
      <c r="I1655" s="4" t="s">
        <v>1028</v>
      </c>
    </row>
    <row r="1656" ht="15.75" customHeight="1">
      <c r="A1656" s="4" t="s">
        <v>4386</v>
      </c>
      <c r="B1656" s="13">
        <v>46077.4097800926</v>
      </c>
      <c r="C1656" s="4" t="s">
        <v>4387</v>
      </c>
      <c r="D1656" s="4" t="s">
        <v>1089</v>
      </c>
      <c r="E1656" s="4" t="s">
        <v>1105</v>
      </c>
      <c r="F1656" s="4" t="s">
        <v>205</v>
      </c>
      <c r="G1656" s="4"/>
      <c r="H1656" s="4"/>
      <c r="I1656" s="4" t="s">
        <v>1046</v>
      </c>
    </row>
    <row r="1657" ht="15.75" customHeight="1">
      <c r="A1657" s="4" t="s">
        <v>4388</v>
      </c>
      <c r="B1657" s="13">
        <v>46057.7727430556</v>
      </c>
      <c r="C1657" s="4" t="s">
        <v>4389</v>
      </c>
      <c r="D1657" s="4" t="s">
        <v>1104</v>
      </c>
      <c r="E1657" s="4" t="s">
        <v>1105</v>
      </c>
      <c r="F1657" s="4" t="s">
        <v>71</v>
      </c>
      <c r="G1657" s="4"/>
      <c r="H1657" s="4"/>
      <c r="I1657" s="4" t="s">
        <v>1039</v>
      </c>
    </row>
    <row r="1658" ht="15.75" customHeight="1">
      <c r="A1658" s="4" t="s">
        <v>4390</v>
      </c>
      <c r="B1658" s="13">
        <v>46095.8969675926</v>
      </c>
      <c r="C1658" s="4" t="s">
        <v>4391</v>
      </c>
      <c r="D1658" s="4" t="s">
        <v>1104</v>
      </c>
      <c r="E1658" s="4" t="s">
        <v>1105</v>
      </c>
      <c r="F1658" s="4" t="s">
        <v>251</v>
      </c>
      <c r="G1658" s="4"/>
      <c r="H1658" s="4"/>
      <c r="I1658" s="4" t="s">
        <v>427</v>
      </c>
    </row>
    <row r="1659" ht="15.75" customHeight="1">
      <c r="A1659" s="4" t="s">
        <v>4392</v>
      </c>
      <c r="B1659" s="13">
        <v>46038.524837963</v>
      </c>
      <c r="C1659" s="4" t="s">
        <v>4393</v>
      </c>
      <c r="D1659" s="4" t="s">
        <v>1089</v>
      </c>
      <c r="E1659" s="4" t="s">
        <v>1105</v>
      </c>
      <c r="F1659" s="4" t="s">
        <v>251</v>
      </c>
      <c r="G1659" s="4"/>
      <c r="H1659" s="4"/>
      <c r="I1659" s="4" t="s">
        <v>1046</v>
      </c>
    </row>
    <row r="1660" ht="15.75" customHeight="1">
      <c r="A1660" s="4" t="s">
        <v>4394</v>
      </c>
      <c r="B1660" s="13">
        <v>46129.6921412037</v>
      </c>
      <c r="C1660" s="4" t="s">
        <v>4395</v>
      </c>
      <c r="D1660" s="4" t="s">
        <v>1089</v>
      </c>
      <c r="E1660" s="4" t="s">
        <v>1105</v>
      </c>
      <c r="F1660" s="4" t="s">
        <v>102</v>
      </c>
      <c r="G1660" s="4"/>
      <c r="H1660" s="4"/>
      <c r="I1660" s="4" t="s">
        <v>1034</v>
      </c>
    </row>
    <row r="1661" ht="15.75" customHeight="1">
      <c r="A1661" s="4" t="s">
        <v>4396</v>
      </c>
      <c r="B1661" s="13">
        <v>46103.8321759259</v>
      </c>
      <c r="C1661" s="4" t="s">
        <v>4397</v>
      </c>
      <c r="D1661" s="4" t="s">
        <v>1163</v>
      </c>
      <c r="E1661" s="4" t="s">
        <v>1119</v>
      </c>
      <c r="F1661" s="4"/>
      <c r="G1661" s="4"/>
      <c r="H1661" s="4"/>
      <c r="I1661" s="4" t="s">
        <v>1046</v>
      </c>
    </row>
    <row r="1662" ht="15.75" customHeight="1">
      <c r="A1662" s="4" t="s">
        <v>4398</v>
      </c>
      <c r="B1662" s="13">
        <v>46059.5430208333</v>
      </c>
      <c r="C1662" s="4" t="s">
        <v>4399</v>
      </c>
      <c r="D1662" s="4" t="s">
        <v>1104</v>
      </c>
      <c r="E1662" s="4" t="s">
        <v>1090</v>
      </c>
      <c r="F1662" s="4" t="s">
        <v>780</v>
      </c>
      <c r="G1662" s="4"/>
      <c r="H1662" s="4"/>
      <c r="I1662" s="4" t="s">
        <v>1035</v>
      </c>
    </row>
    <row r="1663" ht="15.75" customHeight="1">
      <c r="A1663" s="4" t="s">
        <v>4400</v>
      </c>
      <c r="B1663" s="13">
        <v>46046.7332291667</v>
      </c>
      <c r="C1663" s="4" t="s">
        <v>4401</v>
      </c>
      <c r="D1663" s="4" t="s">
        <v>1078</v>
      </c>
      <c r="E1663" s="4" t="s">
        <v>1064</v>
      </c>
      <c r="F1663" s="4"/>
      <c r="G1663" s="4" t="s">
        <v>77</v>
      </c>
      <c r="H1663" s="10">
        <v>42.59</v>
      </c>
      <c r="I1663" s="4" t="s">
        <v>1036</v>
      </c>
    </row>
    <row r="1664" ht="15.75" customHeight="1">
      <c r="A1664" s="4" t="s">
        <v>4402</v>
      </c>
      <c r="B1664" s="13">
        <v>46089.6556018519</v>
      </c>
      <c r="C1664" s="4" t="s">
        <v>4403</v>
      </c>
      <c r="D1664" s="4" t="s">
        <v>1104</v>
      </c>
      <c r="E1664" s="4" t="s">
        <v>1090</v>
      </c>
      <c r="F1664" s="4" t="s">
        <v>821</v>
      </c>
      <c r="G1664" s="4"/>
      <c r="H1664" s="4"/>
      <c r="I1664" s="4" t="s">
        <v>1046</v>
      </c>
    </row>
    <row r="1665" ht="15.75" customHeight="1">
      <c r="A1665" s="4" t="s">
        <v>4404</v>
      </c>
      <c r="B1665" s="13">
        <v>46120.9068287037</v>
      </c>
      <c r="C1665" s="4" t="s">
        <v>4405</v>
      </c>
      <c r="D1665" s="4" t="s">
        <v>1110</v>
      </c>
      <c r="E1665" s="4" t="s">
        <v>1064</v>
      </c>
      <c r="F1665" s="4"/>
      <c r="G1665" s="4" t="s">
        <v>112</v>
      </c>
      <c r="H1665" s="10">
        <v>162.7</v>
      </c>
      <c r="I1665" s="4" t="s">
        <v>1052</v>
      </c>
    </row>
    <row r="1666" ht="15.75" customHeight="1">
      <c r="A1666" s="4" t="s">
        <v>4406</v>
      </c>
      <c r="B1666" s="13">
        <v>46066.7360763889</v>
      </c>
      <c r="C1666" s="4" t="s">
        <v>4407</v>
      </c>
      <c r="D1666" s="4" t="s">
        <v>1081</v>
      </c>
      <c r="E1666" s="4" t="s">
        <v>1064</v>
      </c>
      <c r="F1666" s="4"/>
      <c r="G1666" s="4"/>
      <c r="H1666" s="4"/>
      <c r="I1666" s="4" t="s">
        <v>587</v>
      </c>
    </row>
    <row r="1667" ht="15.75" customHeight="1">
      <c r="A1667" s="4" t="s">
        <v>4408</v>
      </c>
      <c r="B1667" s="13">
        <v>46069.9634375</v>
      </c>
      <c r="C1667" s="4" t="s">
        <v>4409</v>
      </c>
      <c r="D1667" s="4" t="s">
        <v>1075</v>
      </c>
      <c r="E1667" s="4" t="s">
        <v>1064</v>
      </c>
      <c r="F1667" s="4"/>
      <c r="G1667" s="4"/>
      <c r="H1667" s="4"/>
      <c r="I1667" s="4" t="s">
        <v>1028</v>
      </c>
    </row>
    <row r="1668" ht="15.75" customHeight="1">
      <c r="A1668" s="4" t="s">
        <v>4410</v>
      </c>
      <c r="B1668" s="13">
        <v>46129.5694212963</v>
      </c>
      <c r="C1668" s="4" t="s">
        <v>4411</v>
      </c>
      <c r="D1668" s="4" t="s">
        <v>1089</v>
      </c>
      <c r="E1668" s="4" t="s">
        <v>1090</v>
      </c>
      <c r="F1668" s="4" t="s">
        <v>815</v>
      </c>
      <c r="G1668" s="4"/>
      <c r="H1668" s="4"/>
      <c r="I1668" s="4" t="s">
        <v>1042</v>
      </c>
    </row>
    <row r="1669" ht="15.75" customHeight="1">
      <c r="A1669" s="4" t="s">
        <v>4412</v>
      </c>
      <c r="B1669" s="13">
        <v>46060.5128472222</v>
      </c>
      <c r="C1669" s="4" t="s">
        <v>4413</v>
      </c>
      <c r="D1669" s="4" t="s">
        <v>1081</v>
      </c>
      <c r="E1669" s="4" t="s">
        <v>1064</v>
      </c>
      <c r="F1669" s="4"/>
      <c r="G1669" s="4"/>
      <c r="H1669" s="4"/>
      <c r="I1669" s="4" t="s">
        <v>1042</v>
      </c>
    </row>
    <row r="1670" ht="15.75" customHeight="1">
      <c r="A1670" s="4" t="s">
        <v>4414</v>
      </c>
      <c r="B1670" s="13">
        <v>46029.7087731482</v>
      </c>
      <c r="C1670" s="4" t="s">
        <v>4415</v>
      </c>
      <c r="D1670" s="4" t="s">
        <v>1086</v>
      </c>
      <c r="E1670" s="4" t="s">
        <v>1064</v>
      </c>
      <c r="F1670" s="4"/>
      <c r="G1670" s="4"/>
      <c r="H1670" s="4"/>
      <c r="I1670" s="4" t="s">
        <v>1052</v>
      </c>
    </row>
    <row r="1671" ht="15.75" customHeight="1">
      <c r="A1671" s="4" t="s">
        <v>4416</v>
      </c>
      <c r="B1671" s="13">
        <v>46076.5131481482</v>
      </c>
      <c r="C1671" s="4" t="s">
        <v>4417</v>
      </c>
      <c r="D1671" s="4" t="s">
        <v>1093</v>
      </c>
      <c r="E1671" s="4" t="s">
        <v>1064</v>
      </c>
      <c r="F1671" s="4"/>
      <c r="G1671" s="4"/>
      <c r="H1671" s="4"/>
      <c r="I1671" s="4" t="s">
        <v>1039</v>
      </c>
    </row>
    <row r="1672" ht="15.75" customHeight="1">
      <c r="A1672" s="4" t="s">
        <v>4418</v>
      </c>
      <c r="B1672" s="13">
        <v>46039.8032175926</v>
      </c>
      <c r="C1672" s="4" t="s">
        <v>4419</v>
      </c>
      <c r="D1672" s="4" t="s">
        <v>1128</v>
      </c>
      <c r="E1672" s="4" t="s">
        <v>1105</v>
      </c>
      <c r="F1672" s="4" t="s">
        <v>79</v>
      </c>
      <c r="G1672" s="4"/>
      <c r="H1672" s="4"/>
      <c r="I1672" s="4" t="s">
        <v>1036</v>
      </c>
    </row>
    <row r="1673" ht="15.75" customHeight="1">
      <c r="A1673" s="4" t="s">
        <v>4420</v>
      </c>
      <c r="B1673" s="13">
        <v>46114.7082523148</v>
      </c>
      <c r="C1673" s="4" t="s">
        <v>4421</v>
      </c>
      <c r="D1673" s="4" t="s">
        <v>1104</v>
      </c>
      <c r="E1673" s="4" t="s">
        <v>1105</v>
      </c>
      <c r="F1673" s="4" t="s">
        <v>102</v>
      </c>
      <c r="G1673" s="4"/>
      <c r="H1673" s="4"/>
      <c r="I1673" s="4" t="s">
        <v>1039</v>
      </c>
    </row>
    <row r="1674" ht="15.75" customHeight="1">
      <c r="A1674" s="4" t="s">
        <v>4422</v>
      </c>
      <c r="B1674" s="13">
        <v>46119.9249074074</v>
      </c>
      <c r="C1674" s="4" t="s">
        <v>4423</v>
      </c>
      <c r="D1674" s="4" t="s">
        <v>1104</v>
      </c>
      <c r="E1674" s="4" t="s">
        <v>1105</v>
      </c>
      <c r="F1674" s="4" t="s">
        <v>185</v>
      </c>
      <c r="G1674" s="4"/>
      <c r="H1674" s="4"/>
      <c r="I1674" s="4" t="s">
        <v>1031</v>
      </c>
    </row>
    <row r="1675" ht="15.75" customHeight="1">
      <c r="A1675" s="4" t="s">
        <v>4424</v>
      </c>
      <c r="B1675" s="13">
        <v>46123.3722222222</v>
      </c>
      <c r="C1675" s="4" t="s">
        <v>4425</v>
      </c>
      <c r="D1675" s="4" t="s">
        <v>1071</v>
      </c>
      <c r="E1675" s="4" t="s">
        <v>1119</v>
      </c>
      <c r="F1675" s="4"/>
      <c r="G1675" s="4"/>
      <c r="H1675" s="4"/>
      <c r="I1675" s="4" t="s">
        <v>1052</v>
      </c>
    </row>
    <row r="1676" ht="15.75" customHeight="1">
      <c r="A1676" s="4" t="s">
        <v>4426</v>
      </c>
      <c r="B1676" s="13">
        <v>46101.6867013889</v>
      </c>
      <c r="C1676" s="4" t="s">
        <v>4427</v>
      </c>
      <c r="D1676" s="4" t="s">
        <v>1063</v>
      </c>
      <c r="E1676" s="4" t="s">
        <v>1064</v>
      </c>
      <c r="F1676" s="4"/>
      <c r="G1676" s="4" t="s">
        <v>126</v>
      </c>
      <c r="H1676" s="4"/>
      <c r="I1676" s="4" t="s">
        <v>587</v>
      </c>
    </row>
    <row r="1677" ht="15.75" customHeight="1">
      <c r="A1677" s="4" t="s">
        <v>4428</v>
      </c>
      <c r="B1677" s="13">
        <v>46120.7773842593</v>
      </c>
      <c r="C1677" s="4" t="s">
        <v>4429</v>
      </c>
      <c r="D1677" s="4" t="s">
        <v>1081</v>
      </c>
      <c r="E1677" s="4" t="s">
        <v>1064</v>
      </c>
      <c r="F1677" s="4"/>
      <c r="G1677" s="4"/>
      <c r="H1677" s="4"/>
      <c r="I1677" s="4" t="s">
        <v>1030</v>
      </c>
    </row>
    <row r="1678" ht="15.75" customHeight="1">
      <c r="A1678" s="4" t="s">
        <v>4430</v>
      </c>
      <c r="B1678" s="13">
        <v>46054.3681712963</v>
      </c>
      <c r="C1678" s="4" t="s">
        <v>4431</v>
      </c>
      <c r="D1678" s="4" t="s">
        <v>1063</v>
      </c>
      <c r="E1678" s="4" t="s">
        <v>1064</v>
      </c>
      <c r="F1678" s="4"/>
      <c r="G1678" s="4" t="s">
        <v>84</v>
      </c>
      <c r="H1678" s="4"/>
      <c r="I1678" s="4" t="s">
        <v>1046</v>
      </c>
    </row>
    <row r="1679" ht="15.75" customHeight="1">
      <c r="A1679" s="4" t="s">
        <v>4432</v>
      </c>
      <c r="B1679" s="13">
        <v>46122.6425925926</v>
      </c>
      <c r="C1679" s="4" t="s">
        <v>4433</v>
      </c>
      <c r="D1679" s="4" t="s">
        <v>1086</v>
      </c>
      <c r="E1679" s="4" t="s">
        <v>1064</v>
      </c>
      <c r="F1679" s="4"/>
      <c r="G1679" s="4"/>
      <c r="H1679" s="4"/>
      <c r="I1679" s="4" t="s">
        <v>1036</v>
      </c>
    </row>
    <row r="1680" ht="15.75" customHeight="1">
      <c r="A1680" s="4" t="s">
        <v>4434</v>
      </c>
      <c r="B1680" s="13">
        <v>46025.406712963</v>
      </c>
      <c r="C1680" s="4" t="s">
        <v>4435</v>
      </c>
      <c r="D1680" s="4" t="s">
        <v>1071</v>
      </c>
      <c r="E1680" s="4" t="s">
        <v>1072</v>
      </c>
      <c r="F1680" s="4"/>
      <c r="G1680" s="4"/>
      <c r="H1680" s="4"/>
      <c r="I1680" s="4" t="s">
        <v>587</v>
      </c>
    </row>
    <row r="1681" ht="15.75" customHeight="1">
      <c r="A1681" s="4" t="s">
        <v>4436</v>
      </c>
      <c r="B1681" s="13">
        <v>46062.7149074074</v>
      </c>
      <c r="C1681" s="4" t="s">
        <v>4437</v>
      </c>
      <c r="D1681" s="4" t="s">
        <v>1081</v>
      </c>
      <c r="E1681" s="4" t="s">
        <v>1064</v>
      </c>
      <c r="F1681" s="4"/>
      <c r="G1681" s="4"/>
      <c r="H1681" s="4"/>
      <c r="I1681" s="4" t="s">
        <v>1034</v>
      </c>
    </row>
    <row r="1682" ht="15.75" customHeight="1">
      <c r="A1682" s="4" t="s">
        <v>4438</v>
      </c>
      <c r="B1682" s="13">
        <v>46056.4069212963</v>
      </c>
      <c r="C1682" s="4" t="s">
        <v>4439</v>
      </c>
      <c r="D1682" s="4" t="s">
        <v>1063</v>
      </c>
      <c r="E1682" s="4" t="s">
        <v>1064</v>
      </c>
      <c r="F1682" s="4"/>
      <c r="G1682" s="4" t="s">
        <v>77</v>
      </c>
      <c r="H1682" s="4"/>
      <c r="I1682" s="4" t="s">
        <v>1036</v>
      </c>
    </row>
    <row r="1683" ht="15.75" customHeight="1">
      <c r="A1683" s="4" t="s">
        <v>4440</v>
      </c>
      <c r="B1683" s="13">
        <v>46099.5324652778</v>
      </c>
      <c r="C1683" s="4" t="s">
        <v>4441</v>
      </c>
      <c r="D1683" s="4" t="s">
        <v>1093</v>
      </c>
      <c r="E1683" s="4" t="s">
        <v>1064</v>
      </c>
      <c r="F1683" s="4"/>
      <c r="G1683" s="4"/>
      <c r="H1683" s="4"/>
      <c r="I1683" s="4" t="s">
        <v>587</v>
      </c>
    </row>
    <row r="1684" ht="15.75" customHeight="1">
      <c r="A1684" s="4" t="s">
        <v>4442</v>
      </c>
      <c r="B1684" s="13">
        <v>46096.6522222222</v>
      </c>
      <c r="C1684" s="4" t="s">
        <v>4443</v>
      </c>
      <c r="D1684" s="4" t="s">
        <v>1078</v>
      </c>
      <c r="E1684" s="4" t="s">
        <v>1064</v>
      </c>
      <c r="F1684" s="4"/>
      <c r="G1684" s="4" t="s">
        <v>144</v>
      </c>
      <c r="H1684" s="10">
        <v>65.79</v>
      </c>
      <c r="I1684" s="4" t="s">
        <v>587</v>
      </c>
    </row>
    <row r="1685" ht="15.75" customHeight="1">
      <c r="A1685" s="4" t="s">
        <v>4444</v>
      </c>
      <c r="B1685" s="13">
        <v>46117.5768981482</v>
      </c>
      <c r="C1685" s="4" t="s">
        <v>4445</v>
      </c>
      <c r="D1685" s="4" t="s">
        <v>1110</v>
      </c>
      <c r="E1685" s="4" t="s">
        <v>1064</v>
      </c>
      <c r="F1685" s="4"/>
      <c r="G1685" s="4" t="s">
        <v>126</v>
      </c>
      <c r="H1685" s="10">
        <v>98.89</v>
      </c>
      <c r="I1685" s="4" t="s">
        <v>1052</v>
      </c>
    </row>
    <row r="1686" ht="15.75" customHeight="1">
      <c r="A1686" s="4" t="s">
        <v>4446</v>
      </c>
      <c r="B1686" s="13">
        <v>46128.4980787037</v>
      </c>
      <c r="C1686" s="4" t="s">
        <v>4447</v>
      </c>
      <c r="D1686" s="4" t="s">
        <v>1110</v>
      </c>
      <c r="E1686" s="4" t="s">
        <v>1064</v>
      </c>
      <c r="F1686" s="4"/>
      <c r="G1686" s="4" t="s">
        <v>107</v>
      </c>
      <c r="H1686" s="10">
        <v>100.16</v>
      </c>
      <c r="I1686" s="4" t="s">
        <v>1028</v>
      </c>
    </row>
    <row r="1687" ht="15.75" customHeight="1">
      <c r="A1687" s="4" t="s">
        <v>4448</v>
      </c>
      <c r="B1687" s="13">
        <v>46049.3828009259</v>
      </c>
      <c r="C1687" s="4" t="s">
        <v>4449</v>
      </c>
      <c r="D1687" s="4" t="s">
        <v>1081</v>
      </c>
      <c r="E1687" s="4" t="s">
        <v>1064</v>
      </c>
      <c r="F1687" s="4"/>
      <c r="G1687" s="4"/>
      <c r="H1687" s="4"/>
      <c r="I1687" s="4" t="s">
        <v>1050</v>
      </c>
    </row>
    <row r="1688" ht="15.75" customHeight="1">
      <c r="A1688" s="4" t="s">
        <v>4450</v>
      </c>
      <c r="B1688" s="13">
        <v>46055.3615277778</v>
      </c>
      <c r="C1688" s="4" t="s">
        <v>4451</v>
      </c>
      <c r="D1688" s="4" t="s">
        <v>1093</v>
      </c>
      <c r="E1688" s="4" t="s">
        <v>1064</v>
      </c>
      <c r="F1688" s="4"/>
      <c r="G1688" s="4"/>
      <c r="H1688" s="4"/>
      <c r="I1688" s="4" t="s">
        <v>1046</v>
      </c>
    </row>
    <row r="1689" ht="15.75" customHeight="1">
      <c r="A1689" s="4" t="s">
        <v>4452</v>
      </c>
      <c r="B1689" s="13">
        <v>46030.6349768519</v>
      </c>
      <c r="C1689" s="4" t="s">
        <v>4453</v>
      </c>
      <c r="D1689" s="4" t="s">
        <v>1128</v>
      </c>
      <c r="E1689" s="4" t="s">
        <v>1105</v>
      </c>
      <c r="F1689" s="4" t="s">
        <v>158</v>
      </c>
      <c r="G1689" s="4"/>
      <c r="H1689" s="4"/>
      <c r="I1689" s="4" t="s">
        <v>587</v>
      </c>
    </row>
    <row r="1690" ht="15.75" customHeight="1">
      <c r="A1690" s="4" t="s">
        <v>4454</v>
      </c>
      <c r="B1690" s="13">
        <v>46064.4944560185</v>
      </c>
      <c r="C1690" s="4" t="s">
        <v>4455</v>
      </c>
      <c r="D1690" s="4" t="s">
        <v>1128</v>
      </c>
      <c r="E1690" s="4" t="s">
        <v>1105</v>
      </c>
      <c r="F1690" s="4" t="s">
        <v>229</v>
      </c>
      <c r="G1690" s="4"/>
      <c r="H1690" s="4"/>
      <c r="I1690" s="4" t="s">
        <v>1042</v>
      </c>
    </row>
    <row r="1691" ht="15.75" customHeight="1">
      <c r="A1691" s="4" t="s">
        <v>4456</v>
      </c>
      <c r="B1691" s="13">
        <v>46057.3869097222</v>
      </c>
      <c r="C1691" s="4" t="s">
        <v>4457</v>
      </c>
      <c r="D1691" s="4" t="s">
        <v>1071</v>
      </c>
      <c r="E1691" s="4" t="s">
        <v>1072</v>
      </c>
      <c r="F1691" s="4"/>
      <c r="G1691" s="4"/>
      <c r="H1691" s="4"/>
      <c r="I1691" s="4" t="s">
        <v>1030</v>
      </c>
    </row>
    <row r="1692" ht="15.75" customHeight="1">
      <c r="A1692" s="4" t="s">
        <v>4458</v>
      </c>
      <c r="B1692" s="13">
        <v>46102.5582407407</v>
      </c>
      <c r="C1692" s="4" t="s">
        <v>4459</v>
      </c>
      <c r="D1692" s="4" t="s">
        <v>1071</v>
      </c>
      <c r="E1692" s="4" t="s">
        <v>1119</v>
      </c>
      <c r="F1692" s="4"/>
      <c r="G1692" s="4"/>
      <c r="H1692" s="4"/>
      <c r="I1692" s="4" t="s">
        <v>587</v>
      </c>
    </row>
    <row r="1693" ht="15.75" customHeight="1">
      <c r="A1693" s="4" t="s">
        <v>4460</v>
      </c>
      <c r="B1693" s="13">
        <v>46085.4424189815</v>
      </c>
      <c r="C1693" s="4" t="s">
        <v>4461</v>
      </c>
      <c r="D1693" s="4" t="s">
        <v>1089</v>
      </c>
      <c r="E1693" s="4" t="s">
        <v>1090</v>
      </c>
      <c r="F1693" s="4" t="s">
        <v>788</v>
      </c>
      <c r="G1693" s="4"/>
      <c r="H1693" s="4"/>
      <c r="I1693" s="4" t="s">
        <v>1039</v>
      </c>
    </row>
    <row r="1694" ht="15.75" customHeight="1">
      <c r="A1694" s="4" t="s">
        <v>4462</v>
      </c>
      <c r="B1694" s="13">
        <v>46062.7081944444</v>
      </c>
      <c r="C1694" s="4" t="s">
        <v>4463</v>
      </c>
      <c r="D1694" s="4" t="s">
        <v>1086</v>
      </c>
      <c r="E1694" s="4" t="s">
        <v>1064</v>
      </c>
      <c r="F1694" s="4"/>
      <c r="G1694" s="4"/>
      <c r="H1694" s="4"/>
      <c r="I1694" s="4" t="s">
        <v>1034</v>
      </c>
    </row>
    <row r="1695" ht="15.75" customHeight="1">
      <c r="A1695" s="4" t="s">
        <v>4464</v>
      </c>
      <c r="B1695" s="13">
        <v>46086.7656365741</v>
      </c>
      <c r="C1695" s="4" t="s">
        <v>4465</v>
      </c>
      <c r="D1695" s="4" t="s">
        <v>1086</v>
      </c>
      <c r="E1695" s="4" t="s">
        <v>1064</v>
      </c>
      <c r="F1695" s="4"/>
      <c r="G1695" s="4"/>
      <c r="H1695" s="4"/>
      <c r="I1695" s="4" t="s">
        <v>1048</v>
      </c>
    </row>
    <row r="1696" ht="15.75" customHeight="1">
      <c r="A1696" s="4" t="s">
        <v>4466</v>
      </c>
      <c r="B1696" s="13">
        <v>46106.5121064815</v>
      </c>
      <c r="C1696" s="4" t="s">
        <v>4467</v>
      </c>
      <c r="D1696" s="4" t="s">
        <v>1081</v>
      </c>
      <c r="E1696" s="4" t="s">
        <v>1064</v>
      </c>
      <c r="F1696" s="4"/>
      <c r="G1696" s="4"/>
      <c r="H1696" s="4"/>
      <c r="I1696" s="4" t="s">
        <v>1039</v>
      </c>
    </row>
    <row r="1697" ht="15.75" customHeight="1">
      <c r="A1697" s="4" t="s">
        <v>4468</v>
      </c>
      <c r="B1697" s="13">
        <v>46040.4463194445</v>
      </c>
      <c r="C1697" s="4" t="s">
        <v>4469</v>
      </c>
      <c r="D1697" s="4" t="s">
        <v>1075</v>
      </c>
      <c r="E1697" s="4" t="s">
        <v>1064</v>
      </c>
      <c r="F1697" s="4"/>
      <c r="G1697" s="4"/>
      <c r="H1697" s="4"/>
      <c r="I1697" s="4" t="s">
        <v>1052</v>
      </c>
    </row>
    <row r="1698" ht="15.75" customHeight="1">
      <c r="A1698" s="4" t="s">
        <v>4470</v>
      </c>
      <c r="B1698" s="13">
        <v>46039.3720949074</v>
      </c>
      <c r="C1698" s="4" t="s">
        <v>4471</v>
      </c>
      <c r="D1698" s="4" t="s">
        <v>1063</v>
      </c>
      <c r="E1698" s="4" t="s">
        <v>1064</v>
      </c>
      <c r="F1698" s="4"/>
      <c r="G1698" s="4" t="s">
        <v>100</v>
      </c>
      <c r="H1698" s="4"/>
      <c r="I1698" s="4" t="s">
        <v>1050</v>
      </c>
    </row>
    <row r="1699" ht="15.75" customHeight="1">
      <c r="A1699" s="4" t="s">
        <v>4472</v>
      </c>
      <c r="B1699" s="13">
        <v>46030.7767939815</v>
      </c>
      <c r="C1699" s="4" t="s">
        <v>4473</v>
      </c>
      <c r="D1699" s="4" t="s">
        <v>1128</v>
      </c>
      <c r="E1699" s="4" t="s">
        <v>1090</v>
      </c>
      <c r="F1699" s="4" t="s">
        <v>813</v>
      </c>
      <c r="G1699" s="4"/>
      <c r="H1699" s="4"/>
      <c r="I1699" s="4" t="s">
        <v>1046</v>
      </c>
    </row>
    <row r="1700" ht="15.75" customHeight="1">
      <c r="A1700" s="4" t="s">
        <v>4474</v>
      </c>
      <c r="B1700" s="13">
        <v>46032.7171643519</v>
      </c>
      <c r="C1700" s="4" t="s">
        <v>4475</v>
      </c>
      <c r="D1700" s="4" t="s">
        <v>1093</v>
      </c>
      <c r="E1700" s="4" t="s">
        <v>1064</v>
      </c>
      <c r="F1700" s="4"/>
      <c r="G1700" s="4"/>
      <c r="H1700" s="4"/>
      <c r="I1700" s="4" t="s">
        <v>1039</v>
      </c>
    </row>
    <row r="1701" ht="15.75" customHeight="1">
      <c r="A1701" s="4" t="s">
        <v>4476</v>
      </c>
      <c r="B1701" s="13">
        <v>46027.4597800926</v>
      </c>
      <c r="C1701" s="4" t="s">
        <v>4477</v>
      </c>
      <c r="D1701" s="4" t="s">
        <v>1071</v>
      </c>
      <c r="E1701" s="4" t="s">
        <v>1072</v>
      </c>
      <c r="F1701" s="4"/>
      <c r="G1701" s="4"/>
      <c r="H1701" s="4"/>
      <c r="I1701" s="4" t="s">
        <v>1052</v>
      </c>
    </row>
    <row r="1702" ht="15.75" customHeight="1">
      <c r="A1702" s="4" t="s">
        <v>4478</v>
      </c>
      <c r="B1702" s="13">
        <v>46042.9955092593</v>
      </c>
      <c r="C1702" s="4" t="s">
        <v>4479</v>
      </c>
      <c r="D1702" s="4" t="s">
        <v>1071</v>
      </c>
      <c r="E1702" s="4" t="s">
        <v>1119</v>
      </c>
      <c r="F1702" s="4"/>
      <c r="G1702" s="4"/>
      <c r="H1702" s="4"/>
      <c r="I1702" s="4" t="s">
        <v>1042</v>
      </c>
    </row>
    <row r="1703" ht="15.75" customHeight="1">
      <c r="A1703" s="4" t="s">
        <v>4480</v>
      </c>
      <c r="B1703" s="13">
        <v>46125.8625810185</v>
      </c>
      <c r="C1703" s="4" t="s">
        <v>4481</v>
      </c>
      <c r="D1703" s="4" t="s">
        <v>1078</v>
      </c>
      <c r="E1703" s="4" t="s">
        <v>1064</v>
      </c>
      <c r="F1703" s="4"/>
      <c r="G1703" s="4" t="s">
        <v>61</v>
      </c>
      <c r="H1703" s="10">
        <v>174.77</v>
      </c>
      <c r="I1703" s="4" t="s">
        <v>1046</v>
      </c>
    </row>
    <row r="1704" ht="15.75" customHeight="1">
      <c r="A1704" s="4" t="s">
        <v>4482</v>
      </c>
      <c r="B1704" s="13">
        <v>46091.7955208333</v>
      </c>
      <c r="C1704" s="4" t="s">
        <v>4483</v>
      </c>
      <c r="D1704" s="4" t="s">
        <v>1086</v>
      </c>
      <c r="E1704" s="4" t="s">
        <v>1064</v>
      </c>
      <c r="F1704" s="4"/>
      <c r="G1704" s="4"/>
      <c r="H1704" s="4"/>
      <c r="I1704" s="4" t="s">
        <v>1034</v>
      </c>
    </row>
    <row r="1705" ht="15.75" customHeight="1">
      <c r="A1705" s="4" t="s">
        <v>4484</v>
      </c>
      <c r="B1705" s="13">
        <v>46027.8482060185</v>
      </c>
      <c r="C1705" s="4" t="s">
        <v>4485</v>
      </c>
      <c r="D1705" s="4" t="s">
        <v>1081</v>
      </c>
      <c r="E1705" s="4" t="s">
        <v>1064</v>
      </c>
      <c r="F1705" s="4"/>
      <c r="G1705" s="4"/>
      <c r="H1705" s="4"/>
      <c r="I1705" s="4" t="s">
        <v>1046</v>
      </c>
    </row>
    <row r="1706" ht="15.75" customHeight="1">
      <c r="A1706" s="4" t="s">
        <v>4486</v>
      </c>
      <c r="B1706" s="13">
        <v>46090.3753472222</v>
      </c>
      <c r="C1706" s="4" t="s">
        <v>4487</v>
      </c>
      <c r="D1706" s="4" t="s">
        <v>1128</v>
      </c>
      <c r="E1706" s="4" t="s">
        <v>1090</v>
      </c>
      <c r="F1706" s="4" t="s">
        <v>809</v>
      </c>
      <c r="G1706" s="4"/>
      <c r="H1706" s="4"/>
      <c r="I1706" s="4" t="s">
        <v>1030</v>
      </c>
    </row>
    <row r="1707" ht="15.75" customHeight="1">
      <c r="A1707" s="4" t="s">
        <v>4488</v>
      </c>
      <c r="B1707" s="13">
        <v>46108.7278819445</v>
      </c>
      <c r="C1707" s="4" t="s">
        <v>4489</v>
      </c>
      <c r="D1707" s="4" t="s">
        <v>1081</v>
      </c>
      <c r="E1707" s="4" t="s">
        <v>1064</v>
      </c>
      <c r="F1707" s="4"/>
      <c r="G1707" s="4"/>
      <c r="H1707" s="4"/>
      <c r="I1707" s="4" t="s">
        <v>1050</v>
      </c>
    </row>
    <row r="1708" ht="15.75" customHeight="1">
      <c r="A1708" s="4" t="s">
        <v>4490</v>
      </c>
      <c r="B1708" s="13">
        <v>46082.6574768519</v>
      </c>
      <c r="C1708" s="4" t="s">
        <v>4491</v>
      </c>
      <c r="D1708" s="4" t="s">
        <v>1089</v>
      </c>
      <c r="E1708" s="4" t="s">
        <v>1105</v>
      </c>
      <c r="F1708" s="4" t="s">
        <v>218</v>
      </c>
      <c r="G1708" s="4"/>
      <c r="H1708" s="4"/>
      <c r="I1708" s="4" t="s">
        <v>1048</v>
      </c>
    </row>
    <row r="1709" ht="15.75" customHeight="1">
      <c r="A1709" s="4" t="s">
        <v>4492</v>
      </c>
      <c r="B1709" s="13">
        <v>46097.7963078704</v>
      </c>
      <c r="C1709" s="4" t="s">
        <v>4493</v>
      </c>
      <c r="D1709" s="4" t="s">
        <v>1071</v>
      </c>
      <c r="E1709" s="4" t="s">
        <v>1072</v>
      </c>
      <c r="F1709" s="4"/>
      <c r="G1709" s="4"/>
      <c r="H1709" s="4"/>
      <c r="I1709" s="4" t="s">
        <v>1046</v>
      </c>
    </row>
    <row r="1710" ht="15.75" customHeight="1">
      <c r="A1710" s="4" t="s">
        <v>4494</v>
      </c>
      <c r="B1710" s="13">
        <v>46056.8543518519</v>
      </c>
      <c r="C1710" s="4" t="s">
        <v>4495</v>
      </c>
      <c r="D1710" s="4" t="s">
        <v>1104</v>
      </c>
      <c r="E1710" s="4" t="s">
        <v>1105</v>
      </c>
      <c r="F1710" s="4" t="s">
        <v>289</v>
      </c>
      <c r="G1710" s="4"/>
      <c r="H1710" s="4"/>
      <c r="I1710" s="4" t="s">
        <v>1031</v>
      </c>
    </row>
    <row r="1711" ht="15.75" customHeight="1">
      <c r="A1711" s="4" t="s">
        <v>4496</v>
      </c>
      <c r="B1711" s="13">
        <v>46070.4552662037</v>
      </c>
      <c r="C1711" s="4" t="s">
        <v>4497</v>
      </c>
      <c r="D1711" s="4" t="s">
        <v>1093</v>
      </c>
      <c r="E1711" s="4" t="s">
        <v>1064</v>
      </c>
      <c r="F1711" s="4"/>
      <c r="G1711" s="4"/>
      <c r="H1711" s="4"/>
      <c r="I1711" s="4" t="s">
        <v>1031</v>
      </c>
    </row>
    <row r="1712" ht="15.75" customHeight="1">
      <c r="A1712" s="4" t="s">
        <v>4498</v>
      </c>
      <c r="B1712" s="13">
        <v>46068.8766435185</v>
      </c>
      <c r="C1712" s="4" t="s">
        <v>4499</v>
      </c>
      <c r="D1712" s="4" t="s">
        <v>1078</v>
      </c>
      <c r="E1712" s="4" t="s">
        <v>1064</v>
      </c>
      <c r="F1712" s="4"/>
      <c r="G1712" s="4" t="s">
        <v>84</v>
      </c>
      <c r="H1712" s="10">
        <v>61.33</v>
      </c>
      <c r="I1712" s="4" t="s">
        <v>1035</v>
      </c>
    </row>
    <row r="1713" ht="15.75" customHeight="1">
      <c r="A1713" s="4" t="s">
        <v>4500</v>
      </c>
      <c r="B1713" s="13">
        <v>46087.4157407407</v>
      </c>
      <c r="C1713" s="4" t="s">
        <v>4501</v>
      </c>
      <c r="D1713" s="4" t="s">
        <v>1104</v>
      </c>
      <c r="E1713" s="4" t="s">
        <v>1090</v>
      </c>
      <c r="F1713" s="4" t="s">
        <v>782</v>
      </c>
      <c r="G1713" s="4"/>
      <c r="H1713" s="4"/>
      <c r="I1713" s="4" t="s">
        <v>1034</v>
      </c>
    </row>
    <row r="1714" ht="15.75" customHeight="1">
      <c r="A1714" s="4" t="s">
        <v>4502</v>
      </c>
      <c r="B1714" s="13">
        <v>46129.8106597222</v>
      </c>
      <c r="C1714" s="4" t="s">
        <v>4503</v>
      </c>
      <c r="D1714" s="4" t="s">
        <v>1163</v>
      </c>
      <c r="E1714" s="4" t="s">
        <v>1072</v>
      </c>
      <c r="F1714" s="4"/>
      <c r="G1714" s="4"/>
      <c r="H1714" s="4"/>
      <c r="I1714" s="4" t="s">
        <v>1035</v>
      </c>
    </row>
    <row r="1715" ht="15.75" customHeight="1">
      <c r="A1715" s="4" t="s">
        <v>4504</v>
      </c>
      <c r="B1715" s="13">
        <v>46025.5877777778</v>
      </c>
      <c r="C1715" s="4" t="s">
        <v>4505</v>
      </c>
      <c r="D1715" s="4" t="s">
        <v>1110</v>
      </c>
      <c r="E1715" s="4" t="s">
        <v>1064</v>
      </c>
      <c r="F1715" s="4"/>
      <c r="G1715" s="4" t="s">
        <v>150</v>
      </c>
      <c r="H1715" s="10">
        <v>206.01</v>
      </c>
      <c r="I1715" s="4" t="s">
        <v>1030</v>
      </c>
    </row>
    <row r="1716" ht="15.75" customHeight="1">
      <c r="A1716" s="4" t="s">
        <v>4506</v>
      </c>
      <c r="B1716" s="13">
        <v>46059.9882986111</v>
      </c>
      <c r="C1716" s="4" t="s">
        <v>4507</v>
      </c>
      <c r="D1716" s="4" t="s">
        <v>1063</v>
      </c>
      <c r="E1716" s="4" t="s">
        <v>1064</v>
      </c>
      <c r="F1716" s="4"/>
      <c r="G1716" s="4" t="s">
        <v>100</v>
      </c>
      <c r="H1716" s="4"/>
      <c r="I1716" s="4" t="s">
        <v>427</v>
      </c>
    </row>
    <row r="1717" ht="15.75" customHeight="1">
      <c r="A1717" s="4" t="s">
        <v>4508</v>
      </c>
      <c r="B1717" s="13">
        <v>46127.7231481482</v>
      </c>
      <c r="C1717" s="4" t="s">
        <v>4509</v>
      </c>
      <c r="D1717" s="4" t="s">
        <v>1063</v>
      </c>
      <c r="E1717" s="4" t="s">
        <v>1064</v>
      </c>
      <c r="F1717" s="4"/>
      <c r="G1717" s="4" t="s">
        <v>100</v>
      </c>
      <c r="H1717" s="4"/>
      <c r="I1717" s="4" t="s">
        <v>1048</v>
      </c>
    </row>
    <row r="1718" ht="15.75" customHeight="1">
      <c r="A1718" s="4" t="s">
        <v>4510</v>
      </c>
      <c r="B1718" s="13">
        <v>46115.4045833333</v>
      </c>
      <c r="C1718" s="4" t="s">
        <v>4511</v>
      </c>
      <c r="D1718" s="4" t="s">
        <v>1086</v>
      </c>
      <c r="E1718" s="4" t="s">
        <v>1064</v>
      </c>
      <c r="F1718" s="4"/>
      <c r="G1718" s="4"/>
      <c r="H1718" s="4"/>
      <c r="I1718" s="4" t="s">
        <v>587</v>
      </c>
    </row>
    <row r="1719" ht="15.75" customHeight="1">
      <c r="A1719" s="4" t="s">
        <v>4512</v>
      </c>
      <c r="B1719" s="13">
        <v>46074.9274652778</v>
      </c>
      <c r="C1719" s="4" t="s">
        <v>4513</v>
      </c>
      <c r="D1719" s="4" t="s">
        <v>1093</v>
      </c>
      <c r="E1719" s="4" t="s">
        <v>1064</v>
      </c>
      <c r="F1719" s="4"/>
      <c r="G1719" s="4"/>
      <c r="H1719" s="4"/>
      <c r="I1719" s="4" t="s">
        <v>1030</v>
      </c>
    </row>
    <row r="1720" ht="15.75" customHeight="1">
      <c r="A1720" s="4" t="s">
        <v>4514</v>
      </c>
      <c r="B1720" s="13">
        <v>46050.3422569444</v>
      </c>
      <c r="C1720" s="4" t="s">
        <v>4515</v>
      </c>
      <c r="D1720" s="4" t="s">
        <v>1075</v>
      </c>
      <c r="E1720" s="4" t="s">
        <v>1064</v>
      </c>
      <c r="F1720" s="4"/>
      <c r="G1720" s="4"/>
      <c r="H1720" s="4"/>
      <c r="I1720" s="4" t="s">
        <v>1028</v>
      </c>
    </row>
    <row r="1721" ht="15.75" customHeight="1">
      <c r="A1721" s="4" t="s">
        <v>4516</v>
      </c>
      <c r="B1721" s="13">
        <v>46026.3590856482</v>
      </c>
      <c r="C1721" s="4" t="s">
        <v>4517</v>
      </c>
      <c r="D1721" s="4" t="s">
        <v>1089</v>
      </c>
      <c r="E1721" s="4" t="s">
        <v>1105</v>
      </c>
      <c r="F1721" s="4" t="s">
        <v>153</v>
      </c>
      <c r="G1721" s="4"/>
      <c r="H1721" s="4"/>
      <c r="I1721" s="4" t="s">
        <v>1042</v>
      </c>
    </row>
    <row r="1722" ht="15.75" customHeight="1">
      <c r="A1722" s="4" t="s">
        <v>4518</v>
      </c>
      <c r="B1722" s="13">
        <v>46111.6711574074</v>
      </c>
      <c r="C1722" s="4" t="s">
        <v>4519</v>
      </c>
      <c r="D1722" s="4" t="s">
        <v>1093</v>
      </c>
      <c r="E1722" s="4" t="s">
        <v>1064</v>
      </c>
      <c r="F1722" s="4"/>
      <c r="G1722" s="4"/>
      <c r="H1722" s="4"/>
      <c r="I1722" s="4" t="s">
        <v>1034</v>
      </c>
    </row>
    <row r="1723" ht="15.75" customHeight="1">
      <c r="A1723" s="4" t="s">
        <v>4520</v>
      </c>
      <c r="B1723" s="13">
        <v>46075.8399537037</v>
      </c>
      <c r="C1723" s="4" t="s">
        <v>4521</v>
      </c>
      <c r="D1723" s="4" t="s">
        <v>1078</v>
      </c>
      <c r="E1723" s="4" t="s">
        <v>1064</v>
      </c>
      <c r="F1723" s="4"/>
      <c r="G1723" s="4" t="s">
        <v>190</v>
      </c>
      <c r="H1723" s="10">
        <v>104.46</v>
      </c>
      <c r="I1723" s="4" t="s">
        <v>1035</v>
      </c>
    </row>
    <row r="1724" ht="15.75" customHeight="1">
      <c r="A1724" s="4" t="s">
        <v>4522</v>
      </c>
      <c r="B1724" s="13">
        <v>46043.5146875</v>
      </c>
      <c r="C1724" s="4" t="s">
        <v>4523</v>
      </c>
      <c r="D1724" s="4" t="s">
        <v>1075</v>
      </c>
      <c r="E1724" s="4" t="s">
        <v>1064</v>
      </c>
      <c r="F1724" s="4"/>
      <c r="G1724" s="4"/>
      <c r="H1724" s="4"/>
      <c r="I1724" s="4" t="s">
        <v>1042</v>
      </c>
    </row>
    <row r="1725" ht="15.75" customHeight="1">
      <c r="A1725" s="4" t="s">
        <v>4524</v>
      </c>
      <c r="B1725" s="13">
        <v>46039.6264814815</v>
      </c>
      <c r="C1725" s="4" t="s">
        <v>4525</v>
      </c>
      <c r="D1725" s="4" t="s">
        <v>1128</v>
      </c>
      <c r="E1725" s="4" t="s">
        <v>1090</v>
      </c>
      <c r="F1725" s="4" t="s">
        <v>803</v>
      </c>
      <c r="G1725" s="4"/>
      <c r="H1725" s="4"/>
      <c r="I1725" s="4" t="s">
        <v>587</v>
      </c>
    </row>
    <row r="1726" ht="15.75" customHeight="1">
      <c r="A1726" s="4" t="s">
        <v>4526</v>
      </c>
      <c r="B1726" s="13">
        <v>46046.795625</v>
      </c>
      <c r="C1726" s="4" t="s">
        <v>4527</v>
      </c>
      <c r="D1726" s="4" t="s">
        <v>1104</v>
      </c>
      <c r="E1726" s="4" t="s">
        <v>1090</v>
      </c>
      <c r="F1726" s="4" t="s">
        <v>780</v>
      </c>
      <c r="G1726" s="4"/>
      <c r="H1726" s="4"/>
      <c r="I1726" s="4" t="s">
        <v>1048</v>
      </c>
    </row>
    <row r="1727" ht="15.75" customHeight="1">
      <c r="A1727" s="4" t="s">
        <v>4528</v>
      </c>
      <c r="B1727" s="13">
        <v>46044.347962963</v>
      </c>
      <c r="C1727" s="4" t="s">
        <v>4529</v>
      </c>
      <c r="D1727" s="4" t="s">
        <v>1081</v>
      </c>
      <c r="E1727" s="4" t="s">
        <v>1064</v>
      </c>
      <c r="F1727" s="4"/>
      <c r="G1727" s="4"/>
      <c r="H1727" s="4"/>
      <c r="I1727" s="4" t="s">
        <v>1048</v>
      </c>
    </row>
    <row r="1728" ht="15.75" customHeight="1">
      <c r="A1728" s="4" t="s">
        <v>4530</v>
      </c>
      <c r="B1728" s="13">
        <v>46131.5511226852</v>
      </c>
      <c r="C1728" s="4" t="s">
        <v>4531</v>
      </c>
      <c r="D1728" s="4" t="s">
        <v>1104</v>
      </c>
      <c r="E1728" s="4" t="s">
        <v>1090</v>
      </c>
      <c r="F1728" s="4" t="s">
        <v>805</v>
      </c>
      <c r="G1728" s="4"/>
      <c r="H1728" s="4"/>
      <c r="I1728" s="4" t="s">
        <v>1028</v>
      </c>
    </row>
    <row r="1729" ht="15.75" customHeight="1">
      <c r="A1729" s="4" t="s">
        <v>4532</v>
      </c>
      <c r="B1729" s="13">
        <v>46027.8688888889</v>
      </c>
      <c r="C1729" s="4" t="s">
        <v>4533</v>
      </c>
      <c r="D1729" s="4" t="s">
        <v>1071</v>
      </c>
      <c r="E1729" s="4" t="s">
        <v>1072</v>
      </c>
      <c r="F1729" s="4"/>
      <c r="G1729" s="4"/>
      <c r="H1729" s="4"/>
      <c r="I1729" s="4" t="s">
        <v>1034</v>
      </c>
    </row>
    <row r="1730" ht="15.75" customHeight="1">
      <c r="A1730" s="4" t="s">
        <v>4534</v>
      </c>
      <c r="B1730" s="13">
        <v>46126.7217476852</v>
      </c>
      <c r="C1730" s="4" t="s">
        <v>4535</v>
      </c>
      <c r="D1730" s="4" t="s">
        <v>1163</v>
      </c>
      <c r="E1730" s="4" t="s">
        <v>1119</v>
      </c>
      <c r="F1730" s="4"/>
      <c r="G1730" s="4"/>
      <c r="H1730" s="4"/>
      <c r="I1730" s="4" t="s">
        <v>1039</v>
      </c>
    </row>
    <row r="1731" ht="15.75" customHeight="1">
      <c r="A1731" s="4" t="s">
        <v>4536</v>
      </c>
      <c r="B1731" s="13">
        <v>46042.6906712963</v>
      </c>
      <c r="C1731" s="4" t="s">
        <v>4537</v>
      </c>
      <c r="D1731" s="4" t="s">
        <v>1163</v>
      </c>
      <c r="E1731" s="4" t="s">
        <v>1119</v>
      </c>
      <c r="F1731" s="4"/>
      <c r="G1731" s="4"/>
      <c r="H1731" s="4"/>
      <c r="I1731" s="4" t="s">
        <v>1052</v>
      </c>
    </row>
    <row r="1732" ht="15.75" customHeight="1">
      <c r="A1732" s="4" t="s">
        <v>4538</v>
      </c>
      <c r="B1732" s="13">
        <v>46032.7243287037</v>
      </c>
      <c r="C1732" s="4" t="s">
        <v>4539</v>
      </c>
      <c r="D1732" s="4" t="s">
        <v>1093</v>
      </c>
      <c r="E1732" s="4" t="s">
        <v>1064</v>
      </c>
      <c r="F1732" s="4"/>
      <c r="G1732" s="4"/>
      <c r="H1732" s="4"/>
      <c r="I1732" s="4" t="s">
        <v>1042</v>
      </c>
    </row>
    <row r="1733" ht="15.75" customHeight="1">
      <c r="A1733" s="4" t="s">
        <v>4540</v>
      </c>
      <c r="B1733" s="13">
        <v>46042.8634722222</v>
      </c>
      <c r="C1733" s="4" t="s">
        <v>4541</v>
      </c>
      <c r="D1733" s="4" t="s">
        <v>1086</v>
      </c>
      <c r="E1733" s="4" t="s">
        <v>1064</v>
      </c>
      <c r="F1733" s="4"/>
      <c r="G1733" s="4"/>
      <c r="H1733" s="4"/>
      <c r="I1733" s="4" t="s">
        <v>1030</v>
      </c>
    </row>
    <row r="1734" ht="15.75" customHeight="1">
      <c r="A1734" s="4" t="s">
        <v>4542</v>
      </c>
      <c r="B1734" s="13">
        <v>46120.6545833333</v>
      </c>
      <c r="C1734" s="4" t="s">
        <v>4543</v>
      </c>
      <c r="D1734" s="4" t="s">
        <v>1071</v>
      </c>
      <c r="E1734" s="4" t="s">
        <v>1072</v>
      </c>
      <c r="F1734" s="4"/>
      <c r="G1734" s="4"/>
      <c r="H1734" s="4"/>
      <c r="I1734" s="4" t="s">
        <v>1035</v>
      </c>
    </row>
    <row r="1735" ht="15.75" customHeight="1">
      <c r="A1735" s="4" t="s">
        <v>4544</v>
      </c>
      <c r="B1735" s="13">
        <v>46087.4952083333</v>
      </c>
      <c r="C1735" s="4" t="s">
        <v>4545</v>
      </c>
      <c r="D1735" s="4" t="s">
        <v>1104</v>
      </c>
      <c r="E1735" s="4" t="s">
        <v>1090</v>
      </c>
      <c r="F1735" s="4" t="s">
        <v>798</v>
      </c>
      <c r="G1735" s="4"/>
      <c r="H1735" s="4"/>
      <c r="I1735" s="4" t="s">
        <v>1028</v>
      </c>
    </row>
    <row r="1736" ht="15.75" customHeight="1">
      <c r="A1736" s="4" t="s">
        <v>4546</v>
      </c>
      <c r="B1736" s="13">
        <v>46099.5391087963</v>
      </c>
      <c r="C1736" s="4" t="s">
        <v>4547</v>
      </c>
      <c r="D1736" s="4" t="s">
        <v>1081</v>
      </c>
      <c r="E1736" s="4" t="s">
        <v>1064</v>
      </c>
      <c r="F1736" s="4"/>
      <c r="G1736" s="4"/>
      <c r="H1736" s="4"/>
      <c r="I1736" s="4" t="s">
        <v>1035</v>
      </c>
    </row>
    <row r="1737" ht="15.75" customHeight="1">
      <c r="A1737" s="4" t="s">
        <v>4548</v>
      </c>
      <c r="B1737" s="13">
        <v>46060.4182175926</v>
      </c>
      <c r="C1737" s="4" t="s">
        <v>4549</v>
      </c>
      <c r="D1737" s="4" t="s">
        <v>1110</v>
      </c>
      <c r="E1737" s="4" t="s">
        <v>1064</v>
      </c>
      <c r="F1737" s="4"/>
      <c r="G1737" s="4" t="s">
        <v>227</v>
      </c>
      <c r="H1737" s="10">
        <v>137.32</v>
      </c>
      <c r="I1737" s="4" t="s">
        <v>1030</v>
      </c>
    </row>
    <row r="1738" ht="15.75" customHeight="1">
      <c r="A1738" s="4" t="s">
        <v>4550</v>
      </c>
      <c r="B1738" s="13">
        <v>46104.4715277778</v>
      </c>
      <c r="C1738" s="4" t="s">
        <v>4551</v>
      </c>
      <c r="D1738" s="4" t="s">
        <v>1163</v>
      </c>
      <c r="E1738" s="4" t="s">
        <v>1072</v>
      </c>
      <c r="F1738" s="4"/>
      <c r="G1738" s="4"/>
      <c r="H1738" s="4"/>
      <c r="I1738" s="4" t="s">
        <v>1028</v>
      </c>
    </row>
    <row r="1739" ht="15.75" customHeight="1">
      <c r="A1739" s="4" t="s">
        <v>4552</v>
      </c>
      <c r="B1739" s="13">
        <v>46079.3467476852</v>
      </c>
      <c r="C1739" s="4" t="s">
        <v>4553</v>
      </c>
      <c r="D1739" s="4" t="s">
        <v>1104</v>
      </c>
      <c r="E1739" s="4" t="s">
        <v>1105</v>
      </c>
      <c r="F1739" s="4" t="s">
        <v>294</v>
      </c>
      <c r="G1739" s="4"/>
      <c r="H1739" s="4"/>
      <c r="I1739" s="4" t="s">
        <v>1050</v>
      </c>
    </row>
    <row r="1740" ht="15.75" customHeight="1">
      <c r="A1740" s="4" t="s">
        <v>4554</v>
      </c>
      <c r="B1740" s="13">
        <v>46126.8535416667</v>
      </c>
      <c r="C1740" s="4" t="s">
        <v>4555</v>
      </c>
      <c r="D1740" s="4" t="s">
        <v>1089</v>
      </c>
      <c r="E1740" s="4" t="s">
        <v>1105</v>
      </c>
      <c r="F1740" s="4" t="s">
        <v>140</v>
      </c>
      <c r="G1740" s="4"/>
      <c r="H1740" s="4"/>
      <c r="I1740" s="4" t="s">
        <v>1030</v>
      </c>
    </row>
    <row r="1741" ht="15.75" customHeight="1">
      <c r="A1741" s="4" t="s">
        <v>4556</v>
      </c>
      <c r="B1741" s="13">
        <v>46126.8256712963</v>
      </c>
      <c r="C1741" s="4" t="s">
        <v>4557</v>
      </c>
      <c r="D1741" s="4" t="s">
        <v>1078</v>
      </c>
      <c r="E1741" s="4" t="s">
        <v>1064</v>
      </c>
      <c r="F1741" s="4"/>
      <c r="G1741" s="4" t="s">
        <v>232</v>
      </c>
      <c r="H1741" s="10">
        <v>94.32</v>
      </c>
      <c r="I1741" s="4" t="s">
        <v>1028</v>
      </c>
    </row>
    <row r="1742" ht="15.75" customHeight="1">
      <c r="A1742" s="4" t="s">
        <v>4558</v>
      </c>
      <c r="B1742" s="13">
        <v>46099.7014236111</v>
      </c>
      <c r="C1742" s="4" t="s">
        <v>4559</v>
      </c>
      <c r="D1742" s="4" t="s">
        <v>1093</v>
      </c>
      <c r="E1742" s="4" t="s">
        <v>1064</v>
      </c>
      <c r="F1742" s="4"/>
      <c r="G1742" s="4"/>
      <c r="H1742" s="4"/>
      <c r="I1742" s="4" t="s">
        <v>587</v>
      </c>
    </row>
    <row r="1743" ht="15.75" customHeight="1">
      <c r="A1743" s="4" t="s">
        <v>4560</v>
      </c>
      <c r="B1743" s="13">
        <v>46056.694212963</v>
      </c>
      <c r="C1743" s="4" t="s">
        <v>4561</v>
      </c>
      <c r="D1743" s="4" t="s">
        <v>1093</v>
      </c>
      <c r="E1743" s="4" t="s">
        <v>1064</v>
      </c>
      <c r="F1743" s="4"/>
      <c r="G1743" s="4"/>
      <c r="H1743" s="4"/>
      <c r="I1743" s="4" t="s">
        <v>1042</v>
      </c>
    </row>
    <row r="1744" ht="15.75" customHeight="1">
      <c r="A1744" s="4" t="s">
        <v>4562</v>
      </c>
      <c r="B1744" s="13">
        <v>46052.6514583333</v>
      </c>
      <c r="C1744" s="4" t="s">
        <v>4563</v>
      </c>
      <c r="D1744" s="4" t="s">
        <v>1071</v>
      </c>
      <c r="E1744" s="4" t="s">
        <v>1072</v>
      </c>
      <c r="F1744" s="4"/>
      <c r="G1744" s="4"/>
      <c r="H1744" s="4"/>
      <c r="I1744" s="4" t="s">
        <v>587</v>
      </c>
    </row>
    <row r="1745" ht="15.75" customHeight="1">
      <c r="A1745" s="4" t="s">
        <v>4564</v>
      </c>
      <c r="B1745" s="13">
        <v>46074.7111111111</v>
      </c>
      <c r="C1745" s="4" t="s">
        <v>4565</v>
      </c>
      <c r="D1745" s="4" t="s">
        <v>1081</v>
      </c>
      <c r="E1745" s="4" t="s">
        <v>1064</v>
      </c>
      <c r="F1745" s="4"/>
      <c r="G1745" s="4"/>
      <c r="H1745" s="4"/>
      <c r="I1745" s="4" t="s">
        <v>1035</v>
      </c>
    </row>
    <row r="1746" ht="15.75" customHeight="1">
      <c r="A1746" s="4" t="s">
        <v>4566</v>
      </c>
      <c r="B1746" s="13">
        <v>46067.628287037</v>
      </c>
      <c r="C1746" s="4" t="s">
        <v>4567</v>
      </c>
      <c r="D1746" s="4" t="s">
        <v>1093</v>
      </c>
      <c r="E1746" s="4" t="s">
        <v>1064</v>
      </c>
      <c r="F1746" s="4"/>
      <c r="G1746" s="4"/>
      <c r="H1746" s="4"/>
      <c r="I1746" s="4" t="s">
        <v>1052</v>
      </c>
    </row>
    <row r="1747" ht="15.75" customHeight="1">
      <c r="A1747" s="4" t="s">
        <v>4568</v>
      </c>
      <c r="B1747" s="13">
        <v>46110.3784837963</v>
      </c>
      <c r="C1747" s="4" t="s">
        <v>4569</v>
      </c>
      <c r="D1747" s="4" t="s">
        <v>1104</v>
      </c>
      <c r="E1747" s="4" t="s">
        <v>1105</v>
      </c>
      <c r="F1747" s="4" t="s">
        <v>102</v>
      </c>
      <c r="G1747" s="4"/>
      <c r="H1747" s="4"/>
      <c r="I1747" s="4" t="s">
        <v>427</v>
      </c>
    </row>
    <row r="1748" ht="15.75" customHeight="1">
      <c r="A1748" s="4" t="s">
        <v>4570</v>
      </c>
      <c r="B1748" s="13">
        <v>46051.835</v>
      </c>
      <c r="C1748" s="4" t="s">
        <v>4571</v>
      </c>
      <c r="D1748" s="4" t="s">
        <v>1063</v>
      </c>
      <c r="E1748" s="4" t="s">
        <v>1064</v>
      </c>
      <c r="F1748" s="4"/>
      <c r="G1748" s="4" t="s">
        <v>84</v>
      </c>
      <c r="H1748" s="4"/>
      <c r="I1748" s="4" t="s">
        <v>1048</v>
      </c>
    </row>
    <row r="1749" ht="15.75" customHeight="1">
      <c r="A1749" s="4" t="s">
        <v>4572</v>
      </c>
      <c r="B1749" s="13">
        <v>46082.7476273148</v>
      </c>
      <c r="C1749" s="4" t="s">
        <v>4573</v>
      </c>
      <c r="D1749" s="4" t="s">
        <v>1075</v>
      </c>
      <c r="E1749" s="4" t="s">
        <v>1064</v>
      </c>
      <c r="F1749" s="4"/>
      <c r="G1749" s="4"/>
      <c r="H1749" s="4"/>
      <c r="I1749" s="4" t="s">
        <v>1050</v>
      </c>
    </row>
    <row r="1750" ht="15.75" customHeight="1">
      <c r="A1750" s="4" t="s">
        <v>4574</v>
      </c>
      <c r="B1750" s="13">
        <v>46055.4368055556</v>
      </c>
      <c r="C1750" s="4" t="s">
        <v>4575</v>
      </c>
      <c r="D1750" s="4" t="s">
        <v>1163</v>
      </c>
      <c r="E1750" s="4" t="s">
        <v>1119</v>
      </c>
      <c r="F1750" s="4"/>
      <c r="G1750" s="4"/>
      <c r="H1750" s="4"/>
      <c r="I1750" s="4" t="s">
        <v>1046</v>
      </c>
    </row>
    <row r="1751" ht="15.75" customHeight="1">
      <c r="A1751" s="4" t="s">
        <v>4576</v>
      </c>
      <c r="B1751" s="13">
        <v>46023.4364699074</v>
      </c>
      <c r="C1751" s="4" t="s">
        <v>4577</v>
      </c>
      <c r="D1751" s="4" t="s">
        <v>1093</v>
      </c>
      <c r="E1751" s="4" t="s">
        <v>1064</v>
      </c>
      <c r="F1751" s="4"/>
      <c r="G1751" s="4"/>
      <c r="H1751" s="4"/>
      <c r="I1751" s="4" t="s">
        <v>1036</v>
      </c>
    </row>
    <row r="1752" ht="15.75" customHeight="1">
      <c r="A1752" s="4" t="s">
        <v>4578</v>
      </c>
      <c r="B1752" s="13">
        <v>46126.6201273148</v>
      </c>
      <c r="C1752" s="4" t="s">
        <v>4579</v>
      </c>
      <c r="D1752" s="4" t="s">
        <v>1110</v>
      </c>
      <c r="E1752" s="4" t="s">
        <v>1064</v>
      </c>
      <c r="F1752" s="4"/>
      <c r="G1752" s="4" t="s">
        <v>227</v>
      </c>
      <c r="H1752" s="10">
        <v>121.78</v>
      </c>
      <c r="I1752" s="4" t="s">
        <v>1036</v>
      </c>
    </row>
    <row r="1753" ht="15.75" customHeight="1">
      <c r="A1753" s="4" t="s">
        <v>4580</v>
      </c>
      <c r="B1753" s="13">
        <v>46120.9118402778</v>
      </c>
      <c r="C1753" s="4" t="s">
        <v>4581</v>
      </c>
      <c r="D1753" s="4" t="s">
        <v>1086</v>
      </c>
      <c r="E1753" s="4" t="s">
        <v>1064</v>
      </c>
      <c r="F1753" s="4"/>
      <c r="G1753" s="4"/>
      <c r="H1753" s="4"/>
      <c r="I1753" s="4" t="s">
        <v>1030</v>
      </c>
    </row>
    <row r="1754" ht="15.75" customHeight="1">
      <c r="A1754" s="4" t="s">
        <v>4582</v>
      </c>
      <c r="B1754" s="13">
        <v>46059.7123958333</v>
      </c>
      <c r="C1754" s="4" t="s">
        <v>4583</v>
      </c>
      <c r="D1754" s="4" t="s">
        <v>1078</v>
      </c>
      <c r="E1754" s="4" t="s">
        <v>1064</v>
      </c>
      <c r="F1754" s="4"/>
      <c r="G1754" s="4" t="s">
        <v>69</v>
      </c>
      <c r="H1754" s="10">
        <v>66.13</v>
      </c>
      <c r="I1754" s="4" t="s">
        <v>1052</v>
      </c>
    </row>
    <row r="1755" ht="15.75" customHeight="1">
      <c r="A1755" s="4" t="s">
        <v>4584</v>
      </c>
      <c r="B1755" s="13">
        <v>46108.7379166667</v>
      </c>
      <c r="C1755" s="4" t="s">
        <v>4585</v>
      </c>
      <c r="D1755" s="4" t="s">
        <v>1110</v>
      </c>
      <c r="E1755" s="4" t="s">
        <v>1064</v>
      </c>
      <c r="F1755" s="4"/>
      <c r="G1755" s="4" t="s">
        <v>190</v>
      </c>
      <c r="H1755" s="10">
        <v>129.77</v>
      </c>
      <c r="I1755" s="4" t="s">
        <v>1028</v>
      </c>
    </row>
    <row r="1756" ht="15.75" customHeight="1">
      <c r="A1756" s="4" t="s">
        <v>4586</v>
      </c>
      <c r="B1756" s="13">
        <v>46127.6154398148</v>
      </c>
      <c r="C1756" s="4" t="s">
        <v>4587</v>
      </c>
      <c r="D1756" s="4" t="s">
        <v>1089</v>
      </c>
      <c r="E1756" s="4" t="s">
        <v>1105</v>
      </c>
      <c r="F1756" s="4" t="s">
        <v>261</v>
      </c>
      <c r="G1756" s="4"/>
      <c r="H1756" s="4"/>
      <c r="I1756" s="4" t="s">
        <v>1039</v>
      </c>
    </row>
    <row r="1757" ht="15.75" customHeight="1">
      <c r="A1757" s="4" t="s">
        <v>4588</v>
      </c>
      <c r="B1757" s="13">
        <v>46097.5587962963</v>
      </c>
      <c r="C1757" s="4" t="s">
        <v>4589</v>
      </c>
      <c r="D1757" s="4" t="s">
        <v>1071</v>
      </c>
      <c r="E1757" s="4" t="s">
        <v>1119</v>
      </c>
      <c r="F1757" s="4"/>
      <c r="G1757" s="4"/>
      <c r="H1757" s="4"/>
      <c r="I1757" s="4" t="s">
        <v>1039</v>
      </c>
    </row>
    <row r="1758" ht="15.75" customHeight="1">
      <c r="A1758" s="4" t="s">
        <v>4590</v>
      </c>
      <c r="B1758" s="13">
        <v>46084.9271527778</v>
      </c>
      <c r="C1758" s="4" t="s">
        <v>4591</v>
      </c>
      <c r="D1758" s="4" t="s">
        <v>1071</v>
      </c>
      <c r="E1758" s="4" t="s">
        <v>1119</v>
      </c>
      <c r="F1758" s="4"/>
      <c r="G1758" s="4"/>
      <c r="H1758" s="4"/>
      <c r="I1758" s="4" t="s">
        <v>1039</v>
      </c>
    </row>
    <row r="1759" ht="15.75" customHeight="1">
      <c r="A1759" s="4" t="s">
        <v>4592</v>
      </c>
      <c r="B1759" s="13">
        <v>46057.9901157407</v>
      </c>
      <c r="C1759" s="4" t="s">
        <v>4593</v>
      </c>
      <c r="D1759" s="4" t="s">
        <v>1128</v>
      </c>
      <c r="E1759" s="4" t="s">
        <v>1105</v>
      </c>
      <c r="F1759" s="4" t="s">
        <v>192</v>
      </c>
      <c r="G1759" s="4"/>
      <c r="H1759" s="4"/>
      <c r="I1759" s="4" t="s">
        <v>587</v>
      </c>
    </row>
    <row r="1760" ht="15.75" customHeight="1">
      <c r="A1760" s="4" t="s">
        <v>4594</v>
      </c>
      <c r="B1760" s="13">
        <v>46071.7793402778</v>
      </c>
      <c r="C1760" s="4" t="s">
        <v>4595</v>
      </c>
      <c r="D1760" s="4" t="s">
        <v>1163</v>
      </c>
      <c r="E1760" s="4" t="s">
        <v>1119</v>
      </c>
      <c r="F1760" s="4"/>
      <c r="G1760" s="4"/>
      <c r="H1760" s="4"/>
      <c r="I1760" s="4" t="s">
        <v>1048</v>
      </c>
    </row>
    <row r="1761" ht="15.75" customHeight="1">
      <c r="A1761" s="4" t="s">
        <v>4596</v>
      </c>
      <c r="B1761" s="13">
        <v>46107.428287037</v>
      </c>
      <c r="C1761" s="4" t="s">
        <v>4597</v>
      </c>
      <c r="D1761" s="4" t="s">
        <v>1093</v>
      </c>
      <c r="E1761" s="4" t="s">
        <v>1064</v>
      </c>
      <c r="F1761" s="4"/>
      <c r="G1761" s="4"/>
      <c r="H1761" s="4"/>
      <c r="I1761" s="4" t="s">
        <v>1035</v>
      </c>
    </row>
    <row r="1762" ht="15.75" customHeight="1">
      <c r="A1762" s="4" t="s">
        <v>4598</v>
      </c>
      <c r="B1762" s="13">
        <v>46120.9990509259</v>
      </c>
      <c r="C1762" s="4" t="s">
        <v>4599</v>
      </c>
      <c r="D1762" s="4" t="s">
        <v>1104</v>
      </c>
      <c r="E1762" s="4" t="s">
        <v>1105</v>
      </c>
      <c r="F1762" s="4" t="s">
        <v>197</v>
      </c>
      <c r="G1762" s="4"/>
      <c r="H1762" s="4"/>
      <c r="I1762" s="4" t="s">
        <v>1048</v>
      </c>
    </row>
    <row r="1763" ht="15.75" customHeight="1">
      <c r="A1763" s="4" t="s">
        <v>4600</v>
      </c>
      <c r="B1763" s="13">
        <v>46035.9966898148</v>
      </c>
      <c r="C1763" s="4" t="s">
        <v>4601</v>
      </c>
      <c r="D1763" s="4" t="s">
        <v>1081</v>
      </c>
      <c r="E1763" s="4" t="s">
        <v>1064</v>
      </c>
      <c r="F1763" s="4"/>
      <c r="G1763" s="4"/>
      <c r="H1763" s="4"/>
      <c r="I1763" s="4" t="s">
        <v>1039</v>
      </c>
    </row>
    <row r="1764" ht="15.75" customHeight="1">
      <c r="A1764" s="4" t="s">
        <v>4602</v>
      </c>
      <c r="B1764" s="13">
        <v>46072.5145949074</v>
      </c>
      <c r="C1764" s="4" t="s">
        <v>4603</v>
      </c>
      <c r="D1764" s="4" t="s">
        <v>1104</v>
      </c>
      <c r="E1764" s="4" t="s">
        <v>1090</v>
      </c>
      <c r="F1764" s="4" t="s">
        <v>796</v>
      </c>
      <c r="G1764" s="4"/>
      <c r="H1764" s="4"/>
      <c r="I1764" s="4" t="s">
        <v>1035</v>
      </c>
    </row>
    <row r="1765" ht="15.75" customHeight="1">
      <c r="A1765" s="4" t="s">
        <v>4604</v>
      </c>
      <c r="B1765" s="13">
        <v>46073.7258449074</v>
      </c>
      <c r="C1765" s="4" t="s">
        <v>4605</v>
      </c>
      <c r="D1765" s="4" t="s">
        <v>1078</v>
      </c>
      <c r="E1765" s="4" t="s">
        <v>1064</v>
      </c>
      <c r="F1765" s="4"/>
      <c r="G1765" s="4" t="s">
        <v>144</v>
      </c>
      <c r="H1765" s="10">
        <v>38.06</v>
      </c>
      <c r="I1765" s="4" t="s">
        <v>1050</v>
      </c>
    </row>
    <row r="1766" ht="15.75" customHeight="1">
      <c r="A1766" s="4" t="s">
        <v>4606</v>
      </c>
      <c r="B1766" s="13">
        <v>46103.7663310185</v>
      </c>
      <c r="C1766" s="4" t="s">
        <v>4607</v>
      </c>
      <c r="D1766" s="4" t="s">
        <v>1081</v>
      </c>
      <c r="E1766" s="4" t="s">
        <v>1064</v>
      </c>
      <c r="F1766" s="4"/>
      <c r="G1766" s="4"/>
      <c r="H1766" s="4"/>
      <c r="I1766" s="4" t="s">
        <v>1050</v>
      </c>
    </row>
    <row r="1767" ht="15.75" customHeight="1">
      <c r="A1767" s="4" t="s">
        <v>4608</v>
      </c>
      <c r="B1767" s="13">
        <v>46039.9895023148</v>
      </c>
      <c r="C1767" s="4" t="s">
        <v>4609</v>
      </c>
      <c r="D1767" s="4" t="s">
        <v>1081</v>
      </c>
      <c r="E1767" s="4" t="s">
        <v>1064</v>
      </c>
      <c r="F1767" s="4"/>
      <c r="G1767" s="4"/>
      <c r="H1767" s="4"/>
      <c r="I1767" s="4" t="s">
        <v>1036</v>
      </c>
    </row>
    <row r="1768" ht="15.75" customHeight="1">
      <c r="A1768" s="4" t="s">
        <v>4610</v>
      </c>
      <c r="B1768" s="13">
        <v>46069.7559953704</v>
      </c>
      <c r="C1768" s="4" t="s">
        <v>4611</v>
      </c>
      <c r="D1768" s="4" t="s">
        <v>1128</v>
      </c>
      <c r="E1768" s="4" t="s">
        <v>1105</v>
      </c>
      <c r="F1768" s="4" t="s">
        <v>79</v>
      </c>
      <c r="G1768" s="4"/>
      <c r="H1768" s="4"/>
      <c r="I1768" s="4" t="s">
        <v>1042</v>
      </c>
    </row>
    <row r="1769" ht="15.75" customHeight="1">
      <c r="A1769" s="4" t="s">
        <v>4612</v>
      </c>
      <c r="B1769" s="13">
        <v>46108.4519675926</v>
      </c>
      <c r="C1769" s="4" t="s">
        <v>4613</v>
      </c>
      <c r="D1769" s="4" t="s">
        <v>1089</v>
      </c>
      <c r="E1769" s="4" t="s">
        <v>1105</v>
      </c>
      <c r="F1769" s="4" t="s">
        <v>87</v>
      </c>
      <c r="G1769" s="4"/>
      <c r="H1769" s="4"/>
      <c r="I1769" s="4" t="s">
        <v>587</v>
      </c>
    </row>
    <row r="1770" ht="15.75" customHeight="1">
      <c r="A1770" s="4" t="s">
        <v>4614</v>
      </c>
      <c r="B1770" s="13">
        <v>46081.6078240741</v>
      </c>
      <c r="C1770" s="4" t="s">
        <v>4615</v>
      </c>
      <c r="D1770" s="4" t="s">
        <v>1071</v>
      </c>
      <c r="E1770" s="4" t="s">
        <v>1072</v>
      </c>
      <c r="F1770" s="4"/>
      <c r="G1770" s="4"/>
      <c r="H1770" s="4"/>
      <c r="I1770" s="4" t="s">
        <v>1030</v>
      </c>
    </row>
    <row r="1771" ht="15.75" customHeight="1">
      <c r="A1771" s="4" t="s">
        <v>4616</v>
      </c>
      <c r="B1771" s="13">
        <v>46023.4054050926</v>
      </c>
      <c r="C1771" s="4" t="s">
        <v>4617</v>
      </c>
      <c r="D1771" s="4" t="s">
        <v>1110</v>
      </c>
      <c r="E1771" s="4" t="s">
        <v>1064</v>
      </c>
      <c r="F1771" s="4"/>
      <c r="G1771" s="4" t="s">
        <v>112</v>
      </c>
      <c r="H1771" s="10">
        <v>140.54</v>
      </c>
      <c r="I1771" s="4" t="s">
        <v>1050</v>
      </c>
    </row>
    <row r="1772" ht="15.75" customHeight="1">
      <c r="A1772" s="4" t="s">
        <v>4618</v>
      </c>
      <c r="B1772" s="13">
        <v>46071.4088310185</v>
      </c>
      <c r="C1772" s="4" t="s">
        <v>4619</v>
      </c>
      <c r="D1772" s="4" t="s">
        <v>1081</v>
      </c>
      <c r="E1772" s="4" t="s">
        <v>1064</v>
      </c>
      <c r="F1772" s="4"/>
      <c r="G1772" s="4"/>
      <c r="H1772" s="4"/>
      <c r="I1772" s="4" t="s">
        <v>1028</v>
      </c>
    </row>
    <row r="1773" ht="15.75" customHeight="1">
      <c r="A1773" s="4" t="s">
        <v>4620</v>
      </c>
      <c r="B1773" s="13">
        <v>46032.3865972222</v>
      </c>
      <c r="C1773" s="4" t="s">
        <v>4621</v>
      </c>
      <c r="D1773" s="4" t="s">
        <v>1110</v>
      </c>
      <c r="E1773" s="4" t="s">
        <v>1064</v>
      </c>
      <c r="F1773" s="4"/>
      <c r="G1773" s="4" t="s">
        <v>69</v>
      </c>
      <c r="H1773" s="10">
        <v>229.12</v>
      </c>
      <c r="I1773" s="4" t="s">
        <v>1052</v>
      </c>
    </row>
    <row r="1774" ht="15.75" customHeight="1">
      <c r="A1774" s="4" t="s">
        <v>4622</v>
      </c>
      <c r="B1774" s="13">
        <v>46075.806087963</v>
      </c>
      <c r="C1774" s="4" t="s">
        <v>4623</v>
      </c>
      <c r="D1774" s="4" t="s">
        <v>1081</v>
      </c>
      <c r="E1774" s="4" t="s">
        <v>1064</v>
      </c>
      <c r="F1774" s="4"/>
      <c r="G1774" s="4"/>
      <c r="H1774" s="4"/>
      <c r="I1774" s="4" t="s">
        <v>1030</v>
      </c>
    </row>
    <row r="1775" ht="15.75" customHeight="1">
      <c r="A1775" s="4" t="s">
        <v>4624</v>
      </c>
      <c r="B1775" s="13">
        <v>46093.5389814815</v>
      </c>
      <c r="C1775" s="4" t="s">
        <v>4625</v>
      </c>
      <c r="D1775" s="4" t="s">
        <v>1163</v>
      </c>
      <c r="E1775" s="4" t="s">
        <v>1119</v>
      </c>
      <c r="F1775" s="4"/>
      <c r="G1775" s="4"/>
      <c r="H1775" s="4"/>
      <c r="I1775" s="4" t="s">
        <v>1031</v>
      </c>
    </row>
    <row r="1776" ht="15.75" customHeight="1">
      <c r="A1776" s="4" t="s">
        <v>4626</v>
      </c>
      <c r="B1776" s="13">
        <v>46038.9750462963</v>
      </c>
      <c r="C1776" s="4" t="s">
        <v>4627</v>
      </c>
      <c r="D1776" s="4" t="s">
        <v>1078</v>
      </c>
      <c r="E1776" s="4" t="s">
        <v>1064</v>
      </c>
      <c r="F1776" s="4"/>
      <c r="G1776" s="4" t="s">
        <v>107</v>
      </c>
      <c r="H1776" s="10">
        <v>142.8</v>
      </c>
      <c r="I1776" s="4" t="s">
        <v>1039</v>
      </c>
    </row>
    <row r="1777" ht="15.75" customHeight="1">
      <c r="A1777" s="4" t="s">
        <v>4628</v>
      </c>
      <c r="B1777" s="13">
        <v>46078.6441203704</v>
      </c>
      <c r="C1777" s="4" t="s">
        <v>4629</v>
      </c>
      <c r="D1777" s="4" t="s">
        <v>1081</v>
      </c>
      <c r="E1777" s="4" t="s">
        <v>1064</v>
      </c>
      <c r="F1777" s="4"/>
      <c r="G1777" s="4"/>
      <c r="H1777" s="4"/>
      <c r="I1777" s="4" t="s">
        <v>1036</v>
      </c>
    </row>
    <row r="1778" ht="15.75" customHeight="1">
      <c r="A1778" s="4" t="s">
        <v>4630</v>
      </c>
      <c r="B1778" s="13">
        <v>46075.9356134259</v>
      </c>
      <c r="C1778" s="4" t="s">
        <v>4631</v>
      </c>
      <c r="D1778" s="4" t="s">
        <v>1104</v>
      </c>
      <c r="E1778" s="4" t="s">
        <v>1105</v>
      </c>
      <c r="F1778" s="4" t="s">
        <v>87</v>
      </c>
      <c r="G1778" s="4"/>
      <c r="H1778" s="4"/>
      <c r="I1778" s="4" t="s">
        <v>1039</v>
      </c>
    </row>
    <row r="1779" ht="15.75" customHeight="1">
      <c r="A1779" s="4" t="s">
        <v>4632</v>
      </c>
      <c r="B1779" s="13">
        <v>46116.6542939815</v>
      </c>
      <c r="C1779" s="4" t="s">
        <v>4633</v>
      </c>
      <c r="D1779" s="4" t="s">
        <v>1071</v>
      </c>
      <c r="E1779" s="4" t="s">
        <v>1119</v>
      </c>
      <c r="F1779" s="4"/>
      <c r="G1779" s="4"/>
      <c r="H1779" s="4"/>
      <c r="I1779" s="4" t="s">
        <v>1028</v>
      </c>
    </row>
    <row r="1780" ht="15.75" customHeight="1">
      <c r="A1780" s="4" t="s">
        <v>4634</v>
      </c>
      <c r="B1780" s="13">
        <v>46126.9570138889</v>
      </c>
      <c r="C1780" s="4" t="s">
        <v>4635</v>
      </c>
      <c r="D1780" s="4" t="s">
        <v>1075</v>
      </c>
      <c r="E1780" s="4" t="s">
        <v>1064</v>
      </c>
      <c r="F1780" s="4"/>
      <c r="G1780" s="4"/>
      <c r="H1780" s="4"/>
      <c r="I1780" s="4" t="s">
        <v>1046</v>
      </c>
    </row>
    <row r="1781" ht="15.75" customHeight="1">
      <c r="A1781" s="4" t="s">
        <v>4636</v>
      </c>
      <c r="B1781" s="13">
        <v>46056.7881365741</v>
      </c>
      <c r="C1781" s="4" t="s">
        <v>4637</v>
      </c>
      <c r="D1781" s="4" t="s">
        <v>1071</v>
      </c>
      <c r="E1781" s="4" t="s">
        <v>1072</v>
      </c>
      <c r="F1781" s="4"/>
      <c r="G1781" s="4"/>
      <c r="H1781" s="4"/>
      <c r="I1781" s="4" t="s">
        <v>1050</v>
      </c>
    </row>
    <row r="1782" ht="15.75" customHeight="1">
      <c r="A1782" s="4" t="s">
        <v>4638</v>
      </c>
      <c r="B1782" s="13">
        <v>46061.7001736111</v>
      </c>
      <c r="C1782" s="4" t="s">
        <v>4639</v>
      </c>
      <c r="D1782" s="4" t="s">
        <v>1078</v>
      </c>
      <c r="E1782" s="4" t="s">
        <v>1064</v>
      </c>
      <c r="F1782" s="4"/>
      <c r="G1782" s="4" t="s">
        <v>190</v>
      </c>
      <c r="H1782" s="10">
        <v>33.75</v>
      </c>
      <c r="I1782" s="4" t="s">
        <v>1035</v>
      </c>
    </row>
    <row r="1783" ht="15.75" customHeight="1">
      <c r="A1783" s="4" t="s">
        <v>4640</v>
      </c>
      <c r="B1783" s="13">
        <v>46051.3939351852</v>
      </c>
      <c r="C1783" s="4" t="s">
        <v>4641</v>
      </c>
      <c r="D1783" s="4" t="s">
        <v>1110</v>
      </c>
      <c r="E1783" s="4" t="s">
        <v>1064</v>
      </c>
      <c r="F1783" s="4"/>
      <c r="G1783" s="4" t="s">
        <v>93</v>
      </c>
      <c r="H1783" s="10">
        <v>147.13</v>
      </c>
      <c r="I1783" s="4" t="s">
        <v>1046</v>
      </c>
    </row>
    <row r="1784" ht="15.75" customHeight="1">
      <c r="A1784" s="4" t="s">
        <v>4642</v>
      </c>
      <c r="B1784" s="13">
        <v>46130.7643981482</v>
      </c>
      <c r="C1784" s="4" t="s">
        <v>4643</v>
      </c>
      <c r="D1784" s="4" t="s">
        <v>1104</v>
      </c>
      <c r="E1784" s="4" t="s">
        <v>1090</v>
      </c>
      <c r="F1784" s="4" t="s">
        <v>823</v>
      </c>
      <c r="G1784" s="4"/>
      <c r="H1784" s="4"/>
      <c r="I1784" s="4" t="s">
        <v>1028</v>
      </c>
    </row>
    <row r="1785" ht="15.75" customHeight="1">
      <c r="A1785" s="4" t="s">
        <v>4644</v>
      </c>
      <c r="B1785" s="13">
        <v>46112.5760416667</v>
      </c>
      <c r="C1785" s="4" t="s">
        <v>4645</v>
      </c>
      <c r="D1785" s="4" t="s">
        <v>1075</v>
      </c>
      <c r="E1785" s="4" t="s">
        <v>1064</v>
      </c>
      <c r="F1785" s="4"/>
      <c r="G1785" s="4"/>
      <c r="H1785" s="4"/>
      <c r="I1785" s="4" t="s">
        <v>427</v>
      </c>
    </row>
    <row r="1786" ht="15.75" customHeight="1">
      <c r="A1786" s="4" t="s">
        <v>4646</v>
      </c>
      <c r="B1786" s="13">
        <v>46096.4889930556</v>
      </c>
      <c r="C1786" s="4" t="s">
        <v>4647</v>
      </c>
      <c r="D1786" s="4" t="s">
        <v>1063</v>
      </c>
      <c r="E1786" s="4" t="s">
        <v>1064</v>
      </c>
      <c r="F1786" s="4"/>
      <c r="G1786" s="4" t="s">
        <v>69</v>
      </c>
      <c r="H1786" s="4"/>
      <c r="I1786" s="4" t="s">
        <v>427</v>
      </c>
    </row>
    <row r="1787" ht="15.75" customHeight="1">
      <c r="A1787" s="4" t="s">
        <v>4648</v>
      </c>
      <c r="B1787" s="13">
        <v>46075.581087963</v>
      </c>
      <c r="C1787" s="4" t="s">
        <v>4649</v>
      </c>
      <c r="D1787" s="4" t="s">
        <v>1104</v>
      </c>
      <c r="E1787" s="4" t="s">
        <v>1105</v>
      </c>
      <c r="F1787" s="4" t="s">
        <v>179</v>
      </c>
      <c r="G1787" s="4"/>
      <c r="H1787" s="4"/>
      <c r="I1787" s="4" t="s">
        <v>1048</v>
      </c>
    </row>
    <row r="1788" ht="15.75" customHeight="1">
      <c r="A1788" s="4" t="s">
        <v>4650</v>
      </c>
      <c r="B1788" s="13">
        <v>46032.3414236111</v>
      </c>
      <c r="C1788" s="4" t="s">
        <v>4651</v>
      </c>
      <c r="D1788" s="4" t="s">
        <v>1078</v>
      </c>
      <c r="E1788" s="4" t="s">
        <v>1064</v>
      </c>
      <c r="F1788" s="4"/>
      <c r="G1788" s="4" t="s">
        <v>137</v>
      </c>
      <c r="H1788" s="10">
        <v>96.01</v>
      </c>
      <c r="I1788" s="4" t="s">
        <v>1052</v>
      </c>
    </row>
    <row r="1789" ht="15.75" customHeight="1">
      <c r="A1789" s="4" t="s">
        <v>4652</v>
      </c>
      <c r="B1789" s="13">
        <v>46081.6103356482</v>
      </c>
      <c r="C1789" s="4" t="s">
        <v>4653</v>
      </c>
      <c r="D1789" s="4" t="s">
        <v>1086</v>
      </c>
      <c r="E1789" s="4" t="s">
        <v>1064</v>
      </c>
      <c r="F1789" s="4"/>
      <c r="G1789" s="4"/>
      <c r="H1789" s="4"/>
      <c r="I1789" s="4" t="s">
        <v>1035</v>
      </c>
    </row>
    <row r="1790" ht="15.75" customHeight="1">
      <c r="A1790" s="4" t="s">
        <v>4654</v>
      </c>
      <c r="B1790" s="13">
        <v>46031.5116435185</v>
      </c>
      <c r="C1790" s="4" t="s">
        <v>4655</v>
      </c>
      <c r="D1790" s="4" t="s">
        <v>1063</v>
      </c>
      <c r="E1790" s="4" t="s">
        <v>1064</v>
      </c>
      <c r="F1790" s="4"/>
      <c r="G1790" s="4" t="s">
        <v>227</v>
      </c>
      <c r="H1790" s="4"/>
      <c r="I1790" s="4" t="s">
        <v>1046</v>
      </c>
    </row>
    <row r="1791" ht="15.75" customHeight="1">
      <c r="A1791" s="4" t="s">
        <v>4656</v>
      </c>
      <c r="B1791" s="13">
        <v>46050.8746412037</v>
      </c>
      <c r="C1791" s="4" t="s">
        <v>4657</v>
      </c>
      <c r="D1791" s="4" t="s">
        <v>1081</v>
      </c>
      <c r="E1791" s="4" t="s">
        <v>1064</v>
      </c>
      <c r="F1791" s="4"/>
      <c r="G1791" s="4"/>
      <c r="H1791" s="4"/>
      <c r="I1791" s="4" t="s">
        <v>427</v>
      </c>
    </row>
    <row r="1792" ht="15.75" customHeight="1">
      <c r="A1792" s="4" t="s">
        <v>4658</v>
      </c>
      <c r="B1792" s="13">
        <v>46073.9551736111</v>
      </c>
      <c r="C1792" s="4" t="s">
        <v>4659</v>
      </c>
      <c r="D1792" s="4" t="s">
        <v>1063</v>
      </c>
      <c r="E1792" s="4" t="s">
        <v>1064</v>
      </c>
      <c r="F1792" s="4"/>
      <c r="G1792" s="4" t="s">
        <v>84</v>
      </c>
      <c r="H1792" s="4"/>
      <c r="I1792" s="4" t="s">
        <v>1039</v>
      </c>
    </row>
    <row r="1793" ht="15.75" customHeight="1">
      <c r="A1793" s="4" t="s">
        <v>4660</v>
      </c>
      <c r="B1793" s="13">
        <v>46049.5846064815</v>
      </c>
      <c r="C1793" s="4" t="s">
        <v>4661</v>
      </c>
      <c r="D1793" s="4" t="s">
        <v>1128</v>
      </c>
      <c r="E1793" s="4" t="s">
        <v>1090</v>
      </c>
      <c r="F1793" s="4" t="s">
        <v>775</v>
      </c>
      <c r="G1793" s="4"/>
      <c r="H1793" s="4"/>
      <c r="I1793" s="4" t="s">
        <v>1039</v>
      </c>
    </row>
    <row r="1794" ht="15.75" customHeight="1">
      <c r="A1794" s="4" t="s">
        <v>4662</v>
      </c>
      <c r="B1794" s="13">
        <v>46112.5251157407</v>
      </c>
      <c r="C1794" s="4" t="s">
        <v>4663</v>
      </c>
      <c r="D1794" s="4" t="s">
        <v>1163</v>
      </c>
      <c r="E1794" s="4" t="s">
        <v>1072</v>
      </c>
      <c r="F1794" s="4"/>
      <c r="G1794" s="4"/>
      <c r="H1794" s="4"/>
      <c r="I1794" s="4" t="s">
        <v>587</v>
      </c>
    </row>
    <row r="1795" ht="15.75" customHeight="1">
      <c r="A1795" s="4" t="s">
        <v>4664</v>
      </c>
      <c r="B1795" s="13">
        <v>46125.4603703704</v>
      </c>
      <c r="C1795" s="4" t="s">
        <v>4665</v>
      </c>
      <c r="D1795" s="4" t="s">
        <v>1128</v>
      </c>
      <c r="E1795" s="4" t="s">
        <v>1105</v>
      </c>
      <c r="F1795" s="4" t="s">
        <v>218</v>
      </c>
      <c r="G1795" s="4"/>
      <c r="H1795" s="4"/>
      <c r="I1795" s="4" t="s">
        <v>1052</v>
      </c>
    </row>
    <row r="1796" ht="15.75" customHeight="1">
      <c r="A1796" s="4" t="s">
        <v>4666</v>
      </c>
      <c r="B1796" s="13">
        <v>46077.8256712963</v>
      </c>
      <c r="C1796" s="4" t="s">
        <v>4667</v>
      </c>
      <c r="D1796" s="4" t="s">
        <v>1086</v>
      </c>
      <c r="E1796" s="4" t="s">
        <v>1064</v>
      </c>
      <c r="F1796" s="4"/>
      <c r="G1796" s="4"/>
      <c r="H1796" s="4"/>
      <c r="I1796" s="4" t="s">
        <v>1042</v>
      </c>
    </row>
    <row r="1797" ht="15.75" customHeight="1">
      <c r="A1797" s="4" t="s">
        <v>4668</v>
      </c>
      <c r="B1797" s="13">
        <v>46040.3365625</v>
      </c>
      <c r="C1797" s="4" t="s">
        <v>4669</v>
      </c>
      <c r="D1797" s="4" t="s">
        <v>1093</v>
      </c>
      <c r="E1797" s="4" t="s">
        <v>1064</v>
      </c>
      <c r="F1797" s="4"/>
      <c r="G1797" s="4"/>
      <c r="H1797" s="4"/>
      <c r="I1797" s="4" t="s">
        <v>1048</v>
      </c>
    </row>
    <row r="1798" ht="15.75" customHeight="1">
      <c r="A1798" s="4" t="s">
        <v>4670</v>
      </c>
      <c r="B1798" s="13">
        <v>46055.4359143519</v>
      </c>
      <c r="C1798" s="4" t="s">
        <v>4671</v>
      </c>
      <c r="D1798" s="4" t="s">
        <v>1093</v>
      </c>
      <c r="E1798" s="4" t="s">
        <v>1064</v>
      </c>
      <c r="F1798" s="4"/>
      <c r="G1798" s="4"/>
      <c r="H1798" s="4"/>
      <c r="I1798" s="4" t="s">
        <v>1035</v>
      </c>
    </row>
    <row r="1799" ht="15.75" customHeight="1">
      <c r="A1799" s="4" t="s">
        <v>4672</v>
      </c>
      <c r="B1799" s="13">
        <v>46103.8472685185</v>
      </c>
      <c r="C1799" s="4" t="s">
        <v>4673</v>
      </c>
      <c r="D1799" s="4" t="s">
        <v>1110</v>
      </c>
      <c r="E1799" s="4" t="s">
        <v>1064</v>
      </c>
      <c r="F1799" s="4"/>
      <c r="G1799" s="4" t="s">
        <v>195</v>
      </c>
      <c r="H1799" s="10">
        <v>98.39</v>
      </c>
      <c r="I1799" s="4" t="s">
        <v>1028</v>
      </c>
    </row>
    <row r="1800" ht="15.75" customHeight="1">
      <c r="A1800" s="4" t="s">
        <v>4674</v>
      </c>
      <c r="B1800" s="13">
        <v>46025.3499537037</v>
      </c>
      <c r="C1800" s="4" t="s">
        <v>4675</v>
      </c>
      <c r="D1800" s="4" t="s">
        <v>1086</v>
      </c>
      <c r="E1800" s="4" t="s">
        <v>1064</v>
      </c>
      <c r="F1800" s="4"/>
      <c r="G1800" s="4"/>
      <c r="H1800" s="4"/>
      <c r="I1800" s="4" t="s">
        <v>1050</v>
      </c>
    </row>
    <row r="1801" ht="15.75" customHeight="1">
      <c r="A1801" s="4" t="s">
        <v>4676</v>
      </c>
      <c r="B1801" s="13">
        <v>46091.6980092593</v>
      </c>
      <c r="C1801" s="4" t="s">
        <v>4677</v>
      </c>
      <c r="D1801" s="4" t="s">
        <v>1086</v>
      </c>
      <c r="E1801" s="4" t="s">
        <v>1064</v>
      </c>
      <c r="F1801" s="4"/>
      <c r="G1801" s="4"/>
      <c r="H1801" s="4"/>
      <c r="I1801" s="4" t="s">
        <v>1039</v>
      </c>
    </row>
    <row r="1802" ht="15.75" customHeight="1">
      <c r="A1802" s="4" t="s">
        <v>4678</v>
      </c>
      <c r="B1802" s="13">
        <v>46024.6013888889</v>
      </c>
      <c r="C1802" s="4" t="s">
        <v>4679</v>
      </c>
      <c r="D1802" s="4" t="s">
        <v>1089</v>
      </c>
      <c r="E1802" s="4" t="s">
        <v>1105</v>
      </c>
      <c r="F1802" s="4" t="s">
        <v>294</v>
      </c>
      <c r="G1802" s="4"/>
      <c r="H1802" s="4"/>
      <c r="I1802" s="4" t="s">
        <v>1028</v>
      </c>
    </row>
    <row r="1803" ht="15.75" customHeight="1">
      <c r="A1803" s="4" t="s">
        <v>4680</v>
      </c>
      <c r="B1803" s="13">
        <v>46052.3652430556</v>
      </c>
      <c r="C1803" s="4" t="s">
        <v>4681</v>
      </c>
      <c r="D1803" s="4" t="s">
        <v>1163</v>
      </c>
      <c r="E1803" s="4" t="s">
        <v>1119</v>
      </c>
      <c r="F1803" s="4"/>
      <c r="G1803" s="4"/>
      <c r="H1803" s="4"/>
      <c r="I1803" s="4" t="s">
        <v>1052</v>
      </c>
    </row>
    <row r="1804" ht="15.75" customHeight="1">
      <c r="A1804" s="4" t="s">
        <v>4682</v>
      </c>
      <c r="B1804" s="13">
        <v>46065.6084143519</v>
      </c>
      <c r="C1804" s="4" t="s">
        <v>4683</v>
      </c>
      <c r="D1804" s="4" t="s">
        <v>1093</v>
      </c>
      <c r="E1804" s="4" t="s">
        <v>1064</v>
      </c>
      <c r="F1804" s="4"/>
      <c r="G1804" s="4"/>
      <c r="H1804" s="4"/>
      <c r="I1804" s="4" t="s">
        <v>587</v>
      </c>
    </row>
    <row r="1805" ht="15.75" customHeight="1">
      <c r="A1805" s="4" t="s">
        <v>4684</v>
      </c>
      <c r="B1805" s="13">
        <v>46037.9065393519</v>
      </c>
      <c r="C1805" s="4" t="s">
        <v>4685</v>
      </c>
      <c r="D1805" s="4" t="s">
        <v>1071</v>
      </c>
      <c r="E1805" s="4" t="s">
        <v>1072</v>
      </c>
      <c r="F1805" s="4"/>
      <c r="G1805" s="4"/>
      <c r="H1805" s="4"/>
      <c r="I1805" s="4" t="s">
        <v>1048</v>
      </c>
    </row>
    <row r="1806" ht="15.75" customHeight="1">
      <c r="A1806" s="4" t="s">
        <v>4686</v>
      </c>
      <c r="B1806" s="13">
        <v>46116.7085069444</v>
      </c>
      <c r="C1806" s="4" t="s">
        <v>4687</v>
      </c>
      <c r="D1806" s="4" t="s">
        <v>1093</v>
      </c>
      <c r="E1806" s="4" t="s">
        <v>1064</v>
      </c>
      <c r="F1806" s="4"/>
      <c r="G1806" s="4"/>
      <c r="H1806" s="4"/>
      <c r="I1806" s="4" t="s">
        <v>1050</v>
      </c>
    </row>
    <row r="1807" ht="15.75" customHeight="1">
      <c r="A1807" s="4" t="s">
        <v>4688</v>
      </c>
      <c r="B1807" s="13">
        <v>46025.8378125</v>
      </c>
      <c r="C1807" s="4" t="s">
        <v>4689</v>
      </c>
      <c r="D1807" s="4" t="s">
        <v>1104</v>
      </c>
      <c r="E1807" s="4" t="s">
        <v>1105</v>
      </c>
      <c r="F1807" s="4" t="s">
        <v>242</v>
      </c>
      <c r="G1807" s="4"/>
      <c r="H1807" s="4"/>
      <c r="I1807" s="4" t="s">
        <v>1050</v>
      </c>
    </row>
    <row r="1808" ht="15.75" customHeight="1">
      <c r="A1808" s="4" t="s">
        <v>4690</v>
      </c>
      <c r="B1808" s="13">
        <v>46123.7743171296</v>
      </c>
      <c r="C1808" s="4" t="s">
        <v>4691</v>
      </c>
      <c r="D1808" s="4" t="s">
        <v>1078</v>
      </c>
      <c r="E1808" s="4" t="s">
        <v>1064</v>
      </c>
      <c r="F1808" s="4"/>
      <c r="G1808" s="4" t="s">
        <v>137</v>
      </c>
      <c r="H1808" s="10">
        <v>86.34</v>
      </c>
      <c r="I1808" s="4" t="s">
        <v>427</v>
      </c>
    </row>
    <row r="1809" ht="15.75" customHeight="1">
      <c r="A1809" s="4" t="s">
        <v>4692</v>
      </c>
      <c r="B1809" s="13">
        <v>46075.5645833333</v>
      </c>
      <c r="C1809" s="4" t="s">
        <v>4693</v>
      </c>
      <c r="D1809" s="4" t="s">
        <v>1071</v>
      </c>
      <c r="E1809" s="4" t="s">
        <v>1072</v>
      </c>
      <c r="F1809" s="4"/>
      <c r="G1809" s="4"/>
      <c r="H1809" s="4"/>
      <c r="I1809" s="4" t="s">
        <v>1034</v>
      </c>
    </row>
    <row r="1810" ht="15.75" customHeight="1">
      <c r="A1810" s="4" t="s">
        <v>4694</v>
      </c>
      <c r="B1810" s="13">
        <v>46106.9025</v>
      </c>
      <c r="C1810" s="4" t="s">
        <v>4695</v>
      </c>
      <c r="D1810" s="4" t="s">
        <v>1089</v>
      </c>
      <c r="E1810" s="4" t="s">
        <v>1105</v>
      </c>
      <c r="F1810" s="4" t="s">
        <v>185</v>
      </c>
      <c r="G1810" s="4"/>
      <c r="H1810" s="4"/>
      <c r="I1810" s="4" t="s">
        <v>587</v>
      </c>
    </row>
    <row r="1811" ht="15.75" customHeight="1">
      <c r="A1811" s="4" t="s">
        <v>4696</v>
      </c>
      <c r="B1811" s="13">
        <v>46113.766087963</v>
      </c>
      <c r="C1811" s="4" t="s">
        <v>4697</v>
      </c>
      <c r="D1811" s="4" t="s">
        <v>1128</v>
      </c>
      <c r="E1811" s="4" t="s">
        <v>1090</v>
      </c>
      <c r="F1811" s="4" t="s">
        <v>833</v>
      </c>
      <c r="G1811" s="4"/>
      <c r="H1811" s="4"/>
      <c r="I1811" s="4" t="s">
        <v>1042</v>
      </c>
    </row>
    <row r="1812" ht="15.75" customHeight="1">
      <c r="A1812" s="4" t="s">
        <v>4698</v>
      </c>
      <c r="B1812" s="13">
        <v>46087.6039467593</v>
      </c>
      <c r="C1812" s="4" t="s">
        <v>4699</v>
      </c>
      <c r="D1812" s="4" t="s">
        <v>1063</v>
      </c>
      <c r="E1812" s="4" t="s">
        <v>1064</v>
      </c>
      <c r="F1812" s="4"/>
      <c r="G1812" s="4" t="s">
        <v>100</v>
      </c>
      <c r="H1812" s="4"/>
      <c r="I1812" s="4" t="s">
        <v>1039</v>
      </c>
    </row>
    <row r="1813" ht="15.75" customHeight="1">
      <c r="A1813" s="4" t="s">
        <v>4700</v>
      </c>
      <c r="B1813" s="13">
        <v>46062.9758217593</v>
      </c>
      <c r="C1813" s="4" t="s">
        <v>4701</v>
      </c>
      <c r="D1813" s="4" t="s">
        <v>1086</v>
      </c>
      <c r="E1813" s="4" t="s">
        <v>1064</v>
      </c>
      <c r="F1813" s="4"/>
      <c r="G1813" s="4"/>
      <c r="H1813" s="4"/>
      <c r="I1813" s="4" t="s">
        <v>1035</v>
      </c>
    </row>
    <row r="1814" ht="15.75" customHeight="1">
      <c r="A1814" s="4" t="s">
        <v>4702</v>
      </c>
      <c r="B1814" s="13">
        <v>46034.4988541667</v>
      </c>
      <c r="C1814" s="4" t="s">
        <v>4703</v>
      </c>
      <c r="D1814" s="4" t="s">
        <v>1104</v>
      </c>
      <c r="E1814" s="4" t="s">
        <v>1105</v>
      </c>
      <c r="F1814" s="4" t="s">
        <v>132</v>
      </c>
      <c r="G1814" s="4"/>
      <c r="H1814" s="4"/>
      <c r="I1814" s="4" t="s">
        <v>1046</v>
      </c>
    </row>
    <row r="1815" ht="15.75" customHeight="1">
      <c r="A1815" s="4" t="s">
        <v>4704</v>
      </c>
      <c r="B1815" s="13">
        <v>46113.5590509259</v>
      </c>
      <c r="C1815" s="4" t="s">
        <v>4705</v>
      </c>
      <c r="D1815" s="4" t="s">
        <v>1093</v>
      </c>
      <c r="E1815" s="4" t="s">
        <v>1064</v>
      </c>
      <c r="F1815" s="4"/>
      <c r="G1815" s="4"/>
      <c r="H1815" s="4"/>
      <c r="I1815" s="4" t="s">
        <v>1036</v>
      </c>
    </row>
    <row r="1816" ht="15.75" customHeight="1">
      <c r="A1816" s="4" t="s">
        <v>4706</v>
      </c>
      <c r="B1816" s="13">
        <v>46053.3451157407</v>
      </c>
      <c r="C1816" s="4" t="s">
        <v>4707</v>
      </c>
      <c r="D1816" s="4" t="s">
        <v>1089</v>
      </c>
      <c r="E1816" s="4" t="s">
        <v>1090</v>
      </c>
      <c r="F1816" s="4" t="s">
        <v>811</v>
      </c>
      <c r="G1816" s="4"/>
      <c r="H1816" s="4"/>
      <c r="I1816" s="4" t="s">
        <v>1046</v>
      </c>
    </row>
    <row r="1817" ht="15.75" customHeight="1">
      <c r="A1817" s="4" t="s">
        <v>4708</v>
      </c>
      <c r="B1817" s="13">
        <v>46130.8783680556</v>
      </c>
      <c r="C1817" s="4" t="s">
        <v>4709</v>
      </c>
      <c r="D1817" s="4" t="s">
        <v>1104</v>
      </c>
      <c r="E1817" s="4" t="s">
        <v>1105</v>
      </c>
      <c r="F1817" s="4" t="s">
        <v>280</v>
      </c>
      <c r="G1817" s="4"/>
      <c r="H1817" s="4"/>
      <c r="I1817" s="4" t="s">
        <v>1034</v>
      </c>
    </row>
    <row r="1818" ht="15.75" customHeight="1">
      <c r="A1818" s="4" t="s">
        <v>4710</v>
      </c>
      <c r="B1818" s="13">
        <v>46121.7380324074</v>
      </c>
      <c r="C1818" s="4" t="s">
        <v>4711</v>
      </c>
      <c r="D1818" s="4" t="s">
        <v>1086</v>
      </c>
      <c r="E1818" s="4" t="s">
        <v>1064</v>
      </c>
      <c r="F1818" s="4"/>
      <c r="G1818" s="4"/>
      <c r="H1818" s="4"/>
      <c r="I1818" s="4" t="s">
        <v>1034</v>
      </c>
    </row>
    <row r="1819" ht="15.75" customHeight="1">
      <c r="A1819" s="4" t="s">
        <v>4712</v>
      </c>
      <c r="B1819" s="13">
        <v>46124.8169675926</v>
      </c>
      <c r="C1819" s="4" t="s">
        <v>4713</v>
      </c>
      <c r="D1819" s="4" t="s">
        <v>1086</v>
      </c>
      <c r="E1819" s="4" t="s">
        <v>1064</v>
      </c>
      <c r="F1819" s="4"/>
      <c r="G1819" s="4"/>
      <c r="H1819" s="4"/>
      <c r="I1819" s="4" t="s">
        <v>1036</v>
      </c>
    </row>
    <row r="1820" ht="15.75" customHeight="1">
      <c r="A1820" s="4" t="s">
        <v>4714</v>
      </c>
      <c r="B1820" s="13">
        <v>46036.6183796296</v>
      </c>
      <c r="C1820" s="4" t="s">
        <v>4715</v>
      </c>
      <c r="D1820" s="4" t="s">
        <v>1104</v>
      </c>
      <c r="E1820" s="4" t="s">
        <v>1105</v>
      </c>
      <c r="F1820" s="4" t="s">
        <v>185</v>
      </c>
      <c r="G1820" s="4"/>
      <c r="H1820" s="4"/>
      <c r="I1820" s="4" t="s">
        <v>1046</v>
      </c>
    </row>
    <row r="1821" ht="15.75" customHeight="1">
      <c r="A1821" s="4" t="s">
        <v>4716</v>
      </c>
      <c r="B1821" s="13">
        <v>46041.9550462963</v>
      </c>
      <c r="C1821" s="4" t="s">
        <v>4717</v>
      </c>
      <c r="D1821" s="4" t="s">
        <v>1075</v>
      </c>
      <c r="E1821" s="4" t="s">
        <v>1064</v>
      </c>
      <c r="F1821" s="4"/>
      <c r="G1821" s="4"/>
      <c r="H1821" s="4"/>
      <c r="I1821" s="4" t="s">
        <v>1048</v>
      </c>
    </row>
    <row r="1822" ht="15.75" customHeight="1">
      <c r="A1822" s="4" t="s">
        <v>4718</v>
      </c>
      <c r="B1822" s="13">
        <v>46131.815</v>
      </c>
      <c r="C1822" s="4" t="s">
        <v>4719</v>
      </c>
      <c r="D1822" s="4" t="s">
        <v>1071</v>
      </c>
      <c r="E1822" s="4" t="s">
        <v>1119</v>
      </c>
      <c r="F1822" s="4"/>
      <c r="G1822" s="4"/>
      <c r="H1822" s="4"/>
      <c r="I1822" s="4" t="s">
        <v>427</v>
      </c>
    </row>
    <row r="1823" ht="15.75" customHeight="1">
      <c r="A1823" s="4" t="s">
        <v>4720</v>
      </c>
      <c r="B1823" s="13">
        <v>46037.5919444444</v>
      </c>
      <c r="C1823" s="4" t="s">
        <v>4721</v>
      </c>
      <c r="D1823" s="4" t="s">
        <v>1128</v>
      </c>
      <c r="E1823" s="4" t="s">
        <v>1105</v>
      </c>
      <c r="F1823" s="4" t="s">
        <v>234</v>
      </c>
      <c r="G1823" s="4"/>
      <c r="H1823" s="4"/>
      <c r="I1823" s="4" t="s">
        <v>1052</v>
      </c>
    </row>
    <row r="1824" ht="15.75" customHeight="1">
      <c r="A1824" s="4" t="s">
        <v>4722</v>
      </c>
      <c r="B1824" s="13">
        <v>46081.9054050926</v>
      </c>
      <c r="C1824" s="4" t="s">
        <v>4723</v>
      </c>
      <c r="D1824" s="4" t="s">
        <v>1078</v>
      </c>
      <c r="E1824" s="4" t="s">
        <v>1064</v>
      </c>
      <c r="F1824" s="4"/>
      <c r="G1824" s="4" t="s">
        <v>244</v>
      </c>
      <c r="H1824" s="10">
        <v>114.7</v>
      </c>
      <c r="I1824" s="4" t="s">
        <v>1039</v>
      </c>
    </row>
    <row r="1825" ht="15.75" customHeight="1">
      <c r="A1825" s="4" t="s">
        <v>4724</v>
      </c>
      <c r="B1825" s="13">
        <v>46023.9704166667</v>
      </c>
      <c r="C1825" s="4" t="s">
        <v>4725</v>
      </c>
      <c r="D1825" s="4" t="s">
        <v>1110</v>
      </c>
      <c r="E1825" s="4" t="s">
        <v>1064</v>
      </c>
      <c r="F1825" s="4"/>
      <c r="G1825" s="4" t="s">
        <v>137</v>
      </c>
      <c r="H1825" s="10">
        <v>150.39</v>
      </c>
      <c r="I1825" s="4" t="s">
        <v>587</v>
      </c>
    </row>
    <row r="1826" ht="15.75" customHeight="1">
      <c r="A1826" s="4" t="s">
        <v>4726</v>
      </c>
      <c r="B1826" s="13">
        <v>46039.9212962963</v>
      </c>
      <c r="C1826" s="4" t="s">
        <v>4727</v>
      </c>
      <c r="D1826" s="4" t="s">
        <v>1071</v>
      </c>
      <c r="E1826" s="4" t="s">
        <v>1119</v>
      </c>
      <c r="F1826" s="4"/>
      <c r="G1826" s="4"/>
      <c r="H1826" s="4"/>
      <c r="I1826" s="4" t="s">
        <v>1052</v>
      </c>
    </row>
    <row r="1827" ht="15.75" customHeight="1">
      <c r="A1827" s="4" t="s">
        <v>4728</v>
      </c>
      <c r="B1827" s="13">
        <v>46089.9913657407</v>
      </c>
      <c r="C1827" s="4" t="s">
        <v>4729</v>
      </c>
      <c r="D1827" s="4" t="s">
        <v>1110</v>
      </c>
      <c r="E1827" s="4" t="s">
        <v>1064</v>
      </c>
      <c r="F1827" s="4"/>
      <c r="G1827" s="4" t="s">
        <v>195</v>
      </c>
      <c r="H1827" s="10">
        <v>183.58</v>
      </c>
      <c r="I1827" s="4" t="s">
        <v>1048</v>
      </c>
    </row>
    <row r="1828" ht="15.75" customHeight="1">
      <c r="A1828" s="4" t="s">
        <v>4730</v>
      </c>
      <c r="B1828" s="13">
        <v>46088.8560300926</v>
      </c>
      <c r="C1828" s="4" t="s">
        <v>4731</v>
      </c>
      <c r="D1828" s="4" t="s">
        <v>1071</v>
      </c>
      <c r="E1828" s="4" t="s">
        <v>1072</v>
      </c>
      <c r="F1828" s="4"/>
      <c r="G1828" s="4"/>
      <c r="H1828" s="4"/>
      <c r="I1828" s="4" t="s">
        <v>1036</v>
      </c>
    </row>
    <row r="1829" ht="15.75" customHeight="1">
      <c r="A1829" s="4" t="s">
        <v>4732</v>
      </c>
      <c r="B1829" s="13">
        <v>46073.6276041667</v>
      </c>
      <c r="C1829" s="4" t="s">
        <v>4733</v>
      </c>
      <c r="D1829" s="4" t="s">
        <v>1093</v>
      </c>
      <c r="E1829" s="4" t="s">
        <v>1064</v>
      </c>
      <c r="F1829" s="4"/>
      <c r="G1829" s="4"/>
      <c r="H1829" s="4"/>
      <c r="I1829" s="4" t="s">
        <v>1052</v>
      </c>
    </row>
    <row r="1830" ht="15.75" customHeight="1">
      <c r="A1830" s="4" t="s">
        <v>4734</v>
      </c>
      <c r="B1830" s="13">
        <v>46098.7358449074</v>
      </c>
      <c r="C1830" s="4" t="s">
        <v>4735</v>
      </c>
      <c r="D1830" s="4" t="s">
        <v>1093</v>
      </c>
      <c r="E1830" s="4" t="s">
        <v>1064</v>
      </c>
      <c r="F1830" s="4"/>
      <c r="G1830" s="4"/>
      <c r="H1830" s="4"/>
      <c r="I1830" s="4" t="s">
        <v>1046</v>
      </c>
    </row>
    <row r="1831" ht="15.75" customHeight="1">
      <c r="A1831" s="4" t="s">
        <v>4736</v>
      </c>
      <c r="B1831" s="13">
        <v>46105.7054513889</v>
      </c>
      <c r="C1831" s="4" t="s">
        <v>4737</v>
      </c>
      <c r="D1831" s="4" t="s">
        <v>1081</v>
      </c>
      <c r="E1831" s="4" t="s">
        <v>1064</v>
      </c>
      <c r="F1831" s="4"/>
      <c r="G1831" s="4"/>
      <c r="H1831" s="4"/>
      <c r="I1831" s="4" t="s">
        <v>1031</v>
      </c>
    </row>
    <row r="1832" ht="15.75" customHeight="1">
      <c r="A1832" s="4" t="s">
        <v>4738</v>
      </c>
      <c r="B1832" s="13">
        <v>46129.5746180556</v>
      </c>
      <c r="C1832" s="4" t="s">
        <v>4739</v>
      </c>
      <c r="D1832" s="4" t="s">
        <v>1071</v>
      </c>
      <c r="E1832" s="4" t="s">
        <v>1119</v>
      </c>
      <c r="F1832" s="4"/>
      <c r="G1832" s="4"/>
      <c r="H1832" s="4"/>
      <c r="I1832" s="4" t="s">
        <v>1050</v>
      </c>
    </row>
    <row r="1833" ht="15.75" customHeight="1">
      <c r="A1833" s="4" t="s">
        <v>4740</v>
      </c>
      <c r="B1833" s="13">
        <v>46129.8167361111</v>
      </c>
      <c r="C1833" s="4" t="s">
        <v>4741</v>
      </c>
      <c r="D1833" s="4" t="s">
        <v>1093</v>
      </c>
      <c r="E1833" s="4" t="s">
        <v>1064</v>
      </c>
      <c r="F1833" s="4"/>
      <c r="G1833" s="4"/>
      <c r="H1833" s="4"/>
      <c r="I1833" s="4" t="s">
        <v>1052</v>
      </c>
    </row>
    <row r="1834" ht="15.75" customHeight="1">
      <c r="A1834" s="4" t="s">
        <v>4742</v>
      </c>
      <c r="B1834" s="13">
        <v>46097.6240625</v>
      </c>
      <c r="C1834" s="4" t="s">
        <v>4743</v>
      </c>
      <c r="D1834" s="4" t="s">
        <v>1063</v>
      </c>
      <c r="E1834" s="4" t="s">
        <v>1064</v>
      </c>
      <c r="F1834" s="4"/>
      <c r="G1834" s="4" t="s">
        <v>100</v>
      </c>
      <c r="H1834" s="4"/>
      <c r="I1834" s="4" t="s">
        <v>1046</v>
      </c>
    </row>
    <row r="1835" ht="15.75" customHeight="1">
      <c r="A1835" s="4" t="s">
        <v>4744</v>
      </c>
      <c r="B1835" s="13">
        <v>46113.8913425926</v>
      </c>
      <c r="C1835" s="4" t="s">
        <v>4745</v>
      </c>
      <c r="D1835" s="4" t="s">
        <v>1071</v>
      </c>
      <c r="E1835" s="4" t="s">
        <v>1072</v>
      </c>
      <c r="F1835" s="4"/>
      <c r="G1835" s="4"/>
      <c r="H1835" s="4"/>
      <c r="I1835" s="4" t="s">
        <v>1031</v>
      </c>
    </row>
    <row r="1836" ht="15.75" customHeight="1">
      <c r="A1836" s="4" t="s">
        <v>4746</v>
      </c>
      <c r="B1836" s="13">
        <v>46125.4336805556</v>
      </c>
      <c r="C1836" s="4" t="s">
        <v>4747</v>
      </c>
      <c r="D1836" s="4" t="s">
        <v>1081</v>
      </c>
      <c r="E1836" s="4" t="s">
        <v>1064</v>
      </c>
      <c r="F1836" s="4"/>
      <c r="G1836" s="4"/>
      <c r="H1836" s="4"/>
      <c r="I1836" s="4" t="s">
        <v>1028</v>
      </c>
    </row>
    <row r="1837" ht="15.75" customHeight="1">
      <c r="A1837" s="4" t="s">
        <v>4748</v>
      </c>
      <c r="B1837" s="13">
        <v>46085.5857407407</v>
      </c>
      <c r="C1837" s="4" t="s">
        <v>4749</v>
      </c>
      <c r="D1837" s="4" t="s">
        <v>1089</v>
      </c>
      <c r="E1837" s="4" t="s">
        <v>1090</v>
      </c>
      <c r="F1837" s="4" t="s">
        <v>817</v>
      </c>
      <c r="G1837" s="4"/>
      <c r="H1837" s="4"/>
      <c r="I1837" s="4" t="s">
        <v>1028</v>
      </c>
    </row>
    <row r="1838" ht="15.75" customHeight="1">
      <c r="A1838" s="4" t="s">
        <v>4750</v>
      </c>
      <c r="B1838" s="13">
        <v>46063.3622685185</v>
      </c>
      <c r="C1838" s="4" t="s">
        <v>4751</v>
      </c>
      <c r="D1838" s="4" t="s">
        <v>1110</v>
      </c>
      <c r="E1838" s="4" t="s">
        <v>1064</v>
      </c>
      <c r="F1838" s="4"/>
      <c r="G1838" s="4" t="s">
        <v>77</v>
      </c>
      <c r="H1838" s="10">
        <v>151.78</v>
      </c>
      <c r="I1838" s="4" t="s">
        <v>427</v>
      </c>
    </row>
    <row r="1839" ht="15.75" customHeight="1">
      <c r="A1839" s="4" t="s">
        <v>4752</v>
      </c>
      <c r="B1839" s="13">
        <v>46048.7625</v>
      </c>
      <c r="C1839" s="4" t="s">
        <v>4753</v>
      </c>
      <c r="D1839" s="4" t="s">
        <v>1110</v>
      </c>
      <c r="E1839" s="4" t="s">
        <v>1064</v>
      </c>
      <c r="F1839" s="4"/>
      <c r="G1839" s="4" t="s">
        <v>93</v>
      </c>
      <c r="H1839" s="10">
        <v>55.54</v>
      </c>
      <c r="I1839" s="4" t="s">
        <v>1048</v>
      </c>
    </row>
    <row r="1840" ht="15.75" customHeight="1">
      <c r="A1840" s="4" t="s">
        <v>4754</v>
      </c>
      <c r="B1840" s="13">
        <v>46110.4070717593</v>
      </c>
      <c r="C1840" s="4" t="s">
        <v>4755</v>
      </c>
      <c r="D1840" s="4" t="s">
        <v>1063</v>
      </c>
      <c r="E1840" s="4" t="s">
        <v>1064</v>
      </c>
      <c r="F1840" s="4"/>
      <c r="G1840" s="4" t="s">
        <v>77</v>
      </c>
      <c r="H1840" s="4"/>
      <c r="I1840" s="4" t="s">
        <v>1034</v>
      </c>
    </row>
    <row r="1841" ht="15.75" customHeight="1">
      <c r="A1841" s="4" t="s">
        <v>4756</v>
      </c>
      <c r="B1841" s="13">
        <v>46043.9273148148</v>
      </c>
      <c r="C1841" s="4" t="s">
        <v>4757</v>
      </c>
      <c r="D1841" s="4" t="s">
        <v>1110</v>
      </c>
      <c r="E1841" s="4" t="s">
        <v>1064</v>
      </c>
      <c r="F1841" s="4"/>
      <c r="G1841" s="4" t="s">
        <v>232</v>
      </c>
      <c r="H1841" s="10">
        <v>83.65</v>
      </c>
      <c r="I1841" s="4" t="s">
        <v>1039</v>
      </c>
    </row>
    <row r="1842" ht="15.75" customHeight="1">
      <c r="A1842" s="4" t="s">
        <v>4758</v>
      </c>
      <c r="B1842" s="13">
        <v>46047.5057291667</v>
      </c>
      <c r="C1842" s="4" t="s">
        <v>4759</v>
      </c>
      <c r="D1842" s="4" t="s">
        <v>1089</v>
      </c>
      <c r="E1842" s="4" t="s">
        <v>1105</v>
      </c>
      <c r="F1842" s="4" t="s">
        <v>261</v>
      </c>
      <c r="G1842" s="4"/>
      <c r="H1842" s="4"/>
      <c r="I1842" s="4" t="s">
        <v>1034</v>
      </c>
    </row>
    <row r="1843" ht="15.75" customHeight="1">
      <c r="A1843" s="4" t="s">
        <v>4760</v>
      </c>
      <c r="B1843" s="13">
        <v>46097.6565046296</v>
      </c>
      <c r="C1843" s="4" t="s">
        <v>4761</v>
      </c>
      <c r="D1843" s="4" t="s">
        <v>1089</v>
      </c>
      <c r="E1843" s="4" t="s">
        <v>1090</v>
      </c>
      <c r="F1843" s="4" t="s">
        <v>775</v>
      </c>
      <c r="G1843" s="4"/>
      <c r="H1843" s="4"/>
      <c r="I1843" s="4" t="s">
        <v>427</v>
      </c>
    </row>
    <row r="1844" ht="15.75" customHeight="1">
      <c r="A1844" s="4" t="s">
        <v>4762</v>
      </c>
      <c r="B1844" s="13">
        <v>46028.8802083333</v>
      </c>
      <c r="C1844" s="4" t="s">
        <v>4763</v>
      </c>
      <c r="D1844" s="4" t="s">
        <v>1089</v>
      </c>
      <c r="E1844" s="4" t="s">
        <v>1105</v>
      </c>
      <c r="F1844" s="4" t="s">
        <v>197</v>
      </c>
      <c r="G1844" s="4"/>
      <c r="H1844" s="4"/>
      <c r="I1844" s="4" t="s">
        <v>1036</v>
      </c>
    </row>
    <row r="1845" ht="15.75" customHeight="1">
      <c r="A1845" s="4" t="s">
        <v>4764</v>
      </c>
      <c r="B1845" s="13">
        <v>46125.9940393519</v>
      </c>
      <c r="C1845" s="4" t="s">
        <v>4765</v>
      </c>
      <c r="D1845" s="4" t="s">
        <v>1078</v>
      </c>
      <c r="E1845" s="4" t="s">
        <v>1064</v>
      </c>
      <c r="F1845" s="4"/>
      <c r="G1845" s="4" t="s">
        <v>126</v>
      </c>
      <c r="H1845" s="10">
        <v>168.49</v>
      </c>
      <c r="I1845" s="4" t="s">
        <v>1036</v>
      </c>
    </row>
    <row r="1846" ht="15.75" customHeight="1">
      <c r="A1846" s="4" t="s">
        <v>4766</v>
      </c>
      <c r="B1846" s="13">
        <v>46104.5213310185</v>
      </c>
      <c r="C1846" s="4" t="s">
        <v>4767</v>
      </c>
      <c r="D1846" s="4" t="s">
        <v>1104</v>
      </c>
      <c r="E1846" s="4" t="s">
        <v>1090</v>
      </c>
      <c r="F1846" s="4" t="s">
        <v>780</v>
      </c>
      <c r="G1846" s="4"/>
      <c r="H1846" s="4"/>
      <c r="I1846" s="4" t="s">
        <v>427</v>
      </c>
    </row>
    <row r="1847" ht="15.75" customHeight="1">
      <c r="A1847" s="4" t="s">
        <v>4768</v>
      </c>
      <c r="B1847" s="13">
        <v>46042.6539930556</v>
      </c>
      <c r="C1847" s="4" t="s">
        <v>4769</v>
      </c>
      <c r="D1847" s="4" t="s">
        <v>1128</v>
      </c>
      <c r="E1847" s="4" t="s">
        <v>1105</v>
      </c>
      <c r="F1847" s="4" t="s">
        <v>280</v>
      </c>
      <c r="G1847" s="4"/>
      <c r="H1847" s="4"/>
      <c r="I1847" s="4" t="s">
        <v>1034</v>
      </c>
    </row>
    <row r="1848" ht="15.75" customHeight="1">
      <c r="A1848" s="4" t="s">
        <v>4770</v>
      </c>
      <c r="B1848" s="13">
        <v>46108.3744907407</v>
      </c>
      <c r="C1848" s="4" t="s">
        <v>4771</v>
      </c>
      <c r="D1848" s="4" t="s">
        <v>1110</v>
      </c>
      <c r="E1848" s="4" t="s">
        <v>1064</v>
      </c>
      <c r="F1848" s="4"/>
      <c r="G1848" s="4" t="s">
        <v>93</v>
      </c>
      <c r="H1848" s="10">
        <v>38.82</v>
      </c>
      <c r="I1848" s="4" t="s">
        <v>1031</v>
      </c>
    </row>
    <row r="1849" ht="15.75" customHeight="1">
      <c r="A1849" s="4" t="s">
        <v>4772</v>
      </c>
      <c r="B1849" s="13">
        <v>46113.76875</v>
      </c>
      <c r="C1849" s="4" t="s">
        <v>4773</v>
      </c>
      <c r="D1849" s="4" t="s">
        <v>1110</v>
      </c>
      <c r="E1849" s="4" t="s">
        <v>1064</v>
      </c>
      <c r="F1849" s="4"/>
      <c r="G1849" s="4" t="s">
        <v>84</v>
      </c>
      <c r="H1849" s="10">
        <v>223.66</v>
      </c>
      <c r="I1849" s="4" t="s">
        <v>1052</v>
      </c>
    </row>
    <row r="1850" ht="15.75" customHeight="1">
      <c r="A1850" s="4" t="s">
        <v>4774</v>
      </c>
      <c r="B1850" s="13">
        <v>46105.5218287037</v>
      </c>
      <c r="C1850" s="4" t="s">
        <v>4775</v>
      </c>
      <c r="D1850" s="4" t="s">
        <v>1110</v>
      </c>
      <c r="E1850" s="4" t="s">
        <v>1064</v>
      </c>
      <c r="F1850" s="4"/>
      <c r="G1850" s="4" t="s">
        <v>107</v>
      </c>
      <c r="H1850" s="10">
        <v>171.82</v>
      </c>
      <c r="I1850" s="4" t="s">
        <v>1031</v>
      </c>
    </row>
    <row r="1851" ht="15.75" customHeight="1">
      <c r="A1851" s="4" t="s">
        <v>4776</v>
      </c>
      <c r="B1851" s="13">
        <v>46026.5727662037</v>
      </c>
      <c r="C1851" s="4" t="s">
        <v>4777</v>
      </c>
      <c r="D1851" s="4" t="s">
        <v>1089</v>
      </c>
      <c r="E1851" s="4" t="s">
        <v>1090</v>
      </c>
      <c r="F1851" s="4" t="s">
        <v>827</v>
      </c>
      <c r="G1851" s="4"/>
      <c r="H1851" s="4"/>
      <c r="I1851" s="4" t="s">
        <v>587</v>
      </c>
    </row>
    <row r="1852" ht="15.75" customHeight="1">
      <c r="A1852" s="4" t="s">
        <v>4778</v>
      </c>
      <c r="B1852" s="13">
        <v>46077.3414699074</v>
      </c>
      <c r="C1852" s="4" t="s">
        <v>4779</v>
      </c>
      <c r="D1852" s="4" t="s">
        <v>1128</v>
      </c>
      <c r="E1852" s="4" t="s">
        <v>1105</v>
      </c>
      <c r="F1852" s="4" t="s">
        <v>185</v>
      </c>
      <c r="G1852" s="4"/>
      <c r="H1852" s="4"/>
      <c r="I1852" s="4" t="s">
        <v>1028</v>
      </c>
    </row>
    <row r="1853" ht="15.75" customHeight="1">
      <c r="A1853" s="4" t="s">
        <v>4780</v>
      </c>
      <c r="B1853" s="13">
        <v>46074.4790393519</v>
      </c>
      <c r="C1853" s="4" t="s">
        <v>4781</v>
      </c>
      <c r="D1853" s="4" t="s">
        <v>1089</v>
      </c>
      <c r="E1853" s="4" t="s">
        <v>1105</v>
      </c>
      <c r="F1853" s="4" t="s">
        <v>289</v>
      </c>
      <c r="G1853" s="4"/>
      <c r="H1853" s="4"/>
      <c r="I1853" s="4" t="s">
        <v>1030</v>
      </c>
    </row>
    <row r="1854" ht="15.75" customHeight="1">
      <c r="A1854" s="4" t="s">
        <v>4782</v>
      </c>
      <c r="B1854" s="13">
        <v>46109.4659953704</v>
      </c>
      <c r="C1854" s="4" t="s">
        <v>4783</v>
      </c>
      <c r="D1854" s="4" t="s">
        <v>1063</v>
      </c>
      <c r="E1854" s="4" t="s">
        <v>1064</v>
      </c>
      <c r="F1854" s="4"/>
      <c r="G1854" s="4" t="s">
        <v>84</v>
      </c>
      <c r="H1854" s="4"/>
      <c r="I1854" s="4" t="s">
        <v>1036</v>
      </c>
    </row>
    <row r="1855" ht="15.75" customHeight="1">
      <c r="A1855" s="4" t="s">
        <v>4784</v>
      </c>
      <c r="B1855" s="13">
        <v>46081.9017361111</v>
      </c>
      <c r="C1855" s="4" t="s">
        <v>4785</v>
      </c>
      <c r="D1855" s="4" t="s">
        <v>1089</v>
      </c>
      <c r="E1855" s="4" t="s">
        <v>1105</v>
      </c>
      <c r="F1855" s="4" t="s">
        <v>269</v>
      </c>
      <c r="G1855" s="4"/>
      <c r="H1855" s="4"/>
      <c r="I1855" s="4" t="s">
        <v>1052</v>
      </c>
    </row>
    <row r="1856" ht="15.75" customHeight="1">
      <c r="A1856" s="4" t="s">
        <v>4786</v>
      </c>
      <c r="B1856" s="13">
        <v>46053.6512384259</v>
      </c>
      <c r="C1856" s="4" t="s">
        <v>4787</v>
      </c>
      <c r="D1856" s="4" t="s">
        <v>1081</v>
      </c>
      <c r="E1856" s="4" t="s">
        <v>1064</v>
      </c>
      <c r="F1856" s="4"/>
      <c r="G1856" s="4"/>
      <c r="H1856" s="4"/>
      <c r="I1856" s="4" t="s">
        <v>1035</v>
      </c>
    </row>
    <row r="1857" ht="15.75" customHeight="1">
      <c r="A1857" s="4" t="s">
        <v>4788</v>
      </c>
      <c r="B1857" s="13">
        <v>46101.5048611111</v>
      </c>
      <c r="C1857" s="4" t="s">
        <v>4789</v>
      </c>
      <c r="D1857" s="4" t="s">
        <v>1081</v>
      </c>
      <c r="E1857" s="4" t="s">
        <v>1064</v>
      </c>
      <c r="F1857" s="4"/>
      <c r="G1857" s="4"/>
      <c r="H1857" s="4"/>
      <c r="I1857" s="4" t="s">
        <v>427</v>
      </c>
    </row>
    <row r="1858" ht="15.75" customHeight="1">
      <c r="A1858" s="4" t="s">
        <v>4790</v>
      </c>
      <c r="B1858" s="13">
        <v>46076.4132291667</v>
      </c>
      <c r="C1858" s="4" t="s">
        <v>4791</v>
      </c>
      <c r="D1858" s="4" t="s">
        <v>1128</v>
      </c>
      <c r="E1858" s="4" t="s">
        <v>1105</v>
      </c>
      <c r="F1858" s="4" t="s">
        <v>221</v>
      </c>
      <c r="G1858" s="4"/>
      <c r="H1858" s="4"/>
      <c r="I1858" s="4" t="s">
        <v>1046</v>
      </c>
    </row>
    <row r="1859" ht="15.75" customHeight="1">
      <c r="A1859" s="4" t="s">
        <v>4792</v>
      </c>
      <c r="B1859" s="13">
        <v>46058.5623726852</v>
      </c>
      <c r="C1859" s="4" t="s">
        <v>4793</v>
      </c>
      <c r="D1859" s="4" t="s">
        <v>1086</v>
      </c>
      <c r="E1859" s="4" t="s">
        <v>1064</v>
      </c>
      <c r="F1859" s="4"/>
      <c r="G1859" s="4"/>
      <c r="H1859" s="4"/>
      <c r="I1859" s="4" t="s">
        <v>1034</v>
      </c>
    </row>
    <row r="1860" ht="15.75" customHeight="1">
      <c r="A1860" s="4" t="s">
        <v>4794</v>
      </c>
      <c r="B1860" s="13">
        <v>46117.9515046296</v>
      </c>
      <c r="C1860" s="4" t="s">
        <v>4795</v>
      </c>
      <c r="D1860" s="4" t="s">
        <v>1093</v>
      </c>
      <c r="E1860" s="4" t="s">
        <v>1064</v>
      </c>
      <c r="F1860" s="4"/>
      <c r="G1860" s="4"/>
      <c r="H1860" s="4"/>
      <c r="I1860" s="4" t="s">
        <v>427</v>
      </c>
    </row>
    <row r="1861" ht="15.75" customHeight="1">
      <c r="A1861" s="4" t="s">
        <v>4796</v>
      </c>
      <c r="B1861" s="13">
        <v>46111.3369212963</v>
      </c>
      <c r="C1861" s="4" t="s">
        <v>4797</v>
      </c>
      <c r="D1861" s="4" t="s">
        <v>1128</v>
      </c>
      <c r="E1861" s="4" t="s">
        <v>1105</v>
      </c>
      <c r="F1861" s="4" t="s">
        <v>285</v>
      </c>
      <c r="G1861" s="4"/>
      <c r="H1861" s="4"/>
      <c r="I1861" s="4" t="s">
        <v>1031</v>
      </c>
    </row>
    <row r="1862" ht="15.75" customHeight="1">
      <c r="A1862" s="4" t="s">
        <v>4798</v>
      </c>
      <c r="B1862" s="13">
        <v>46087.756099537</v>
      </c>
      <c r="C1862" s="4" t="s">
        <v>4799</v>
      </c>
      <c r="D1862" s="4" t="s">
        <v>1063</v>
      </c>
      <c r="E1862" s="4" t="s">
        <v>1064</v>
      </c>
      <c r="F1862" s="4"/>
      <c r="G1862" s="4" t="s">
        <v>61</v>
      </c>
      <c r="H1862" s="4"/>
      <c r="I1862" s="4" t="s">
        <v>587</v>
      </c>
    </row>
    <row r="1863" ht="15.75" customHeight="1">
      <c r="A1863" s="4" t="s">
        <v>4800</v>
      </c>
      <c r="B1863" s="13">
        <v>46128.3621180556</v>
      </c>
      <c r="C1863" s="4" t="s">
        <v>4801</v>
      </c>
      <c r="D1863" s="4" t="s">
        <v>1086</v>
      </c>
      <c r="E1863" s="4" t="s">
        <v>1064</v>
      </c>
      <c r="F1863" s="4"/>
      <c r="G1863" s="4"/>
      <c r="H1863" s="4"/>
      <c r="I1863" s="4" t="s">
        <v>1050</v>
      </c>
    </row>
    <row r="1864" ht="15.75" customHeight="1">
      <c r="A1864" s="4" t="s">
        <v>4802</v>
      </c>
      <c r="B1864" s="13">
        <v>46045.8119560185</v>
      </c>
      <c r="C1864" s="4" t="s">
        <v>4803</v>
      </c>
      <c r="D1864" s="4" t="s">
        <v>1063</v>
      </c>
      <c r="E1864" s="4" t="s">
        <v>1064</v>
      </c>
      <c r="F1864" s="4"/>
      <c r="G1864" s="4" t="s">
        <v>137</v>
      </c>
      <c r="H1864" s="4"/>
      <c r="I1864" s="4" t="s">
        <v>1046</v>
      </c>
    </row>
    <row r="1865" ht="15.75" customHeight="1">
      <c r="A1865" s="4" t="s">
        <v>4804</v>
      </c>
      <c r="B1865" s="13">
        <v>46091.6669907407</v>
      </c>
      <c r="C1865" s="4" t="s">
        <v>4805</v>
      </c>
      <c r="D1865" s="4" t="s">
        <v>1163</v>
      </c>
      <c r="E1865" s="4" t="s">
        <v>1072</v>
      </c>
      <c r="F1865" s="4"/>
      <c r="G1865" s="4"/>
      <c r="H1865" s="4"/>
      <c r="I1865" s="4" t="s">
        <v>1046</v>
      </c>
    </row>
    <row r="1866" ht="15.75" customHeight="1">
      <c r="A1866" s="4" t="s">
        <v>4806</v>
      </c>
      <c r="B1866" s="13">
        <v>46078.4235763889</v>
      </c>
      <c r="C1866" s="4" t="s">
        <v>4807</v>
      </c>
      <c r="D1866" s="4" t="s">
        <v>1089</v>
      </c>
      <c r="E1866" s="4" t="s">
        <v>1090</v>
      </c>
      <c r="F1866" s="4" t="s">
        <v>782</v>
      </c>
      <c r="G1866" s="4"/>
      <c r="H1866" s="4"/>
      <c r="I1866" s="4" t="s">
        <v>1048</v>
      </c>
    </row>
    <row r="1867" ht="15.75" customHeight="1">
      <c r="A1867" s="4" t="s">
        <v>4808</v>
      </c>
      <c r="B1867" s="13">
        <v>46042.8562847222</v>
      </c>
      <c r="C1867" s="4" t="s">
        <v>4809</v>
      </c>
      <c r="D1867" s="4" t="s">
        <v>1078</v>
      </c>
      <c r="E1867" s="4" t="s">
        <v>1064</v>
      </c>
      <c r="F1867" s="4"/>
      <c r="G1867" s="4" t="s">
        <v>227</v>
      </c>
      <c r="H1867" s="10">
        <v>133.78</v>
      </c>
      <c r="I1867" s="4" t="s">
        <v>1035</v>
      </c>
    </row>
    <row r="1868" ht="15.75" customHeight="1">
      <c r="A1868" s="4" t="s">
        <v>4810</v>
      </c>
      <c r="B1868" s="13">
        <v>46055.4777893519</v>
      </c>
      <c r="C1868" s="4" t="s">
        <v>4811</v>
      </c>
      <c r="D1868" s="4" t="s">
        <v>1075</v>
      </c>
      <c r="E1868" s="4" t="s">
        <v>1064</v>
      </c>
      <c r="F1868" s="4"/>
      <c r="G1868" s="4"/>
      <c r="H1868" s="4"/>
      <c r="I1868" s="4" t="s">
        <v>1028</v>
      </c>
    </row>
    <row r="1869" ht="15.75" customHeight="1">
      <c r="A1869" s="4" t="s">
        <v>4812</v>
      </c>
      <c r="B1869" s="13">
        <v>46077.3898611111</v>
      </c>
      <c r="C1869" s="4" t="s">
        <v>4813</v>
      </c>
      <c r="D1869" s="4" t="s">
        <v>1163</v>
      </c>
      <c r="E1869" s="4" t="s">
        <v>1072</v>
      </c>
      <c r="F1869" s="4"/>
      <c r="G1869" s="4"/>
      <c r="H1869" s="4"/>
      <c r="I1869" s="4" t="s">
        <v>1039</v>
      </c>
    </row>
    <row r="1870" ht="15.75" customHeight="1">
      <c r="A1870" s="4" t="s">
        <v>4814</v>
      </c>
      <c r="B1870" s="13">
        <v>46074.846875</v>
      </c>
      <c r="C1870" s="4" t="s">
        <v>4815</v>
      </c>
      <c r="D1870" s="4" t="s">
        <v>1081</v>
      </c>
      <c r="E1870" s="4" t="s">
        <v>1064</v>
      </c>
      <c r="F1870" s="4"/>
      <c r="G1870" s="4"/>
      <c r="H1870" s="4"/>
      <c r="I1870" s="4" t="s">
        <v>1046</v>
      </c>
    </row>
    <row r="1871" ht="15.75" customHeight="1">
      <c r="A1871" s="4" t="s">
        <v>4816</v>
      </c>
      <c r="B1871" s="13">
        <v>46090.6229976852</v>
      </c>
      <c r="C1871" s="4" t="s">
        <v>4817</v>
      </c>
      <c r="D1871" s="4" t="s">
        <v>1071</v>
      </c>
      <c r="E1871" s="4" t="s">
        <v>1072</v>
      </c>
      <c r="F1871" s="4"/>
      <c r="G1871" s="4"/>
      <c r="H1871" s="4"/>
      <c r="I1871" s="4" t="s">
        <v>1034</v>
      </c>
    </row>
    <row r="1872" ht="15.75" customHeight="1">
      <c r="A1872" s="4" t="s">
        <v>4818</v>
      </c>
      <c r="B1872" s="13">
        <v>46110.6707523148</v>
      </c>
      <c r="C1872" s="4" t="s">
        <v>4819</v>
      </c>
      <c r="D1872" s="4" t="s">
        <v>1081</v>
      </c>
      <c r="E1872" s="4" t="s">
        <v>1064</v>
      </c>
      <c r="F1872" s="4"/>
      <c r="G1872" s="4"/>
      <c r="H1872" s="4"/>
      <c r="I1872" s="4" t="s">
        <v>1030</v>
      </c>
    </row>
    <row r="1873" ht="15.75" customHeight="1">
      <c r="A1873" s="4" t="s">
        <v>4820</v>
      </c>
      <c r="B1873" s="13">
        <v>46094.6909837963</v>
      </c>
      <c r="C1873" s="4" t="s">
        <v>4821</v>
      </c>
      <c r="D1873" s="4" t="s">
        <v>1071</v>
      </c>
      <c r="E1873" s="4" t="s">
        <v>1072</v>
      </c>
      <c r="F1873" s="4"/>
      <c r="G1873" s="4"/>
      <c r="H1873" s="4"/>
      <c r="I1873" s="4" t="s">
        <v>1039</v>
      </c>
    </row>
    <row r="1874" ht="15.75" customHeight="1">
      <c r="A1874" s="4" t="s">
        <v>4822</v>
      </c>
      <c r="B1874" s="13">
        <v>46122.8554976852</v>
      </c>
      <c r="C1874" s="4" t="s">
        <v>4823</v>
      </c>
      <c r="D1874" s="4" t="s">
        <v>1163</v>
      </c>
      <c r="E1874" s="4" t="s">
        <v>1072</v>
      </c>
      <c r="F1874" s="4"/>
      <c r="G1874" s="4"/>
      <c r="H1874" s="4"/>
      <c r="I1874" s="4" t="s">
        <v>1030</v>
      </c>
    </row>
    <row r="1875" ht="15.75" customHeight="1">
      <c r="A1875" s="4" t="s">
        <v>4824</v>
      </c>
      <c r="B1875" s="13">
        <v>46030.9946527778</v>
      </c>
      <c r="C1875" s="4" t="s">
        <v>4825</v>
      </c>
      <c r="D1875" s="4" t="s">
        <v>1086</v>
      </c>
      <c r="E1875" s="4" t="s">
        <v>1064</v>
      </c>
      <c r="F1875" s="4"/>
      <c r="G1875" s="4"/>
      <c r="H1875" s="4"/>
      <c r="I1875" s="4" t="s">
        <v>1048</v>
      </c>
    </row>
    <row r="1876" ht="15.75" customHeight="1">
      <c r="A1876" s="4" t="s">
        <v>4826</v>
      </c>
      <c r="B1876" s="13">
        <v>46070.9433333333</v>
      </c>
      <c r="C1876" s="4" t="s">
        <v>4827</v>
      </c>
      <c r="D1876" s="4" t="s">
        <v>1071</v>
      </c>
      <c r="E1876" s="4" t="s">
        <v>1072</v>
      </c>
      <c r="F1876" s="4"/>
      <c r="G1876" s="4"/>
      <c r="H1876" s="4"/>
      <c r="I1876" s="4" t="s">
        <v>1042</v>
      </c>
    </row>
    <row r="1877" ht="15.75" customHeight="1">
      <c r="A1877" s="4" t="s">
        <v>4828</v>
      </c>
      <c r="B1877" s="13">
        <v>46031.4187384259</v>
      </c>
      <c r="C1877" s="4" t="s">
        <v>4829</v>
      </c>
      <c r="D1877" s="4" t="s">
        <v>1063</v>
      </c>
      <c r="E1877" s="4" t="s">
        <v>1064</v>
      </c>
      <c r="F1877" s="4"/>
      <c r="G1877" s="4" t="s">
        <v>100</v>
      </c>
      <c r="H1877" s="4"/>
      <c r="I1877" s="4" t="s">
        <v>587</v>
      </c>
    </row>
    <row r="1878" ht="15.75" customHeight="1">
      <c r="A1878" s="4" t="s">
        <v>4830</v>
      </c>
      <c r="B1878" s="13">
        <v>46086.7928935185</v>
      </c>
      <c r="C1878" s="4" t="s">
        <v>4831</v>
      </c>
      <c r="D1878" s="4" t="s">
        <v>1104</v>
      </c>
      <c r="E1878" s="4" t="s">
        <v>1105</v>
      </c>
      <c r="F1878" s="4" t="s">
        <v>171</v>
      </c>
      <c r="G1878" s="4"/>
      <c r="H1878" s="4"/>
      <c r="I1878" s="4" t="s">
        <v>1036</v>
      </c>
    </row>
    <row r="1879" ht="15.75" customHeight="1">
      <c r="A1879" s="4" t="s">
        <v>4832</v>
      </c>
      <c r="B1879" s="13">
        <v>46043.6567476852</v>
      </c>
      <c r="C1879" s="4" t="s">
        <v>4833</v>
      </c>
      <c r="D1879" s="4" t="s">
        <v>1093</v>
      </c>
      <c r="E1879" s="4" t="s">
        <v>1064</v>
      </c>
      <c r="F1879" s="4"/>
      <c r="G1879" s="4"/>
      <c r="H1879" s="4"/>
      <c r="I1879" s="4" t="s">
        <v>1028</v>
      </c>
    </row>
    <row r="1880" ht="15.75" customHeight="1">
      <c r="A1880" s="4" t="s">
        <v>4834</v>
      </c>
      <c r="B1880" s="13">
        <v>46102.9749652778</v>
      </c>
      <c r="C1880" s="4" t="s">
        <v>4835</v>
      </c>
      <c r="D1880" s="4" t="s">
        <v>1128</v>
      </c>
      <c r="E1880" s="4" t="s">
        <v>1105</v>
      </c>
      <c r="F1880" s="4" t="s">
        <v>280</v>
      </c>
      <c r="G1880" s="4"/>
      <c r="H1880" s="4"/>
      <c r="I1880" s="4" t="s">
        <v>1028</v>
      </c>
    </row>
    <row r="1881" ht="15.75" customHeight="1">
      <c r="A1881" s="4" t="s">
        <v>4836</v>
      </c>
      <c r="B1881" s="13">
        <v>46065.6636342593</v>
      </c>
      <c r="C1881" s="4" t="s">
        <v>4837</v>
      </c>
      <c r="D1881" s="4" t="s">
        <v>1081</v>
      </c>
      <c r="E1881" s="4" t="s">
        <v>1064</v>
      </c>
      <c r="F1881" s="4"/>
      <c r="G1881" s="4"/>
      <c r="H1881" s="4"/>
      <c r="I1881" s="4" t="s">
        <v>1039</v>
      </c>
    </row>
    <row r="1882" ht="15.75" customHeight="1">
      <c r="A1882" s="4" t="s">
        <v>4838</v>
      </c>
      <c r="B1882" s="13">
        <v>46055.5570486111</v>
      </c>
      <c r="C1882" s="4" t="s">
        <v>4839</v>
      </c>
      <c r="D1882" s="4" t="s">
        <v>1078</v>
      </c>
      <c r="E1882" s="4" t="s">
        <v>1064</v>
      </c>
      <c r="F1882" s="4"/>
      <c r="G1882" s="4" t="s">
        <v>150</v>
      </c>
      <c r="H1882" s="10">
        <v>30.87</v>
      </c>
      <c r="I1882" s="4" t="s">
        <v>1030</v>
      </c>
    </row>
    <row r="1883" ht="15.75" customHeight="1">
      <c r="A1883" s="4" t="s">
        <v>4840</v>
      </c>
      <c r="B1883" s="13">
        <v>46059.4741782407</v>
      </c>
      <c r="C1883" s="4" t="s">
        <v>4841</v>
      </c>
      <c r="D1883" s="4" t="s">
        <v>1075</v>
      </c>
      <c r="E1883" s="4" t="s">
        <v>1064</v>
      </c>
      <c r="F1883" s="4"/>
      <c r="G1883" s="4"/>
      <c r="H1883" s="4"/>
      <c r="I1883" s="4" t="s">
        <v>1035</v>
      </c>
    </row>
    <row r="1884" ht="15.75" customHeight="1">
      <c r="A1884" s="4" t="s">
        <v>4842</v>
      </c>
      <c r="B1884" s="13">
        <v>46131.7957986111</v>
      </c>
      <c r="C1884" s="4" t="s">
        <v>4843</v>
      </c>
      <c r="D1884" s="4" t="s">
        <v>1081</v>
      </c>
      <c r="E1884" s="4" t="s">
        <v>1064</v>
      </c>
      <c r="F1884" s="4"/>
      <c r="G1884" s="4"/>
      <c r="H1884" s="4"/>
      <c r="I1884" s="4" t="s">
        <v>1052</v>
      </c>
    </row>
    <row r="1885" ht="15.75" customHeight="1">
      <c r="A1885" s="4" t="s">
        <v>4844</v>
      </c>
      <c r="B1885" s="13">
        <v>46124.9102777778</v>
      </c>
      <c r="C1885" s="4" t="s">
        <v>4845</v>
      </c>
      <c r="D1885" s="4" t="s">
        <v>1093</v>
      </c>
      <c r="E1885" s="4" t="s">
        <v>1064</v>
      </c>
      <c r="F1885" s="4"/>
      <c r="G1885" s="4"/>
      <c r="H1885" s="4"/>
      <c r="I1885" s="4" t="s">
        <v>1046</v>
      </c>
    </row>
    <row r="1886" ht="15.75" customHeight="1">
      <c r="A1886" s="4" t="s">
        <v>4846</v>
      </c>
      <c r="B1886" s="13">
        <v>46091.4914699074</v>
      </c>
      <c r="C1886" s="4" t="s">
        <v>4847</v>
      </c>
      <c r="D1886" s="4" t="s">
        <v>1075</v>
      </c>
      <c r="E1886" s="4" t="s">
        <v>1064</v>
      </c>
      <c r="F1886" s="4"/>
      <c r="G1886" s="4"/>
      <c r="H1886" s="4"/>
      <c r="I1886" s="4" t="s">
        <v>1034</v>
      </c>
    </row>
    <row r="1887" ht="15.75" customHeight="1">
      <c r="A1887" s="4" t="s">
        <v>4848</v>
      </c>
      <c r="B1887" s="13">
        <v>46121.452662037</v>
      </c>
      <c r="C1887" s="4" t="s">
        <v>4849</v>
      </c>
      <c r="D1887" s="4" t="s">
        <v>1093</v>
      </c>
      <c r="E1887" s="4" t="s">
        <v>1064</v>
      </c>
      <c r="F1887" s="4"/>
      <c r="G1887" s="4"/>
      <c r="H1887" s="4"/>
      <c r="I1887" s="4" t="s">
        <v>1035</v>
      </c>
    </row>
    <row r="1888" ht="15.75" customHeight="1">
      <c r="A1888" s="4" t="s">
        <v>4850</v>
      </c>
      <c r="B1888" s="13">
        <v>46089.7359490741</v>
      </c>
      <c r="C1888" s="4" t="s">
        <v>4851</v>
      </c>
      <c r="D1888" s="4" t="s">
        <v>1063</v>
      </c>
      <c r="E1888" s="4" t="s">
        <v>1064</v>
      </c>
      <c r="F1888" s="4"/>
      <c r="G1888" s="4" t="s">
        <v>107</v>
      </c>
      <c r="H1888" s="4"/>
      <c r="I1888" s="4" t="s">
        <v>1036</v>
      </c>
    </row>
    <row r="1889" ht="15.75" customHeight="1">
      <c r="A1889" s="4" t="s">
        <v>4852</v>
      </c>
      <c r="B1889" s="13">
        <v>46027.3846296296</v>
      </c>
      <c r="C1889" s="4" t="s">
        <v>4853</v>
      </c>
      <c r="D1889" s="4" t="s">
        <v>1071</v>
      </c>
      <c r="E1889" s="4" t="s">
        <v>1119</v>
      </c>
      <c r="F1889" s="4"/>
      <c r="G1889" s="4"/>
      <c r="H1889" s="4"/>
      <c r="I1889" s="4" t="s">
        <v>1028</v>
      </c>
    </row>
    <row r="1890" ht="15.75" customHeight="1">
      <c r="A1890" s="4" t="s">
        <v>4854</v>
      </c>
      <c r="B1890" s="13">
        <v>46079.6780208333</v>
      </c>
      <c r="C1890" s="4" t="s">
        <v>4855</v>
      </c>
      <c r="D1890" s="4" t="s">
        <v>1063</v>
      </c>
      <c r="E1890" s="4" t="s">
        <v>1064</v>
      </c>
      <c r="F1890" s="4"/>
      <c r="G1890" s="4" t="s">
        <v>61</v>
      </c>
      <c r="H1890" s="4"/>
      <c r="I1890" s="4" t="s">
        <v>1052</v>
      </c>
    </row>
    <row r="1891" ht="15.75" customHeight="1">
      <c r="A1891" s="4" t="s">
        <v>4856</v>
      </c>
      <c r="B1891" s="13">
        <v>46056.8251736111</v>
      </c>
      <c r="C1891" s="4" t="s">
        <v>4857</v>
      </c>
      <c r="D1891" s="4" t="s">
        <v>1128</v>
      </c>
      <c r="E1891" s="4" t="s">
        <v>1105</v>
      </c>
      <c r="F1891" s="4" t="s">
        <v>102</v>
      </c>
      <c r="G1891" s="4"/>
      <c r="H1891" s="4"/>
      <c r="I1891" s="4" t="s">
        <v>1030</v>
      </c>
    </row>
    <row r="1892" ht="15.75" customHeight="1">
      <c r="A1892" s="4" t="s">
        <v>4858</v>
      </c>
      <c r="B1892" s="13">
        <v>46111.415787037</v>
      </c>
      <c r="C1892" s="4" t="s">
        <v>4859</v>
      </c>
      <c r="D1892" s="4" t="s">
        <v>1104</v>
      </c>
      <c r="E1892" s="4" t="s">
        <v>1090</v>
      </c>
      <c r="F1892" s="4" t="s">
        <v>790</v>
      </c>
      <c r="G1892" s="4"/>
      <c r="H1892" s="4"/>
      <c r="I1892" s="4" t="s">
        <v>1031</v>
      </c>
    </row>
    <row r="1893" ht="15.75" customHeight="1">
      <c r="A1893" s="4" t="s">
        <v>4860</v>
      </c>
      <c r="B1893" s="13">
        <v>46077.7765509259</v>
      </c>
      <c r="C1893" s="4" t="s">
        <v>4861</v>
      </c>
      <c r="D1893" s="4" t="s">
        <v>1081</v>
      </c>
      <c r="E1893" s="4" t="s">
        <v>1064</v>
      </c>
      <c r="F1893" s="4"/>
      <c r="G1893" s="4"/>
      <c r="H1893" s="4"/>
      <c r="I1893" s="4" t="s">
        <v>1036</v>
      </c>
    </row>
    <row r="1894" ht="15.75" customHeight="1">
      <c r="A1894" s="4" t="s">
        <v>4862</v>
      </c>
      <c r="B1894" s="13">
        <v>46038.5860185185</v>
      </c>
      <c r="C1894" s="4" t="s">
        <v>4863</v>
      </c>
      <c r="D1894" s="4" t="s">
        <v>1075</v>
      </c>
      <c r="E1894" s="4" t="s">
        <v>1064</v>
      </c>
      <c r="F1894" s="4"/>
      <c r="G1894" s="4"/>
      <c r="H1894" s="4"/>
      <c r="I1894" s="4" t="s">
        <v>587</v>
      </c>
    </row>
    <row r="1895" ht="15.75" customHeight="1">
      <c r="A1895" s="4" t="s">
        <v>4864</v>
      </c>
      <c r="B1895" s="13">
        <v>46024.4139930556</v>
      </c>
      <c r="C1895" s="4" t="s">
        <v>4865</v>
      </c>
      <c r="D1895" s="4" t="s">
        <v>1163</v>
      </c>
      <c r="E1895" s="4" t="s">
        <v>1119</v>
      </c>
      <c r="F1895" s="4"/>
      <c r="G1895" s="4"/>
      <c r="H1895" s="4"/>
      <c r="I1895" s="4" t="s">
        <v>1046</v>
      </c>
    </row>
    <row r="1896" ht="15.75" customHeight="1">
      <c r="A1896" s="4" t="s">
        <v>4866</v>
      </c>
      <c r="B1896" s="13">
        <v>46040.3485416667</v>
      </c>
      <c r="C1896" s="4" t="s">
        <v>4867</v>
      </c>
      <c r="D1896" s="4" t="s">
        <v>1081</v>
      </c>
      <c r="E1896" s="4" t="s">
        <v>1064</v>
      </c>
      <c r="F1896" s="4"/>
      <c r="G1896" s="4"/>
      <c r="H1896" s="4"/>
      <c r="I1896" s="4" t="s">
        <v>1036</v>
      </c>
    </row>
    <row r="1897" ht="15.75" customHeight="1">
      <c r="A1897" s="4" t="s">
        <v>4868</v>
      </c>
      <c r="B1897" s="13">
        <v>46084.4900347222</v>
      </c>
      <c r="C1897" s="4" t="s">
        <v>4869</v>
      </c>
      <c r="D1897" s="4" t="s">
        <v>1163</v>
      </c>
      <c r="E1897" s="4" t="s">
        <v>1119</v>
      </c>
      <c r="F1897" s="4"/>
      <c r="G1897" s="4"/>
      <c r="H1897" s="4"/>
      <c r="I1897" s="4" t="s">
        <v>1050</v>
      </c>
    </row>
    <row r="1898" ht="15.75" customHeight="1">
      <c r="A1898" s="4" t="s">
        <v>4870</v>
      </c>
      <c r="B1898" s="13">
        <v>46116.6863310185</v>
      </c>
      <c r="C1898" s="4" t="s">
        <v>4871</v>
      </c>
      <c r="D1898" s="4" t="s">
        <v>1071</v>
      </c>
      <c r="E1898" s="4" t="s">
        <v>1072</v>
      </c>
      <c r="F1898" s="4"/>
      <c r="G1898" s="4"/>
      <c r="H1898" s="4"/>
      <c r="I1898" s="4" t="s">
        <v>1046</v>
      </c>
    </row>
    <row r="1899" ht="15.75" customHeight="1">
      <c r="A1899" s="4" t="s">
        <v>4872</v>
      </c>
      <c r="B1899" s="13">
        <v>46084.696875</v>
      </c>
      <c r="C1899" s="4" t="s">
        <v>4873</v>
      </c>
      <c r="D1899" s="4" t="s">
        <v>1104</v>
      </c>
      <c r="E1899" s="4" t="s">
        <v>1105</v>
      </c>
      <c r="F1899" s="4" t="s">
        <v>229</v>
      </c>
      <c r="G1899" s="4"/>
      <c r="H1899" s="4"/>
      <c r="I1899" s="4" t="s">
        <v>1034</v>
      </c>
    </row>
    <row r="1900" ht="15.75" customHeight="1">
      <c r="A1900" s="4" t="s">
        <v>4874</v>
      </c>
      <c r="B1900" s="13">
        <v>46029.6825347222</v>
      </c>
      <c r="C1900" s="4" t="s">
        <v>4875</v>
      </c>
      <c r="D1900" s="4" t="s">
        <v>1163</v>
      </c>
      <c r="E1900" s="4" t="s">
        <v>1072</v>
      </c>
      <c r="F1900" s="4"/>
      <c r="G1900" s="4"/>
      <c r="H1900" s="4"/>
      <c r="I1900" s="4" t="s">
        <v>587</v>
      </c>
    </row>
    <row r="1901" ht="15.75" customHeight="1">
      <c r="A1901" s="4" t="s">
        <v>4876</v>
      </c>
      <c r="B1901" s="13">
        <v>46102.9427546296</v>
      </c>
      <c r="C1901" s="4" t="s">
        <v>4877</v>
      </c>
      <c r="D1901" s="4" t="s">
        <v>1075</v>
      </c>
      <c r="E1901" s="4" t="s">
        <v>1064</v>
      </c>
      <c r="F1901" s="4"/>
      <c r="G1901" s="4"/>
      <c r="H1901" s="4"/>
      <c r="I1901" s="4" t="s">
        <v>1050</v>
      </c>
    </row>
    <row r="1902" ht="15.75" customHeight="1">
      <c r="A1902" s="4" t="s">
        <v>4878</v>
      </c>
      <c r="B1902" s="13">
        <v>46065.7058796296</v>
      </c>
      <c r="C1902" s="4" t="s">
        <v>4879</v>
      </c>
      <c r="D1902" s="4" t="s">
        <v>1078</v>
      </c>
      <c r="E1902" s="4" t="s">
        <v>1064</v>
      </c>
      <c r="F1902" s="4"/>
      <c r="G1902" s="4" t="s">
        <v>190</v>
      </c>
      <c r="H1902" s="10">
        <v>167.05</v>
      </c>
      <c r="I1902" s="4" t="s">
        <v>427</v>
      </c>
    </row>
    <row r="1903" ht="15.75" customHeight="1">
      <c r="A1903" s="4" t="s">
        <v>4880</v>
      </c>
      <c r="B1903" s="13">
        <v>46097.602037037</v>
      </c>
      <c r="C1903" s="4" t="s">
        <v>4881</v>
      </c>
      <c r="D1903" s="4" t="s">
        <v>1086</v>
      </c>
      <c r="E1903" s="4" t="s">
        <v>1064</v>
      </c>
      <c r="F1903" s="4"/>
      <c r="G1903" s="4"/>
      <c r="H1903" s="4"/>
      <c r="I1903" s="4" t="s">
        <v>427</v>
      </c>
    </row>
    <row r="1904" ht="15.75" customHeight="1">
      <c r="A1904" s="4" t="s">
        <v>4882</v>
      </c>
      <c r="B1904" s="13">
        <v>46081.779212963</v>
      </c>
      <c r="C1904" s="4" t="s">
        <v>4883</v>
      </c>
      <c r="D1904" s="4" t="s">
        <v>1086</v>
      </c>
      <c r="E1904" s="4" t="s">
        <v>1064</v>
      </c>
      <c r="F1904" s="4"/>
      <c r="G1904" s="4"/>
      <c r="H1904" s="4"/>
      <c r="I1904" s="4" t="s">
        <v>1048</v>
      </c>
    </row>
    <row r="1905" ht="15.75" customHeight="1">
      <c r="A1905" s="4" t="s">
        <v>4884</v>
      </c>
      <c r="B1905" s="13">
        <v>46026.4651967593</v>
      </c>
      <c r="C1905" s="4" t="s">
        <v>4885</v>
      </c>
      <c r="D1905" s="4" t="s">
        <v>1071</v>
      </c>
      <c r="E1905" s="4" t="s">
        <v>1119</v>
      </c>
      <c r="F1905" s="4"/>
      <c r="G1905" s="4"/>
      <c r="H1905" s="4"/>
      <c r="I1905" s="4" t="s">
        <v>1031</v>
      </c>
    </row>
    <row r="1906" ht="15.75" customHeight="1">
      <c r="A1906" s="4" t="s">
        <v>4886</v>
      </c>
      <c r="B1906" s="13">
        <v>46123.8098032407</v>
      </c>
      <c r="C1906" s="4" t="s">
        <v>4887</v>
      </c>
      <c r="D1906" s="4" t="s">
        <v>1086</v>
      </c>
      <c r="E1906" s="4" t="s">
        <v>1064</v>
      </c>
      <c r="F1906" s="4"/>
      <c r="G1906" s="4"/>
      <c r="H1906" s="4"/>
      <c r="I1906" s="4" t="s">
        <v>1031</v>
      </c>
    </row>
    <row r="1907" ht="15.75" customHeight="1">
      <c r="A1907" s="4" t="s">
        <v>4888</v>
      </c>
      <c r="B1907" s="13">
        <v>46113.5312268519</v>
      </c>
      <c r="C1907" s="4" t="s">
        <v>4889</v>
      </c>
      <c r="D1907" s="4" t="s">
        <v>1128</v>
      </c>
      <c r="E1907" s="4" t="s">
        <v>1090</v>
      </c>
      <c r="F1907" s="4" t="s">
        <v>794</v>
      </c>
      <c r="G1907" s="4"/>
      <c r="H1907" s="4"/>
      <c r="I1907" s="4" t="s">
        <v>1036</v>
      </c>
    </row>
    <row r="1908" ht="15.75" customHeight="1">
      <c r="A1908" s="4" t="s">
        <v>4890</v>
      </c>
      <c r="B1908" s="13">
        <v>46089.3717592593</v>
      </c>
      <c r="C1908" s="4" t="s">
        <v>4891</v>
      </c>
      <c r="D1908" s="4" t="s">
        <v>1078</v>
      </c>
      <c r="E1908" s="4" t="s">
        <v>1064</v>
      </c>
      <c r="F1908" s="4"/>
      <c r="G1908" s="4" t="s">
        <v>232</v>
      </c>
      <c r="H1908" s="10">
        <v>93.02</v>
      </c>
      <c r="I1908" s="4" t="s">
        <v>1050</v>
      </c>
    </row>
    <row r="1909" ht="15.75" customHeight="1">
      <c r="A1909" s="4" t="s">
        <v>4892</v>
      </c>
      <c r="B1909" s="13">
        <v>46054.3846412037</v>
      </c>
      <c r="C1909" s="4" t="s">
        <v>4893</v>
      </c>
      <c r="D1909" s="4" t="s">
        <v>1110</v>
      </c>
      <c r="E1909" s="4" t="s">
        <v>1064</v>
      </c>
      <c r="F1909" s="4"/>
      <c r="G1909" s="4" t="s">
        <v>137</v>
      </c>
      <c r="H1909" s="10">
        <v>42.29</v>
      </c>
      <c r="I1909" s="4" t="s">
        <v>1031</v>
      </c>
    </row>
    <row r="1910" ht="15.75" customHeight="1">
      <c r="A1910" s="4" t="s">
        <v>4894</v>
      </c>
      <c r="B1910" s="13">
        <v>46106.5543865741</v>
      </c>
      <c r="C1910" s="4" t="s">
        <v>4895</v>
      </c>
      <c r="D1910" s="4" t="s">
        <v>1081</v>
      </c>
      <c r="E1910" s="4" t="s">
        <v>1064</v>
      </c>
      <c r="F1910" s="4"/>
      <c r="G1910" s="4"/>
      <c r="H1910" s="4"/>
      <c r="I1910" s="4" t="s">
        <v>1035</v>
      </c>
    </row>
    <row r="1911" ht="15.75" customHeight="1">
      <c r="A1911" s="4" t="s">
        <v>4896</v>
      </c>
      <c r="B1911" s="13">
        <v>46039.426087963</v>
      </c>
      <c r="C1911" s="4" t="s">
        <v>4897</v>
      </c>
      <c r="D1911" s="4" t="s">
        <v>1104</v>
      </c>
      <c r="E1911" s="4" t="s">
        <v>1090</v>
      </c>
      <c r="F1911" s="4" t="s">
        <v>809</v>
      </c>
      <c r="G1911" s="4"/>
      <c r="H1911" s="4"/>
      <c r="I1911" s="4" t="s">
        <v>1035</v>
      </c>
    </row>
    <row r="1912" ht="15.75" customHeight="1">
      <c r="A1912" s="4" t="s">
        <v>4898</v>
      </c>
      <c r="B1912" s="13">
        <v>46073.8780092593</v>
      </c>
      <c r="C1912" s="4" t="s">
        <v>4899</v>
      </c>
      <c r="D1912" s="4" t="s">
        <v>1089</v>
      </c>
      <c r="E1912" s="4" t="s">
        <v>1105</v>
      </c>
      <c r="F1912" s="4" t="s">
        <v>202</v>
      </c>
      <c r="G1912" s="4"/>
      <c r="H1912" s="4"/>
      <c r="I1912" s="4" t="s">
        <v>1052</v>
      </c>
    </row>
    <row r="1913" ht="15.75" customHeight="1">
      <c r="A1913" s="4" t="s">
        <v>4900</v>
      </c>
      <c r="B1913" s="13">
        <v>46078.7818634259</v>
      </c>
      <c r="C1913" s="4" t="s">
        <v>4901</v>
      </c>
      <c r="D1913" s="4" t="s">
        <v>1063</v>
      </c>
      <c r="E1913" s="4" t="s">
        <v>1064</v>
      </c>
      <c r="F1913" s="4"/>
      <c r="G1913" s="4" t="s">
        <v>244</v>
      </c>
      <c r="H1913" s="4"/>
      <c r="I1913" s="4" t="s">
        <v>427</v>
      </c>
    </row>
    <row r="1914" ht="15.75" customHeight="1">
      <c r="A1914" s="4" t="s">
        <v>4902</v>
      </c>
      <c r="B1914" s="13">
        <v>46040.4242824074</v>
      </c>
      <c r="C1914" s="4" t="s">
        <v>4903</v>
      </c>
      <c r="D1914" s="4" t="s">
        <v>1063</v>
      </c>
      <c r="E1914" s="4" t="s">
        <v>1064</v>
      </c>
      <c r="F1914" s="4"/>
      <c r="G1914" s="4" t="s">
        <v>100</v>
      </c>
      <c r="H1914" s="4"/>
      <c r="I1914" s="4" t="s">
        <v>1034</v>
      </c>
    </row>
    <row r="1915" ht="15.75" customHeight="1">
      <c r="A1915" s="4" t="s">
        <v>4904</v>
      </c>
      <c r="B1915" s="13">
        <v>46057.8597106482</v>
      </c>
      <c r="C1915" s="4" t="s">
        <v>4905</v>
      </c>
      <c r="D1915" s="4" t="s">
        <v>1071</v>
      </c>
      <c r="E1915" s="4" t="s">
        <v>1119</v>
      </c>
      <c r="F1915" s="4"/>
      <c r="G1915" s="4"/>
      <c r="H1915" s="4"/>
      <c r="I1915" s="4" t="s">
        <v>427</v>
      </c>
    </row>
    <row r="1916" ht="15.75" customHeight="1">
      <c r="A1916" s="4" t="s">
        <v>4906</v>
      </c>
      <c r="B1916" s="13">
        <v>46130.7284259259</v>
      </c>
      <c r="C1916" s="4" t="s">
        <v>4907</v>
      </c>
      <c r="D1916" s="4" t="s">
        <v>1086</v>
      </c>
      <c r="E1916" s="4" t="s">
        <v>1064</v>
      </c>
      <c r="F1916" s="4"/>
      <c r="G1916" s="4"/>
      <c r="H1916" s="4"/>
      <c r="I1916" s="4" t="s">
        <v>1030</v>
      </c>
    </row>
    <row r="1917" ht="15.75" customHeight="1">
      <c r="A1917" s="4" t="s">
        <v>4908</v>
      </c>
      <c r="B1917" s="13">
        <v>46051.5782291667</v>
      </c>
      <c r="C1917" s="4" t="s">
        <v>4909</v>
      </c>
      <c r="D1917" s="4" t="s">
        <v>1081</v>
      </c>
      <c r="E1917" s="4" t="s">
        <v>1064</v>
      </c>
      <c r="F1917" s="4"/>
      <c r="G1917" s="4"/>
      <c r="H1917" s="4"/>
      <c r="I1917" s="4" t="s">
        <v>1035</v>
      </c>
    </row>
    <row r="1918" ht="15.75" customHeight="1">
      <c r="A1918" s="4" t="s">
        <v>4910</v>
      </c>
      <c r="B1918" s="13">
        <v>46119.5512384259</v>
      </c>
      <c r="C1918" s="4" t="s">
        <v>4911</v>
      </c>
      <c r="D1918" s="4" t="s">
        <v>1086</v>
      </c>
      <c r="E1918" s="4" t="s">
        <v>1064</v>
      </c>
      <c r="F1918" s="4"/>
      <c r="G1918" s="4"/>
      <c r="H1918" s="4"/>
      <c r="I1918" s="4" t="s">
        <v>1048</v>
      </c>
    </row>
    <row r="1919" ht="15.75" customHeight="1">
      <c r="A1919" s="4" t="s">
        <v>4912</v>
      </c>
      <c r="B1919" s="13">
        <v>46060.5350462963</v>
      </c>
      <c r="C1919" s="4" t="s">
        <v>4913</v>
      </c>
      <c r="D1919" s="4" t="s">
        <v>1075</v>
      </c>
      <c r="E1919" s="4" t="s">
        <v>1064</v>
      </c>
      <c r="F1919" s="4"/>
      <c r="G1919" s="4"/>
      <c r="H1919" s="4"/>
      <c r="I1919" s="4" t="s">
        <v>1048</v>
      </c>
    </row>
    <row r="1920" ht="15.75" customHeight="1">
      <c r="A1920" s="4" t="s">
        <v>4914</v>
      </c>
      <c r="B1920" s="13">
        <v>46107.7579861111</v>
      </c>
      <c r="C1920" s="4" t="s">
        <v>4915</v>
      </c>
      <c r="D1920" s="4" t="s">
        <v>1086</v>
      </c>
      <c r="E1920" s="4" t="s">
        <v>1064</v>
      </c>
      <c r="F1920" s="4"/>
      <c r="G1920" s="4"/>
      <c r="H1920" s="4"/>
      <c r="I1920" s="4" t="s">
        <v>1042</v>
      </c>
    </row>
    <row r="1921" ht="15.75" customHeight="1">
      <c r="A1921" s="4" t="s">
        <v>4916</v>
      </c>
      <c r="B1921" s="13">
        <v>46054.5003703704</v>
      </c>
      <c r="C1921" s="4" t="s">
        <v>4917</v>
      </c>
      <c r="D1921" s="4" t="s">
        <v>1086</v>
      </c>
      <c r="E1921" s="4" t="s">
        <v>1064</v>
      </c>
      <c r="F1921" s="4"/>
      <c r="G1921" s="4"/>
      <c r="H1921" s="4"/>
      <c r="I1921" s="4" t="s">
        <v>1050</v>
      </c>
    </row>
    <row r="1922" ht="15.75" customHeight="1">
      <c r="A1922" s="4" t="s">
        <v>4918</v>
      </c>
      <c r="B1922" s="13">
        <v>46033.3515162037</v>
      </c>
      <c r="C1922" s="4" t="s">
        <v>4919</v>
      </c>
      <c r="D1922" s="4" t="s">
        <v>1093</v>
      </c>
      <c r="E1922" s="4" t="s">
        <v>1064</v>
      </c>
      <c r="F1922" s="4"/>
      <c r="G1922" s="4"/>
      <c r="H1922" s="4"/>
      <c r="I1922" s="4" t="s">
        <v>1028</v>
      </c>
    </row>
    <row r="1923" ht="15.75" customHeight="1">
      <c r="A1923" s="4" t="s">
        <v>4920</v>
      </c>
      <c r="B1923" s="13">
        <v>46067.8126736111</v>
      </c>
      <c r="C1923" s="4" t="s">
        <v>4921</v>
      </c>
      <c r="D1923" s="4" t="s">
        <v>1081</v>
      </c>
      <c r="E1923" s="4" t="s">
        <v>1064</v>
      </c>
      <c r="F1923" s="4"/>
      <c r="G1923" s="4"/>
      <c r="H1923" s="4"/>
      <c r="I1923" s="4" t="s">
        <v>427</v>
      </c>
    </row>
    <row r="1924" ht="15.75" customHeight="1">
      <c r="A1924" s="4" t="s">
        <v>4922</v>
      </c>
      <c r="B1924" s="13">
        <v>46086.3772685185</v>
      </c>
      <c r="C1924" s="4" t="s">
        <v>4923</v>
      </c>
      <c r="D1924" s="4" t="s">
        <v>1093</v>
      </c>
      <c r="E1924" s="4" t="s">
        <v>1064</v>
      </c>
      <c r="F1924" s="4"/>
      <c r="G1924" s="4"/>
      <c r="H1924" s="4"/>
      <c r="I1924" s="4" t="s">
        <v>1039</v>
      </c>
    </row>
    <row r="1925" ht="15.75" customHeight="1">
      <c r="A1925" s="4" t="s">
        <v>4924</v>
      </c>
      <c r="B1925" s="13">
        <v>46083.5855092593</v>
      </c>
      <c r="C1925" s="4" t="s">
        <v>4925</v>
      </c>
      <c r="D1925" s="4" t="s">
        <v>1071</v>
      </c>
      <c r="E1925" s="4" t="s">
        <v>1119</v>
      </c>
      <c r="F1925" s="4"/>
      <c r="G1925" s="4"/>
      <c r="H1925" s="4"/>
      <c r="I1925" s="4" t="s">
        <v>427</v>
      </c>
    </row>
    <row r="1926" ht="15.75" customHeight="1">
      <c r="A1926" s="4" t="s">
        <v>4926</v>
      </c>
      <c r="B1926" s="13">
        <v>46067.9583101852</v>
      </c>
      <c r="C1926" s="4" t="s">
        <v>4927</v>
      </c>
      <c r="D1926" s="4" t="s">
        <v>1163</v>
      </c>
      <c r="E1926" s="4" t="s">
        <v>1072</v>
      </c>
      <c r="F1926" s="4"/>
      <c r="G1926" s="4"/>
      <c r="H1926" s="4"/>
      <c r="I1926" s="4" t="s">
        <v>1035</v>
      </c>
    </row>
    <row r="1927" ht="15.75" customHeight="1">
      <c r="A1927" s="4" t="s">
        <v>4928</v>
      </c>
      <c r="B1927" s="13">
        <v>46042.7648263889</v>
      </c>
      <c r="C1927" s="4" t="s">
        <v>4929</v>
      </c>
      <c r="D1927" s="4" t="s">
        <v>1086</v>
      </c>
      <c r="E1927" s="4" t="s">
        <v>1064</v>
      </c>
      <c r="F1927" s="4"/>
      <c r="G1927" s="4"/>
      <c r="H1927" s="4"/>
      <c r="I1927" s="4" t="s">
        <v>1035</v>
      </c>
    </row>
    <row r="1928" ht="15.75" customHeight="1">
      <c r="A1928" s="4" t="s">
        <v>4930</v>
      </c>
      <c r="B1928" s="13">
        <v>46110.6512731482</v>
      </c>
      <c r="C1928" s="4" t="s">
        <v>4931</v>
      </c>
      <c r="D1928" s="4" t="s">
        <v>1086</v>
      </c>
      <c r="E1928" s="4" t="s">
        <v>1064</v>
      </c>
      <c r="F1928" s="4"/>
      <c r="G1928" s="4"/>
      <c r="H1928" s="4"/>
      <c r="I1928" s="4" t="s">
        <v>1030</v>
      </c>
    </row>
    <row r="1929" ht="15.75" customHeight="1">
      <c r="A1929" s="4" t="s">
        <v>4932</v>
      </c>
      <c r="B1929" s="13">
        <v>46076.9830324074</v>
      </c>
      <c r="C1929" s="4" t="s">
        <v>4933</v>
      </c>
      <c r="D1929" s="4" t="s">
        <v>1104</v>
      </c>
      <c r="E1929" s="4" t="s">
        <v>1090</v>
      </c>
      <c r="F1929" s="4" t="s">
        <v>829</v>
      </c>
      <c r="G1929" s="4"/>
      <c r="H1929" s="4"/>
      <c r="I1929" s="4" t="s">
        <v>1050</v>
      </c>
    </row>
    <row r="1930" ht="15.75" customHeight="1">
      <c r="A1930" s="4" t="s">
        <v>4934</v>
      </c>
      <c r="B1930" s="13">
        <v>46105.9267708333</v>
      </c>
      <c r="C1930" s="4" t="s">
        <v>4935</v>
      </c>
      <c r="D1930" s="4" t="s">
        <v>1075</v>
      </c>
      <c r="E1930" s="4" t="s">
        <v>1064</v>
      </c>
      <c r="F1930" s="4"/>
      <c r="G1930" s="4"/>
      <c r="H1930" s="4"/>
      <c r="I1930" s="4" t="s">
        <v>1050</v>
      </c>
    </row>
    <row r="1931" ht="15.75" customHeight="1">
      <c r="A1931" s="4" t="s">
        <v>4936</v>
      </c>
      <c r="B1931" s="13">
        <v>46088.6997916667</v>
      </c>
      <c r="C1931" s="4" t="s">
        <v>4937</v>
      </c>
      <c r="D1931" s="4" t="s">
        <v>1078</v>
      </c>
      <c r="E1931" s="4" t="s">
        <v>1064</v>
      </c>
      <c r="F1931" s="4"/>
      <c r="G1931" s="4" t="s">
        <v>150</v>
      </c>
      <c r="H1931" s="10">
        <v>134.44</v>
      </c>
      <c r="I1931" s="4" t="s">
        <v>1036</v>
      </c>
    </row>
    <row r="1932" ht="15.75" customHeight="1">
      <c r="A1932" s="4" t="s">
        <v>4938</v>
      </c>
      <c r="B1932" s="13">
        <v>46111.5545601852</v>
      </c>
      <c r="C1932" s="4" t="s">
        <v>4939</v>
      </c>
      <c r="D1932" s="4" t="s">
        <v>1104</v>
      </c>
      <c r="E1932" s="4" t="s">
        <v>1090</v>
      </c>
      <c r="F1932" s="4" t="s">
        <v>803</v>
      </c>
      <c r="G1932" s="4"/>
      <c r="H1932" s="4"/>
      <c r="I1932" s="4" t="s">
        <v>1042</v>
      </c>
    </row>
    <row r="1933" ht="15.75" customHeight="1">
      <c r="A1933" s="4" t="s">
        <v>4940</v>
      </c>
      <c r="B1933" s="13">
        <v>46107.9146990741</v>
      </c>
      <c r="C1933" s="4" t="s">
        <v>4941</v>
      </c>
      <c r="D1933" s="4" t="s">
        <v>1089</v>
      </c>
      <c r="E1933" s="4" t="s">
        <v>1090</v>
      </c>
      <c r="F1933" s="4" t="s">
        <v>817</v>
      </c>
      <c r="G1933" s="4"/>
      <c r="H1933" s="4"/>
      <c r="I1933" s="4" t="s">
        <v>587</v>
      </c>
    </row>
    <row r="1934" ht="15.75" customHeight="1">
      <c r="A1934" s="4" t="s">
        <v>4942</v>
      </c>
      <c r="B1934" s="13">
        <v>46043.8868287037</v>
      </c>
      <c r="C1934" s="4" t="s">
        <v>4943</v>
      </c>
      <c r="D1934" s="4" t="s">
        <v>1078</v>
      </c>
      <c r="E1934" s="4" t="s">
        <v>1064</v>
      </c>
      <c r="F1934" s="4"/>
      <c r="G1934" s="4" t="s">
        <v>93</v>
      </c>
      <c r="H1934" s="10">
        <v>54.6</v>
      </c>
      <c r="I1934" s="4" t="s">
        <v>1030</v>
      </c>
    </row>
    <row r="1935" ht="15.75" customHeight="1">
      <c r="A1935" s="4" t="s">
        <v>4944</v>
      </c>
      <c r="B1935" s="13">
        <v>46114.3853587963</v>
      </c>
      <c r="C1935" s="4" t="s">
        <v>4945</v>
      </c>
      <c r="D1935" s="4" t="s">
        <v>1128</v>
      </c>
      <c r="E1935" s="4" t="s">
        <v>1105</v>
      </c>
      <c r="F1935" s="4" t="s">
        <v>289</v>
      </c>
      <c r="G1935" s="4"/>
      <c r="H1935" s="4"/>
      <c r="I1935" s="4" t="s">
        <v>1048</v>
      </c>
    </row>
    <row r="1936" ht="15.75" customHeight="1">
      <c r="A1936" s="4" t="s">
        <v>4946</v>
      </c>
      <c r="B1936" s="13">
        <v>46034.8399768519</v>
      </c>
      <c r="C1936" s="4" t="s">
        <v>4947</v>
      </c>
      <c r="D1936" s="4" t="s">
        <v>1093</v>
      </c>
      <c r="E1936" s="4" t="s">
        <v>1064</v>
      </c>
      <c r="F1936" s="4"/>
      <c r="G1936" s="4"/>
      <c r="H1936" s="4"/>
      <c r="I1936" s="4" t="s">
        <v>1036</v>
      </c>
    </row>
    <row r="1937" ht="15.75" customHeight="1">
      <c r="A1937" s="4" t="s">
        <v>4948</v>
      </c>
      <c r="B1937" s="13">
        <v>46064.4184490741</v>
      </c>
      <c r="C1937" s="4" t="s">
        <v>4949</v>
      </c>
      <c r="D1937" s="4" t="s">
        <v>1089</v>
      </c>
      <c r="E1937" s="4" t="s">
        <v>1105</v>
      </c>
      <c r="F1937" s="4" t="s">
        <v>140</v>
      </c>
      <c r="G1937" s="4"/>
      <c r="H1937" s="4"/>
      <c r="I1937" s="4" t="s">
        <v>1034</v>
      </c>
    </row>
    <row r="1938" ht="15.75" customHeight="1">
      <c r="A1938" s="4" t="s">
        <v>4950</v>
      </c>
      <c r="B1938" s="13">
        <v>46081.3393518519</v>
      </c>
      <c r="C1938" s="4" t="s">
        <v>4951</v>
      </c>
      <c r="D1938" s="4" t="s">
        <v>1075</v>
      </c>
      <c r="E1938" s="4" t="s">
        <v>1064</v>
      </c>
      <c r="F1938" s="4"/>
      <c r="G1938" s="4"/>
      <c r="H1938" s="4"/>
      <c r="I1938" s="4" t="s">
        <v>1046</v>
      </c>
    </row>
    <row r="1939" ht="15.75" customHeight="1">
      <c r="A1939" s="4" t="s">
        <v>4952</v>
      </c>
      <c r="B1939" s="13">
        <v>46063.8497453704</v>
      </c>
      <c r="C1939" s="4" t="s">
        <v>4953</v>
      </c>
      <c r="D1939" s="4" t="s">
        <v>1104</v>
      </c>
      <c r="E1939" s="4" t="s">
        <v>1090</v>
      </c>
      <c r="F1939" s="4" t="s">
        <v>817</v>
      </c>
      <c r="G1939" s="4"/>
      <c r="H1939" s="4"/>
      <c r="I1939" s="4" t="s">
        <v>1050</v>
      </c>
    </row>
    <row r="1940" ht="15.75" customHeight="1">
      <c r="A1940" s="4" t="s">
        <v>4954</v>
      </c>
      <c r="B1940" s="13">
        <v>46086.7752430556</v>
      </c>
      <c r="C1940" s="4" t="s">
        <v>4955</v>
      </c>
      <c r="D1940" s="4" t="s">
        <v>1063</v>
      </c>
      <c r="E1940" s="4" t="s">
        <v>1064</v>
      </c>
      <c r="F1940" s="4"/>
      <c r="G1940" s="4" t="s">
        <v>93</v>
      </c>
      <c r="H1940" s="4"/>
      <c r="I1940" s="4" t="s">
        <v>1034</v>
      </c>
    </row>
    <row r="1941" ht="15.75" customHeight="1">
      <c r="A1941" s="4" t="s">
        <v>4956</v>
      </c>
      <c r="B1941" s="13">
        <v>46053.8393055556</v>
      </c>
      <c r="C1941" s="4" t="s">
        <v>4957</v>
      </c>
      <c r="D1941" s="4" t="s">
        <v>1081</v>
      </c>
      <c r="E1941" s="4" t="s">
        <v>1064</v>
      </c>
      <c r="F1941" s="4"/>
      <c r="G1941" s="4"/>
      <c r="H1941" s="4"/>
      <c r="I1941" s="4" t="s">
        <v>1034</v>
      </c>
    </row>
    <row r="1942" ht="15.75" customHeight="1">
      <c r="A1942" s="4" t="s">
        <v>4958</v>
      </c>
      <c r="B1942" s="13">
        <v>46032.652337963</v>
      </c>
      <c r="C1942" s="4" t="s">
        <v>4959</v>
      </c>
      <c r="D1942" s="4" t="s">
        <v>1078</v>
      </c>
      <c r="E1942" s="4" t="s">
        <v>1064</v>
      </c>
      <c r="F1942" s="4"/>
      <c r="G1942" s="4" t="s">
        <v>195</v>
      </c>
      <c r="H1942" s="10">
        <v>44.66</v>
      </c>
      <c r="I1942" s="4" t="s">
        <v>1042</v>
      </c>
    </row>
    <row r="1943" ht="15.75" customHeight="1">
      <c r="A1943" s="4" t="s">
        <v>4960</v>
      </c>
      <c r="B1943" s="13">
        <v>46108.57625</v>
      </c>
      <c r="C1943" s="4" t="s">
        <v>4961</v>
      </c>
      <c r="D1943" s="4" t="s">
        <v>1093</v>
      </c>
      <c r="E1943" s="4" t="s">
        <v>1064</v>
      </c>
      <c r="F1943" s="4"/>
      <c r="G1943" s="4"/>
      <c r="H1943" s="4"/>
      <c r="I1943" s="4" t="s">
        <v>587</v>
      </c>
    </row>
    <row r="1944" ht="15.75" customHeight="1">
      <c r="A1944" s="4" t="s">
        <v>4962</v>
      </c>
      <c r="B1944" s="13">
        <v>46101.5453587963</v>
      </c>
      <c r="C1944" s="4" t="s">
        <v>4963</v>
      </c>
      <c r="D1944" s="4" t="s">
        <v>1104</v>
      </c>
      <c r="E1944" s="4" t="s">
        <v>1105</v>
      </c>
      <c r="F1944" s="4" t="s">
        <v>79</v>
      </c>
      <c r="G1944" s="4"/>
      <c r="H1944" s="4"/>
      <c r="I1944" s="4" t="s">
        <v>1035</v>
      </c>
    </row>
    <row r="1945" ht="15.75" customHeight="1">
      <c r="A1945" s="4" t="s">
        <v>4964</v>
      </c>
      <c r="B1945" s="13">
        <v>46028.5212962963</v>
      </c>
      <c r="C1945" s="4" t="s">
        <v>4965</v>
      </c>
      <c r="D1945" s="4" t="s">
        <v>1110</v>
      </c>
      <c r="E1945" s="4" t="s">
        <v>1064</v>
      </c>
      <c r="F1945" s="4"/>
      <c r="G1945" s="4" t="s">
        <v>112</v>
      </c>
      <c r="H1945" s="10">
        <v>33.45</v>
      </c>
      <c r="I1945" s="4" t="s">
        <v>1039</v>
      </c>
    </row>
    <row r="1946" ht="15.75" customHeight="1">
      <c r="A1946" s="4" t="s">
        <v>4966</v>
      </c>
      <c r="B1946" s="13">
        <v>46041.7105555556</v>
      </c>
      <c r="C1946" s="4" t="s">
        <v>4967</v>
      </c>
      <c r="D1946" s="4" t="s">
        <v>1163</v>
      </c>
      <c r="E1946" s="4" t="s">
        <v>1119</v>
      </c>
      <c r="F1946" s="4"/>
      <c r="G1946" s="4"/>
      <c r="H1946" s="4"/>
      <c r="I1946" s="4" t="s">
        <v>1039</v>
      </c>
    </row>
    <row r="1947" ht="15.75" customHeight="1">
      <c r="A1947" s="4" t="s">
        <v>4968</v>
      </c>
      <c r="B1947" s="13">
        <v>46059.3664814815</v>
      </c>
      <c r="C1947" s="4" t="s">
        <v>4969</v>
      </c>
      <c r="D1947" s="4" t="s">
        <v>1078</v>
      </c>
      <c r="E1947" s="4" t="s">
        <v>1064</v>
      </c>
      <c r="F1947" s="4"/>
      <c r="G1947" s="4" t="s">
        <v>84</v>
      </c>
      <c r="H1947" s="10">
        <v>123.75</v>
      </c>
      <c r="I1947" s="4" t="s">
        <v>1035</v>
      </c>
    </row>
    <row r="1948" ht="15.75" customHeight="1">
      <c r="A1948" s="4" t="s">
        <v>4970</v>
      </c>
      <c r="B1948" s="13">
        <v>46096.6702662037</v>
      </c>
      <c r="C1948" s="4" t="s">
        <v>4971</v>
      </c>
      <c r="D1948" s="4" t="s">
        <v>1089</v>
      </c>
      <c r="E1948" s="4" t="s">
        <v>1090</v>
      </c>
      <c r="F1948" s="4" t="s">
        <v>817</v>
      </c>
      <c r="G1948" s="4"/>
      <c r="H1948" s="4"/>
      <c r="I1948" s="4" t="s">
        <v>427</v>
      </c>
    </row>
    <row r="1949" ht="15.75" customHeight="1">
      <c r="A1949" s="4" t="s">
        <v>4972</v>
      </c>
      <c r="B1949" s="13">
        <v>46084.7761111111</v>
      </c>
      <c r="C1949" s="4" t="s">
        <v>4973</v>
      </c>
      <c r="D1949" s="4" t="s">
        <v>1063</v>
      </c>
      <c r="E1949" s="4" t="s">
        <v>1064</v>
      </c>
      <c r="F1949" s="4"/>
      <c r="G1949" s="4" t="s">
        <v>107</v>
      </c>
      <c r="H1949" s="4"/>
      <c r="I1949" s="4" t="s">
        <v>1030</v>
      </c>
    </row>
    <row r="1950" ht="15.75" customHeight="1">
      <c r="A1950" s="4" t="s">
        <v>4974</v>
      </c>
      <c r="B1950" s="13">
        <v>46125.6646875</v>
      </c>
      <c r="C1950" s="4" t="s">
        <v>4975</v>
      </c>
      <c r="D1950" s="4" t="s">
        <v>1128</v>
      </c>
      <c r="E1950" s="4" t="s">
        <v>1105</v>
      </c>
      <c r="F1950" s="4" t="s">
        <v>257</v>
      </c>
      <c r="G1950" s="4"/>
      <c r="H1950" s="4"/>
      <c r="I1950" s="4" t="s">
        <v>1030</v>
      </c>
    </row>
    <row r="1951" ht="15.75" customHeight="1">
      <c r="A1951" s="4" t="s">
        <v>4976</v>
      </c>
      <c r="B1951" s="13">
        <v>46049.7415046296</v>
      </c>
      <c r="C1951" s="4" t="s">
        <v>4977</v>
      </c>
      <c r="D1951" s="4" t="s">
        <v>1104</v>
      </c>
      <c r="E1951" s="4" t="s">
        <v>1105</v>
      </c>
      <c r="F1951" s="4" t="s">
        <v>87</v>
      </c>
      <c r="G1951" s="4"/>
      <c r="H1951" s="4"/>
      <c r="I1951" s="4" t="s">
        <v>1052</v>
      </c>
    </row>
    <row r="1952" ht="15.75" customHeight="1">
      <c r="A1952" s="4" t="s">
        <v>4978</v>
      </c>
      <c r="B1952" s="13">
        <v>46099.9056828704</v>
      </c>
      <c r="C1952" s="4" t="s">
        <v>4979</v>
      </c>
      <c r="D1952" s="4" t="s">
        <v>1110</v>
      </c>
      <c r="E1952" s="4" t="s">
        <v>1064</v>
      </c>
      <c r="F1952" s="4"/>
      <c r="G1952" s="4" t="s">
        <v>150</v>
      </c>
      <c r="H1952" s="10">
        <v>132.64</v>
      </c>
      <c r="I1952" s="4" t="s">
        <v>1050</v>
      </c>
    </row>
    <row r="1953" ht="15.75" customHeight="1">
      <c r="A1953" s="4" t="s">
        <v>4980</v>
      </c>
      <c r="B1953" s="13">
        <v>46037.4645949074</v>
      </c>
      <c r="C1953" s="4" t="s">
        <v>4981</v>
      </c>
      <c r="D1953" s="4" t="s">
        <v>1128</v>
      </c>
      <c r="E1953" s="4" t="s">
        <v>1105</v>
      </c>
      <c r="F1953" s="4" t="s">
        <v>95</v>
      </c>
      <c r="G1953" s="4"/>
      <c r="H1953" s="4"/>
      <c r="I1953" s="4" t="s">
        <v>1052</v>
      </c>
    </row>
    <row r="1954" ht="15.75" customHeight="1">
      <c r="A1954" s="4" t="s">
        <v>4982</v>
      </c>
      <c r="B1954" s="13">
        <v>46034.7346527778</v>
      </c>
      <c r="C1954" s="4" t="s">
        <v>4983</v>
      </c>
      <c r="D1954" s="4" t="s">
        <v>1089</v>
      </c>
      <c r="E1954" s="4" t="s">
        <v>1105</v>
      </c>
      <c r="F1954" s="4" t="s">
        <v>257</v>
      </c>
      <c r="G1954" s="4"/>
      <c r="H1954" s="4"/>
      <c r="I1954" s="4" t="s">
        <v>1042</v>
      </c>
    </row>
    <row r="1955" ht="15.75" customHeight="1">
      <c r="A1955" s="4" t="s">
        <v>4984</v>
      </c>
      <c r="B1955" s="13">
        <v>46092.4426388889</v>
      </c>
      <c r="C1955" s="4" t="s">
        <v>4985</v>
      </c>
      <c r="D1955" s="4" t="s">
        <v>1163</v>
      </c>
      <c r="E1955" s="4" t="s">
        <v>1072</v>
      </c>
      <c r="F1955" s="4"/>
      <c r="G1955" s="4"/>
      <c r="H1955" s="4"/>
      <c r="I1955" s="4" t="s">
        <v>587</v>
      </c>
    </row>
    <row r="1956" ht="15.75" customHeight="1">
      <c r="A1956" s="4" t="s">
        <v>4986</v>
      </c>
      <c r="B1956" s="13">
        <v>46036.3973263889</v>
      </c>
      <c r="C1956" s="4" t="s">
        <v>4987</v>
      </c>
      <c r="D1956" s="4" t="s">
        <v>1071</v>
      </c>
      <c r="E1956" s="4" t="s">
        <v>1119</v>
      </c>
      <c r="F1956" s="4"/>
      <c r="G1956" s="4"/>
      <c r="H1956" s="4"/>
      <c r="I1956" s="4" t="s">
        <v>1039</v>
      </c>
    </row>
    <row r="1957" ht="15.75" customHeight="1">
      <c r="A1957" s="4" t="s">
        <v>4988</v>
      </c>
      <c r="B1957" s="13">
        <v>46049.4778819445</v>
      </c>
      <c r="C1957" s="4" t="s">
        <v>4989</v>
      </c>
      <c r="D1957" s="4" t="s">
        <v>1086</v>
      </c>
      <c r="E1957" s="4" t="s">
        <v>1064</v>
      </c>
      <c r="F1957" s="4"/>
      <c r="G1957" s="4"/>
      <c r="H1957" s="4"/>
      <c r="I1957" s="4" t="s">
        <v>1046</v>
      </c>
    </row>
    <row r="1958" ht="15.75" customHeight="1">
      <c r="A1958" s="4" t="s">
        <v>4990</v>
      </c>
      <c r="B1958" s="13">
        <v>46061.4572916667</v>
      </c>
      <c r="C1958" s="4" t="s">
        <v>4991</v>
      </c>
      <c r="D1958" s="4" t="s">
        <v>1089</v>
      </c>
      <c r="E1958" s="4" t="s">
        <v>1090</v>
      </c>
      <c r="F1958" s="4" t="s">
        <v>831</v>
      </c>
      <c r="G1958" s="4"/>
      <c r="H1958" s="4"/>
      <c r="I1958" s="4" t="s">
        <v>1036</v>
      </c>
    </row>
    <row r="1959" ht="15.75" customHeight="1">
      <c r="A1959" s="4" t="s">
        <v>4992</v>
      </c>
      <c r="B1959" s="13">
        <v>46102.4975925926</v>
      </c>
      <c r="C1959" s="4" t="s">
        <v>4993</v>
      </c>
      <c r="D1959" s="4" t="s">
        <v>1104</v>
      </c>
      <c r="E1959" s="4" t="s">
        <v>1090</v>
      </c>
      <c r="F1959" s="4" t="s">
        <v>780</v>
      </c>
      <c r="G1959" s="4"/>
      <c r="H1959" s="4"/>
      <c r="I1959" s="4" t="s">
        <v>1052</v>
      </c>
    </row>
    <row r="1960" ht="15.75" customHeight="1">
      <c r="A1960" s="4" t="s">
        <v>4994</v>
      </c>
      <c r="B1960" s="13">
        <v>46049.5429166667</v>
      </c>
      <c r="C1960" s="4" t="s">
        <v>4995</v>
      </c>
      <c r="D1960" s="4" t="s">
        <v>1086</v>
      </c>
      <c r="E1960" s="4" t="s">
        <v>1064</v>
      </c>
      <c r="F1960" s="4"/>
      <c r="G1960" s="4"/>
      <c r="H1960" s="4"/>
      <c r="I1960" s="4" t="s">
        <v>1034</v>
      </c>
    </row>
    <row r="1961" ht="15.75" customHeight="1">
      <c r="A1961" s="4" t="s">
        <v>4996</v>
      </c>
      <c r="B1961" s="13">
        <v>46026.9612962963</v>
      </c>
      <c r="C1961" s="4" t="s">
        <v>4997</v>
      </c>
      <c r="D1961" s="4" t="s">
        <v>1075</v>
      </c>
      <c r="E1961" s="4" t="s">
        <v>1064</v>
      </c>
      <c r="F1961" s="4"/>
      <c r="G1961" s="4"/>
      <c r="H1961" s="4"/>
      <c r="I1961" s="4" t="s">
        <v>1042</v>
      </c>
    </row>
    <row r="1962" ht="15.75" customHeight="1">
      <c r="A1962" s="4" t="s">
        <v>4998</v>
      </c>
      <c r="B1962" s="13">
        <v>46086.9325</v>
      </c>
      <c r="C1962" s="4" t="s">
        <v>4999</v>
      </c>
      <c r="D1962" s="4" t="s">
        <v>1086</v>
      </c>
      <c r="E1962" s="4" t="s">
        <v>1064</v>
      </c>
      <c r="F1962" s="4"/>
      <c r="G1962" s="4"/>
      <c r="H1962" s="4"/>
      <c r="I1962" s="4" t="s">
        <v>427</v>
      </c>
    </row>
    <row r="1963" ht="15.75" customHeight="1">
      <c r="A1963" s="4" t="s">
        <v>5000</v>
      </c>
      <c r="B1963" s="13">
        <v>46032.8672106482</v>
      </c>
      <c r="C1963" s="4" t="s">
        <v>5001</v>
      </c>
      <c r="D1963" s="4" t="s">
        <v>1110</v>
      </c>
      <c r="E1963" s="4" t="s">
        <v>1064</v>
      </c>
      <c r="F1963" s="4"/>
      <c r="G1963" s="4" t="s">
        <v>112</v>
      </c>
      <c r="H1963" s="10">
        <v>168.37</v>
      </c>
      <c r="I1963" s="4" t="s">
        <v>1028</v>
      </c>
    </row>
    <row r="1964" ht="15.75" customHeight="1">
      <c r="A1964" s="4" t="s">
        <v>5002</v>
      </c>
      <c r="B1964" s="13">
        <v>46116.4206134259</v>
      </c>
      <c r="C1964" s="4" t="s">
        <v>5003</v>
      </c>
      <c r="D1964" s="4" t="s">
        <v>1163</v>
      </c>
      <c r="E1964" s="4" t="s">
        <v>1072</v>
      </c>
      <c r="F1964" s="4"/>
      <c r="G1964" s="4"/>
      <c r="H1964" s="4"/>
      <c r="I1964" s="4" t="s">
        <v>587</v>
      </c>
    </row>
    <row r="1965" ht="15.75" customHeight="1">
      <c r="A1965" s="4" t="s">
        <v>5004</v>
      </c>
      <c r="B1965" s="13">
        <v>46047.8720949074</v>
      </c>
      <c r="C1965" s="4" t="s">
        <v>5005</v>
      </c>
      <c r="D1965" s="4" t="s">
        <v>1089</v>
      </c>
      <c r="E1965" s="4" t="s">
        <v>1105</v>
      </c>
      <c r="F1965" s="4" t="s">
        <v>192</v>
      </c>
      <c r="G1965" s="4"/>
      <c r="H1965" s="4"/>
      <c r="I1965" s="4" t="s">
        <v>1036</v>
      </c>
    </row>
    <row r="1966" ht="15.75" customHeight="1">
      <c r="A1966" s="4" t="s">
        <v>5006</v>
      </c>
      <c r="B1966" s="13">
        <v>46058.8740509259</v>
      </c>
      <c r="C1966" s="4" t="s">
        <v>5007</v>
      </c>
      <c r="D1966" s="4" t="s">
        <v>1071</v>
      </c>
      <c r="E1966" s="4" t="s">
        <v>1119</v>
      </c>
      <c r="F1966" s="4"/>
      <c r="G1966" s="4"/>
      <c r="H1966" s="4"/>
      <c r="I1966" s="4" t="s">
        <v>427</v>
      </c>
    </row>
    <row r="1967" ht="15.75" customHeight="1">
      <c r="A1967" s="4" t="s">
        <v>5008</v>
      </c>
      <c r="B1967" s="13">
        <v>46050.9187615741</v>
      </c>
      <c r="C1967" s="4" t="s">
        <v>5009</v>
      </c>
      <c r="D1967" s="4" t="s">
        <v>1110</v>
      </c>
      <c r="E1967" s="4" t="s">
        <v>1064</v>
      </c>
      <c r="F1967" s="4"/>
      <c r="G1967" s="4" t="s">
        <v>244</v>
      </c>
      <c r="H1967" s="10">
        <v>201.58</v>
      </c>
      <c r="I1967" s="4" t="s">
        <v>1035</v>
      </c>
    </row>
    <row r="1968" ht="15.75" customHeight="1">
      <c r="A1968" s="4" t="s">
        <v>5010</v>
      </c>
      <c r="B1968" s="13">
        <v>46097.9971990741</v>
      </c>
      <c r="C1968" s="4" t="s">
        <v>5011</v>
      </c>
      <c r="D1968" s="4" t="s">
        <v>1089</v>
      </c>
      <c r="E1968" s="4" t="s">
        <v>1105</v>
      </c>
      <c r="F1968" s="4" t="s">
        <v>158</v>
      </c>
      <c r="G1968" s="4"/>
      <c r="H1968" s="4"/>
      <c r="I1968" s="4" t="s">
        <v>427</v>
      </c>
    </row>
    <row r="1969" ht="15.75" customHeight="1">
      <c r="A1969" s="4" t="s">
        <v>5012</v>
      </c>
      <c r="B1969" s="13">
        <v>46061.6208449074</v>
      </c>
      <c r="C1969" s="4" t="s">
        <v>5013</v>
      </c>
      <c r="D1969" s="4" t="s">
        <v>1110</v>
      </c>
      <c r="E1969" s="4" t="s">
        <v>1064</v>
      </c>
      <c r="F1969" s="4"/>
      <c r="G1969" s="4" t="s">
        <v>137</v>
      </c>
      <c r="H1969" s="10">
        <v>90.15</v>
      </c>
      <c r="I1969" s="4" t="s">
        <v>1039</v>
      </c>
    </row>
    <row r="1970" ht="15.75" customHeight="1">
      <c r="A1970" s="4" t="s">
        <v>5014</v>
      </c>
      <c r="B1970" s="13">
        <v>46111.6110648148</v>
      </c>
      <c r="C1970" s="4" t="s">
        <v>5015</v>
      </c>
      <c r="D1970" s="4" t="s">
        <v>1163</v>
      </c>
      <c r="E1970" s="4" t="s">
        <v>1119</v>
      </c>
      <c r="F1970" s="4"/>
      <c r="G1970" s="4"/>
      <c r="H1970" s="4"/>
      <c r="I1970" s="4" t="s">
        <v>587</v>
      </c>
    </row>
    <row r="1971" ht="15.75" customHeight="1">
      <c r="A1971" s="4" t="s">
        <v>5016</v>
      </c>
      <c r="B1971" s="13">
        <v>46086.5482986111</v>
      </c>
      <c r="C1971" s="4" t="s">
        <v>5017</v>
      </c>
      <c r="D1971" s="4" t="s">
        <v>1071</v>
      </c>
      <c r="E1971" s="4" t="s">
        <v>1119</v>
      </c>
      <c r="F1971" s="4"/>
      <c r="G1971" s="4"/>
      <c r="H1971" s="4"/>
      <c r="I1971" s="4" t="s">
        <v>1048</v>
      </c>
    </row>
    <row r="1972" ht="15.75" customHeight="1">
      <c r="A1972" s="4" t="s">
        <v>5018</v>
      </c>
      <c r="B1972" s="13">
        <v>46118.6821759259</v>
      </c>
      <c r="C1972" s="4" t="s">
        <v>5019</v>
      </c>
      <c r="D1972" s="4" t="s">
        <v>1063</v>
      </c>
      <c r="E1972" s="4" t="s">
        <v>1064</v>
      </c>
      <c r="F1972" s="4"/>
      <c r="G1972" s="4" t="s">
        <v>61</v>
      </c>
      <c r="H1972" s="4"/>
      <c r="I1972" s="4" t="s">
        <v>1035</v>
      </c>
    </row>
    <row r="1973" ht="15.75" customHeight="1">
      <c r="A1973" s="4" t="s">
        <v>5020</v>
      </c>
      <c r="B1973" s="13">
        <v>46050.7318865741</v>
      </c>
      <c r="C1973" s="4" t="s">
        <v>5021</v>
      </c>
      <c r="D1973" s="4" t="s">
        <v>1089</v>
      </c>
      <c r="E1973" s="4" t="s">
        <v>1105</v>
      </c>
      <c r="F1973" s="4" t="s">
        <v>146</v>
      </c>
      <c r="G1973" s="4"/>
      <c r="H1973" s="4"/>
      <c r="I1973" s="4" t="s">
        <v>1048</v>
      </c>
    </row>
    <row r="1974" ht="15.75" customHeight="1">
      <c r="A1974" s="4" t="s">
        <v>5022</v>
      </c>
      <c r="B1974" s="13">
        <v>46085.6013425926</v>
      </c>
      <c r="C1974" s="4" t="s">
        <v>5023</v>
      </c>
      <c r="D1974" s="4" t="s">
        <v>1086</v>
      </c>
      <c r="E1974" s="4" t="s">
        <v>1064</v>
      </c>
      <c r="F1974" s="4"/>
      <c r="G1974" s="4"/>
      <c r="H1974" s="4"/>
      <c r="I1974" s="4" t="s">
        <v>1042</v>
      </c>
    </row>
    <row r="1975" ht="15.75" customHeight="1">
      <c r="A1975" s="4" t="s">
        <v>5024</v>
      </c>
      <c r="B1975" s="13">
        <v>46056.6432407407</v>
      </c>
      <c r="C1975" s="4" t="s">
        <v>5025</v>
      </c>
      <c r="D1975" s="4" t="s">
        <v>1089</v>
      </c>
      <c r="E1975" s="4" t="s">
        <v>1105</v>
      </c>
      <c r="F1975" s="4" t="s">
        <v>166</v>
      </c>
      <c r="G1975" s="4"/>
      <c r="H1975" s="4"/>
      <c r="I1975" s="4" t="s">
        <v>1048</v>
      </c>
    </row>
    <row r="1976" ht="15.75" customHeight="1">
      <c r="A1976" s="4" t="s">
        <v>5026</v>
      </c>
      <c r="B1976" s="13">
        <v>46117.9897800926</v>
      </c>
      <c r="C1976" s="4" t="s">
        <v>5027</v>
      </c>
      <c r="D1976" s="4" t="s">
        <v>1075</v>
      </c>
      <c r="E1976" s="4" t="s">
        <v>1064</v>
      </c>
      <c r="F1976" s="4"/>
      <c r="G1976" s="4"/>
      <c r="H1976" s="4"/>
      <c r="I1976" s="4" t="s">
        <v>1030</v>
      </c>
    </row>
    <row r="1977" ht="15.75" customHeight="1">
      <c r="A1977" s="4" t="s">
        <v>5028</v>
      </c>
      <c r="B1977" s="13">
        <v>46027.843125</v>
      </c>
      <c r="C1977" s="4" t="s">
        <v>5029</v>
      </c>
      <c r="D1977" s="4" t="s">
        <v>1128</v>
      </c>
      <c r="E1977" s="4" t="s">
        <v>1105</v>
      </c>
      <c r="F1977" s="4" t="s">
        <v>205</v>
      </c>
      <c r="G1977" s="4"/>
      <c r="H1977" s="4"/>
      <c r="I1977" s="4" t="s">
        <v>1042</v>
      </c>
    </row>
    <row r="1978" ht="15.75" customHeight="1">
      <c r="A1978" s="4" t="s">
        <v>5030</v>
      </c>
      <c r="B1978" s="13">
        <v>46056.8141087963</v>
      </c>
      <c r="C1978" s="4" t="s">
        <v>5031</v>
      </c>
      <c r="D1978" s="4" t="s">
        <v>1104</v>
      </c>
      <c r="E1978" s="4" t="s">
        <v>1090</v>
      </c>
      <c r="F1978" s="4" t="s">
        <v>790</v>
      </c>
      <c r="G1978" s="4"/>
      <c r="H1978" s="4"/>
      <c r="I1978" s="4" t="s">
        <v>1035</v>
      </c>
    </row>
    <row r="1979" ht="15.75" customHeight="1">
      <c r="A1979" s="4" t="s">
        <v>5032</v>
      </c>
      <c r="B1979" s="13">
        <v>46070.9246990741</v>
      </c>
      <c r="C1979" s="4" t="s">
        <v>5033</v>
      </c>
      <c r="D1979" s="4" t="s">
        <v>1104</v>
      </c>
      <c r="E1979" s="4" t="s">
        <v>1105</v>
      </c>
      <c r="F1979" s="4" t="s">
        <v>87</v>
      </c>
      <c r="G1979" s="4"/>
      <c r="H1979" s="4"/>
      <c r="I1979" s="4" t="s">
        <v>1030</v>
      </c>
    </row>
    <row r="1980" ht="15.75" customHeight="1">
      <c r="A1980" s="4" t="s">
        <v>5034</v>
      </c>
      <c r="B1980" s="13">
        <v>46091.8382638889</v>
      </c>
      <c r="C1980" s="4" t="s">
        <v>5035</v>
      </c>
      <c r="D1980" s="4" t="s">
        <v>1075</v>
      </c>
      <c r="E1980" s="4" t="s">
        <v>1064</v>
      </c>
      <c r="F1980" s="4"/>
      <c r="G1980" s="4"/>
      <c r="H1980" s="4"/>
      <c r="I1980" s="4" t="s">
        <v>1031</v>
      </c>
    </row>
    <row r="1981" ht="15.75" customHeight="1">
      <c r="A1981" s="4" t="s">
        <v>5036</v>
      </c>
      <c r="B1981" s="13">
        <v>46034.5595717593</v>
      </c>
      <c r="C1981" s="4" t="s">
        <v>5037</v>
      </c>
      <c r="D1981" s="4" t="s">
        <v>1104</v>
      </c>
      <c r="E1981" s="4" t="s">
        <v>1090</v>
      </c>
      <c r="F1981" s="4" t="s">
        <v>798</v>
      </c>
      <c r="G1981" s="4"/>
      <c r="H1981" s="4"/>
      <c r="I1981" s="4" t="s">
        <v>1034</v>
      </c>
    </row>
    <row r="1982" ht="15.75" customHeight="1">
      <c r="A1982" s="4" t="s">
        <v>5038</v>
      </c>
      <c r="B1982" s="13">
        <v>46045.8557291667</v>
      </c>
      <c r="C1982" s="4" t="s">
        <v>5039</v>
      </c>
      <c r="D1982" s="4" t="s">
        <v>1078</v>
      </c>
      <c r="E1982" s="4" t="s">
        <v>1064</v>
      </c>
      <c r="F1982" s="4"/>
      <c r="G1982" s="4" t="s">
        <v>126</v>
      </c>
      <c r="H1982" s="10">
        <v>100.97</v>
      </c>
      <c r="I1982" s="4" t="s">
        <v>1030</v>
      </c>
    </row>
    <row r="1983" ht="15.75" customHeight="1">
      <c r="A1983" s="4" t="s">
        <v>5040</v>
      </c>
      <c r="B1983" s="13">
        <v>46126.341875</v>
      </c>
      <c r="C1983" s="4" t="s">
        <v>5041</v>
      </c>
      <c r="D1983" s="4" t="s">
        <v>1078</v>
      </c>
      <c r="E1983" s="4" t="s">
        <v>1064</v>
      </c>
      <c r="F1983" s="4"/>
      <c r="G1983" s="4" t="s">
        <v>195</v>
      </c>
      <c r="H1983" s="10">
        <v>128.58</v>
      </c>
      <c r="I1983" s="4" t="s">
        <v>1035</v>
      </c>
    </row>
    <row r="1984" ht="15.75" customHeight="1">
      <c r="A1984" s="4" t="s">
        <v>5042</v>
      </c>
      <c r="B1984" s="13">
        <v>46026.3430555556</v>
      </c>
      <c r="C1984" s="4" t="s">
        <v>5043</v>
      </c>
      <c r="D1984" s="4" t="s">
        <v>1075</v>
      </c>
      <c r="E1984" s="4" t="s">
        <v>1064</v>
      </c>
      <c r="F1984" s="4"/>
      <c r="G1984" s="4"/>
      <c r="H1984" s="4"/>
      <c r="I1984" s="4" t="s">
        <v>427</v>
      </c>
    </row>
    <row r="1985" ht="15.75" customHeight="1">
      <c r="A1985" s="4" t="s">
        <v>5044</v>
      </c>
      <c r="B1985" s="13">
        <v>46086.5101041667</v>
      </c>
      <c r="C1985" s="4" t="s">
        <v>5045</v>
      </c>
      <c r="D1985" s="4" t="s">
        <v>1128</v>
      </c>
      <c r="E1985" s="4" t="s">
        <v>1105</v>
      </c>
      <c r="F1985" s="4" t="s">
        <v>102</v>
      </c>
      <c r="G1985" s="4"/>
      <c r="H1985" s="4"/>
      <c r="I1985" s="4" t="s">
        <v>1028</v>
      </c>
    </row>
    <row r="1986" ht="15.75" customHeight="1">
      <c r="A1986" s="4" t="s">
        <v>5046</v>
      </c>
      <c r="B1986" s="13">
        <v>46121.9499421296</v>
      </c>
      <c r="C1986" s="4" t="s">
        <v>5047</v>
      </c>
      <c r="D1986" s="4" t="s">
        <v>1086</v>
      </c>
      <c r="E1986" s="4" t="s">
        <v>1064</v>
      </c>
      <c r="F1986" s="4"/>
      <c r="G1986" s="4"/>
      <c r="H1986" s="4"/>
      <c r="I1986" s="4" t="s">
        <v>1048</v>
      </c>
    </row>
    <row r="1987" ht="15.75" customHeight="1">
      <c r="A1987" s="4" t="s">
        <v>5048</v>
      </c>
      <c r="B1987" s="13">
        <v>46107.4009259259</v>
      </c>
      <c r="C1987" s="4" t="s">
        <v>5049</v>
      </c>
      <c r="D1987" s="4" t="s">
        <v>1063</v>
      </c>
      <c r="E1987" s="4" t="s">
        <v>1064</v>
      </c>
      <c r="F1987" s="4"/>
      <c r="G1987" s="4" t="s">
        <v>107</v>
      </c>
      <c r="H1987" s="4"/>
      <c r="I1987" s="4" t="s">
        <v>1042</v>
      </c>
    </row>
    <row r="1988" ht="15.75" customHeight="1">
      <c r="A1988" s="4" t="s">
        <v>5050</v>
      </c>
      <c r="B1988" s="13">
        <v>46100.4352199074</v>
      </c>
      <c r="C1988" s="4" t="s">
        <v>5051</v>
      </c>
      <c r="D1988" s="4" t="s">
        <v>1086</v>
      </c>
      <c r="E1988" s="4" t="s">
        <v>1064</v>
      </c>
      <c r="F1988" s="4"/>
      <c r="G1988" s="4"/>
      <c r="H1988" s="4"/>
      <c r="I1988" s="4" t="s">
        <v>1052</v>
      </c>
    </row>
    <row r="1989" ht="15.75" customHeight="1">
      <c r="A1989" s="4" t="s">
        <v>5052</v>
      </c>
      <c r="B1989" s="13">
        <v>46125.7048263889</v>
      </c>
      <c r="C1989" s="4" t="s">
        <v>5053</v>
      </c>
      <c r="D1989" s="4" t="s">
        <v>1075</v>
      </c>
      <c r="E1989" s="4" t="s">
        <v>1064</v>
      </c>
      <c r="F1989" s="4"/>
      <c r="G1989" s="4"/>
      <c r="H1989" s="4"/>
      <c r="I1989" s="4" t="s">
        <v>1050</v>
      </c>
    </row>
    <row r="1990" ht="15.75" customHeight="1">
      <c r="A1990" s="4" t="s">
        <v>5054</v>
      </c>
      <c r="B1990" s="13">
        <v>46057.6220717593</v>
      </c>
      <c r="C1990" s="4" t="s">
        <v>5055</v>
      </c>
      <c r="D1990" s="4" t="s">
        <v>1163</v>
      </c>
      <c r="E1990" s="4" t="s">
        <v>1072</v>
      </c>
      <c r="F1990" s="4"/>
      <c r="G1990" s="4"/>
      <c r="H1990" s="4"/>
      <c r="I1990" s="4" t="s">
        <v>1035</v>
      </c>
    </row>
    <row r="1991" ht="15.75" customHeight="1">
      <c r="A1991" s="4" t="s">
        <v>5056</v>
      </c>
      <c r="B1991" s="13">
        <v>46096.7817361111</v>
      </c>
      <c r="C1991" s="4" t="s">
        <v>5057</v>
      </c>
      <c r="D1991" s="4" t="s">
        <v>1093</v>
      </c>
      <c r="E1991" s="4" t="s">
        <v>1064</v>
      </c>
      <c r="F1991" s="4"/>
      <c r="G1991" s="4"/>
      <c r="H1991" s="4"/>
      <c r="I1991" s="4" t="s">
        <v>1050</v>
      </c>
    </row>
    <row r="1992" ht="15.75" customHeight="1">
      <c r="A1992" s="4" t="s">
        <v>5058</v>
      </c>
      <c r="B1992" s="13">
        <v>46099.8029861111</v>
      </c>
      <c r="C1992" s="4" t="s">
        <v>5059</v>
      </c>
      <c r="D1992" s="4" t="s">
        <v>1128</v>
      </c>
      <c r="E1992" s="4" t="s">
        <v>1105</v>
      </c>
      <c r="F1992" s="4" t="s">
        <v>95</v>
      </c>
      <c r="G1992" s="4"/>
      <c r="H1992" s="4"/>
      <c r="I1992" s="4" t="s">
        <v>1039</v>
      </c>
    </row>
    <row r="1993" ht="15.75" customHeight="1">
      <c r="A1993" s="4" t="s">
        <v>5060</v>
      </c>
      <c r="B1993" s="13">
        <v>46083.8294791667</v>
      </c>
      <c r="C1993" s="4" t="s">
        <v>5061</v>
      </c>
      <c r="D1993" s="4" t="s">
        <v>1086</v>
      </c>
      <c r="E1993" s="4" t="s">
        <v>1064</v>
      </c>
      <c r="F1993" s="4"/>
      <c r="G1993" s="4"/>
      <c r="H1993" s="4"/>
      <c r="I1993" s="4" t="s">
        <v>1042</v>
      </c>
    </row>
    <row r="1994" ht="15.75" customHeight="1">
      <c r="A1994" s="4" t="s">
        <v>5062</v>
      </c>
      <c r="B1994" s="13">
        <v>46037.9165162037</v>
      </c>
      <c r="C1994" s="4" t="s">
        <v>5063</v>
      </c>
      <c r="D1994" s="4" t="s">
        <v>1089</v>
      </c>
      <c r="E1994" s="4" t="s">
        <v>1105</v>
      </c>
      <c r="F1994" s="4" t="s">
        <v>273</v>
      </c>
      <c r="G1994" s="4"/>
      <c r="H1994" s="4"/>
      <c r="I1994" s="4" t="s">
        <v>1035</v>
      </c>
    </row>
    <row r="1995" ht="15.75" customHeight="1">
      <c r="A1995" s="4" t="s">
        <v>5064</v>
      </c>
      <c r="B1995" s="13">
        <v>46112.7758217593</v>
      </c>
      <c r="C1995" s="4" t="s">
        <v>5065</v>
      </c>
      <c r="D1995" s="4" t="s">
        <v>1078</v>
      </c>
      <c r="E1995" s="4" t="s">
        <v>1064</v>
      </c>
      <c r="F1995" s="4"/>
      <c r="G1995" s="4" t="s">
        <v>61</v>
      </c>
      <c r="H1995" s="10">
        <v>134.43</v>
      </c>
      <c r="I1995" s="4" t="s">
        <v>1048</v>
      </c>
    </row>
    <row r="1996" ht="15.75" customHeight="1">
      <c r="A1996" s="4" t="s">
        <v>5066</v>
      </c>
      <c r="B1996" s="13">
        <v>46128.5606134259</v>
      </c>
      <c r="C1996" s="4" t="s">
        <v>5067</v>
      </c>
      <c r="D1996" s="4" t="s">
        <v>1110</v>
      </c>
      <c r="E1996" s="4" t="s">
        <v>1064</v>
      </c>
      <c r="F1996" s="4"/>
      <c r="G1996" s="4" t="s">
        <v>100</v>
      </c>
      <c r="H1996" s="10">
        <v>39.24</v>
      </c>
      <c r="I1996" s="4" t="s">
        <v>1046</v>
      </c>
    </row>
    <row r="1997" ht="15.75" customHeight="1">
      <c r="A1997" s="4" t="s">
        <v>5068</v>
      </c>
      <c r="B1997" s="13">
        <v>46082.4643865741</v>
      </c>
      <c r="C1997" s="4" t="s">
        <v>5069</v>
      </c>
      <c r="D1997" s="4" t="s">
        <v>1089</v>
      </c>
      <c r="E1997" s="4" t="s">
        <v>1105</v>
      </c>
      <c r="F1997" s="4" t="s">
        <v>87</v>
      </c>
      <c r="G1997" s="4"/>
      <c r="H1997" s="4"/>
      <c r="I1997" s="4" t="s">
        <v>1039</v>
      </c>
    </row>
    <row r="1998" ht="15.75" customHeight="1">
      <c r="A1998" s="4" t="s">
        <v>5070</v>
      </c>
      <c r="B1998" s="13">
        <v>46053.4126967593</v>
      </c>
      <c r="C1998" s="4" t="s">
        <v>5071</v>
      </c>
      <c r="D1998" s="4" t="s">
        <v>1086</v>
      </c>
      <c r="E1998" s="4" t="s">
        <v>1064</v>
      </c>
      <c r="F1998" s="4"/>
      <c r="G1998" s="4"/>
      <c r="H1998" s="4"/>
      <c r="I1998" s="4" t="s">
        <v>1039</v>
      </c>
    </row>
    <row r="1999" ht="15.75" customHeight="1">
      <c r="A1999" s="4" t="s">
        <v>5072</v>
      </c>
      <c r="B1999" s="13">
        <v>46045.6394097222</v>
      </c>
      <c r="C1999" s="4" t="s">
        <v>5073</v>
      </c>
      <c r="D1999" s="4" t="s">
        <v>1078</v>
      </c>
      <c r="E1999" s="4" t="s">
        <v>1064</v>
      </c>
      <c r="F1999" s="4"/>
      <c r="G1999" s="4" t="s">
        <v>112</v>
      </c>
      <c r="H1999" s="10">
        <v>98.38</v>
      </c>
      <c r="I1999" s="4" t="s">
        <v>1028</v>
      </c>
    </row>
    <row r="2000" ht="15.75" customHeight="1">
      <c r="A2000" s="4" t="s">
        <v>5074</v>
      </c>
      <c r="B2000" s="13">
        <v>46126.989837963</v>
      </c>
      <c r="C2000" s="4" t="s">
        <v>5075</v>
      </c>
      <c r="D2000" s="4" t="s">
        <v>1163</v>
      </c>
      <c r="E2000" s="4" t="s">
        <v>1119</v>
      </c>
      <c r="F2000" s="4"/>
      <c r="G2000" s="4"/>
      <c r="H2000" s="4"/>
      <c r="I2000" s="4" t="s">
        <v>1042</v>
      </c>
    </row>
    <row r="2001" ht="15.75" customHeight="1">
      <c r="A2001" s="4" t="s">
        <v>5076</v>
      </c>
      <c r="B2001" s="13">
        <v>46076.7668634259</v>
      </c>
      <c r="C2001" s="4" t="s">
        <v>5077</v>
      </c>
      <c r="D2001" s="4" t="s">
        <v>1128</v>
      </c>
      <c r="E2001" s="4" t="s">
        <v>1105</v>
      </c>
      <c r="F2001" s="4" t="s">
        <v>115</v>
      </c>
      <c r="G2001" s="4"/>
      <c r="H2001" s="4"/>
      <c r="I2001" s="4" t="s">
        <v>1039</v>
      </c>
    </row>
  </sheetData>
  <autoFilter ref="$A$1:$I$2001"/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8.0"/>
    <col customWidth="1" min="3" max="4" width="16.0"/>
    <col customWidth="1" min="5" max="5" width="55.0"/>
    <col customWidth="1" min="6" max="26" width="8.71"/>
  </cols>
  <sheetData>
    <row r="1" ht="31.5" customHeight="1">
      <c r="A1" s="5" t="s">
        <v>776</v>
      </c>
      <c r="B1" s="5" t="s">
        <v>5078</v>
      </c>
      <c r="C1" s="5" t="s">
        <v>5079</v>
      </c>
      <c r="D1" s="5" t="s">
        <v>5080</v>
      </c>
      <c r="E1" s="5" t="s">
        <v>5081</v>
      </c>
    </row>
    <row r="2">
      <c r="A2" s="4" t="s">
        <v>5082</v>
      </c>
      <c r="B2" s="9">
        <v>0.35</v>
      </c>
      <c r="C2" s="9">
        <v>0.42</v>
      </c>
      <c r="D2" s="9">
        <v>0.5</v>
      </c>
      <c r="E2" s="4" t="s">
        <v>5083</v>
      </c>
    </row>
    <row r="3">
      <c r="A3" s="4" t="s">
        <v>5084</v>
      </c>
      <c r="B3" s="9">
        <v>0.014</v>
      </c>
      <c r="C3" s="9">
        <v>0.022</v>
      </c>
      <c r="D3" s="9">
        <v>0.035</v>
      </c>
      <c r="E3" s="4" t="s">
        <v>5085</v>
      </c>
    </row>
    <row r="4">
      <c r="A4" s="4" t="s">
        <v>5086</v>
      </c>
      <c r="B4" s="9">
        <v>0.055</v>
      </c>
      <c r="C4" s="9">
        <v>0.085</v>
      </c>
      <c r="D4" s="9">
        <v>0.12</v>
      </c>
      <c r="E4" s="4" t="s">
        <v>5087</v>
      </c>
    </row>
    <row r="5">
      <c r="A5" s="4" t="s">
        <v>5088</v>
      </c>
      <c r="B5" s="9">
        <v>0.008</v>
      </c>
      <c r="C5" s="9">
        <v>0.018</v>
      </c>
      <c r="D5" s="9">
        <v>0.03</v>
      </c>
      <c r="E5" s="4" t="s">
        <v>5085</v>
      </c>
    </row>
    <row r="6">
      <c r="A6" s="4" t="s">
        <v>5089</v>
      </c>
      <c r="B6" s="9">
        <v>0.14</v>
      </c>
      <c r="C6" s="9">
        <v>0.28</v>
      </c>
      <c r="D6" s="9">
        <v>0.55</v>
      </c>
      <c r="E6" s="4" t="s">
        <v>5090</v>
      </c>
    </row>
    <row r="7">
      <c r="A7" s="4" t="s">
        <v>5091</v>
      </c>
      <c r="B7" s="9">
        <v>0.002</v>
      </c>
      <c r="C7" s="9">
        <v>0.001</v>
      </c>
      <c r="D7" s="9">
        <v>5.0E-4</v>
      </c>
      <c r="E7" s="4" t="s">
        <v>5092</v>
      </c>
    </row>
    <row r="8">
      <c r="A8" s="4" t="s">
        <v>5093</v>
      </c>
      <c r="B8" s="9">
        <v>8.0E-4</v>
      </c>
      <c r="C8" s="9">
        <v>3.0E-4</v>
      </c>
      <c r="D8" s="9">
        <v>1.0E-4</v>
      </c>
      <c r="E8" s="4" t="s">
        <v>5094</v>
      </c>
    </row>
    <row r="9">
      <c r="A9" s="4" t="s">
        <v>34</v>
      </c>
      <c r="B9" s="9">
        <v>0.98</v>
      </c>
      <c r="C9" s="9">
        <v>0.99</v>
      </c>
      <c r="D9" s="9">
        <v>0.995</v>
      </c>
      <c r="E9" s="4" t="s">
        <v>5095</v>
      </c>
    </row>
    <row r="10">
      <c r="A10" s="4" t="s">
        <v>5096</v>
      </c>
      <c r="B10" s="9">
        <v>0.025</v>
      </c>
      <c r="C10" s="9">
        <v>0.045</v>
      </c>
      <c r="D10" s="9">
        <v>0.07</v>
      </c>
      <c r="E10" s="4"/>
    </row>
    <row r="11">
      <c r="A11" s="4" t="s">
        <v>5097</v>
      </c>
      <c r="B11" s="9">
        <v>0.065</v>
      </c>
      <c r="C11" s="9">
        <v>0.1</v>
      </c>
      <c r="D11" s="9">
        <v>0.15</v>
      </c>
      <c r="E11" s="4"/>
    </row>
    <row r="12">
      <c r="A12" s="4" t="s">
        <v>5098</v>
      </c>
      <c r="B12" s="9">
        <v>0.1</v>
      </c>
      <c r="C12" s="9">
        <v>0.17</v>
      </c>
      <c r="D12" s="9">
        <v>0.25</v>
      </c>
      <c r="E12" s="4"/>
    </row>
    <row r="13">
      <c r="A13" s="4" t="s">
        <v>5099</v>
      </c>
      <c r="B13" s="9">
        <v>0.08</v>
      </c>
      <c r="C13" s="9">
        <v>0.13</v>
      </c>
      <c r="D13" s="9">
        <v>0.2</v>
      </c>
      <c r="E13" s="4"/>
    </row>
    <row r="14">
      <c r="A14" s="4" t="s">
        <v>5100</v>
      </c>
      <c r="B14" s="9">
        <v>1.2</v>
      </c>
      <c r="C14" s="9">
        <v>2.0</v>
      </c>
      <c r="D14" s="9">
        <v>3.5</v>
      </c>
      <c r="E14" s="4"/>
    </row>
    <row r="15">
      <c r="A15" s="4" t="s">
        <v>5101</v>
      </c>
      <c r="B15" s="9">
        <v>3.0</v>
      </c>
      <c r="C15" s="9">
        <v>5.5</v>
      </c>
      <c r="D15" s="9">
        <v>9.0</v>
      </c>
      <c r="E15" s="4"/>
    </row>
    <row r="16">
      <c r="A16" s="4" t="s">
        <v>5102</v>
      </c>
      <c r="B16" s="9">
        <v>5.0</v>
      </c>
      <c r="C16" s="9">
        <v>9.0</v>
      </c>
      <c r="D16" s="9">
        <v>14.0</v>
      </c>
      <c r="E16" s="4"/>
    </row>
    <row r="17">
      <c r="A17" s="4" t="s">
        <v>5103</v>
      </c>
      <c r="B17" s="9">
        <v>0.06</v>
      </c>
      <c r="C17" s="9">
        <v>0.1</v>
      </c>
      <c r="D17" s="9">
        <v>0.16</v>
      </c>
      <c r="E17" s="4" t="s">
        <v>5085</v>
      </c>
    </row>
    <row r="18">
      <c r="A18" s="4" t="s">
        <v>5104</v>
      </c>
      <c r="B18" s="9">
        <v>0.015</v>
      </c>
      <c r="C18" s="9">
        <v>0.03</v>
      </c>
      <c r="D18" s="9">
        <v>0.055</v>
      </c>
      <c r="E18" s="4"/>
    </row>
    <row r="19">
      <c r="A19" s="4" t="s">
        <v>5105</v>
      </c>
      <c r="B19" s="9">
        <v>0.008</v>
      </c>
      <c r="C19" s="9">
        <v>0.004</v>
      </c>
      <c r="D19" s="9">
        <v>0.002</v>
      </c>
      <c r="E1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